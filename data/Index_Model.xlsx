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tay/Desktop/Streamlit_POC/data/"/>
    </mc:Choice>
  </mc:AlternateContent>
  <xr:revisionPtr revIDLastSave="0" documentId="13_ncr:1_{55391276-6F6E-8940-926E-F0BDEBDA5485}" xr6:coauthVersionLast="47" xr6:coauthVersionMax="47" xr10:uidLastSave="{00000000-0000-0000-0000-000000000000}"/>
  <bookViews>
    <workbookView xWindow="0" yWindow="680" windowWidth="34200" windowHeight="21460" activeTab="3" xr2:uid="{DDAB6BFE-36B2-E242-9459-5AFBED4BDCAC}"/>
  </bookViews>
  <sheets>
    <sheet name="INDEX overview" sheetId="15" r:id="rId1"/>
    <sheet name="INDEX" sheetId="1" r:id="rId2"/>
    <sheet name="INDEX ranked" sheetId="11" r:id="rId3"/>
    <sheet name="OVERLAY" sheetId="17" r:id="rId4"/>
    <sheet name="Streamlit" sheetId="16" r:id="rId5"/>
    <sheet name="Pillar-1" sheetId="2" r:id="rId6"/>
    <sheet name="Pillar-2" sheetId="3" r:id="rId7"/>
    <sheet name="Pillar-3" sheetId="4" r:id="rId8"/>
    <sheet name="Pillar-4" sheetId="12" r:id="rId9"/>
    <sheet name="Pillar-5" sheetId="8" r:id="rId10"/>
    <sheet name="Pillar-6" sheetId="9" r:id="rId11"/>
    <sheet name="Params" sheetId="14" r:id="rId12"/>
    <sheet name="Screening" sheetId="5" r:id="rId13"/>
  </sheets>
  <externalReferences>
    <externalReference r:id="rId14"/>
    <externalReference r:id="rId15"/>
    <externalReference r:id="rId16"/>
  </externalReferences>
  <definedNames>
    <definedName name="_xlnm._FilterDatabase" localSheetId="2" hidden="1">'INDEX ranked'!$A$2:$K$38</definedName>
    <definedName name="_xlnm._FilterDatabase" localSheetId="12" hidden="1">Screening!$A$1:$M$216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7" l="1"/>
  <c r="C71" i="17"/>
  <c r="D70" i="17"/>
  <c r="C70" i="17"/>
  <c r="D69" i="17"/>
  <c r="C69" i="17"/>
  <c r="D68" i="17"/>
  <c r="C68" i="17"/>
  <c r="D67" i="17"/>
  <c r="C67" i="17"/>
  <c r="D66" i="17"/>
  <c r="C66" i="17"/>
  <c r="D65" i="17"/>
  <c r="C65" i="17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8" i="17"/>
  <c r="C48" i="17"/>
  <c r="D47" i="17"/>
  <c r="C47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D36" i="17"/>
  <c r="C36" i="17"/>
  <c r="G31" i="17"/>
  <c r="I31" i="17" s="1"/>
  <c r="G30" i="17"/>
  <c r="I30" i="17" s="1"/>
  <c r="G29" i="17"/>
  <c r="G28" i="17"/>
  <c r="G27" i="17"/>
  <c r="K27" i="17" s="1"/>
  <c r="G26" i="17"/>
  <c r="I26" i="17" s="1"/>
  <c r="G25" i="17"/>
  <c r="K25" i="17" s="1"/>
  <c r="G24" i="17"/>
  <c r="I24" i="17" s="1"/>
  <c r="G23" i="17"/>
  <c r="G22" i="17"/>
  <c r="K22" i="17" s="1"/>
  <c r="I21" i="17"/>
  <c r="G21" i="17"/>
  <c r="G20" i="17"/>
  <c r="G19" i="17"/>
  <c r="K19" i="17" s="1"/>
  <c r="G18" i="17"/>
  <c r="I18" i="17" s="1"/>
  <c r="G17" i="17"/>
  <c r="K17" i="17" s="1"/>
  <c r="G16" i="17"/>
  <c r="I16" i="17" s="1"/>
  <c r="G15" i="17"/>
  <c r="G14" i="17"/>
  <c r="I14" i="17" s="1"/>
  <c r="G13" i="17"/>
  <c r="G12" i="17"/>
  <c r="G11" i="17"/>
  <c r="K11" i="17" s="1"/>
  <c r="K10" i="17"/>
  <c r="G10" i="17"/>
  <c r="I10" i="17" s="1"/>
  <c r="G9" i="17"/>
  <c r="K9" i="17" s="1"/>
  <c r="G8" i="17"/>
  <c r="I8" i="17" s="1"/>
  <c r="G7" i="17"/>
  <c r="G6" i="17"/>
  <c r="K4" i="17" s="1"/>
  <c r="G5" i="17"/>
  <c r="K28" i="17" s="1"/>
  <c r="G4" i="17"/>
  <c r="O2" i="9"/>
  <c r="O2" i="8"/>
  <c r="N17" i="12"/>
  <c r="O17" i="12"/>
  <c r="N36" i="12"/>
  <c r="O36" i="12"/>
  <c r="I70" i="17" l="1"/>
  <c r="I69" i="17"/>
  <c r="I67" i="17"/>
  <c r="I59" i="17"/>
  <c r="I45" i="17"/>
  <c r="K18" i="17"/>
  <c r="I60" i="17" s="1"/>
  <c r="K29" i="17"/>
  <c r="I11" i="17"/>
  <c r="K16" i="17"/>
  <c r="I27" i="17"/>
  <c r="I7" i="17"/>
  <c r="K7" i="17"/>
  <c r="K15" i="17"/>
  <c r="K23" i="17"/>
  <c r="K31" i="17"/>
  <c r="K5" i="17"/>
  <c r="I65" i="17" s="1"/>
  <c r="K8" i="17"/>
  <c r="I29" i="17"/>
  <c r="K13" i="17"/>
  <c r="I22" i="17"/>
  <c r="K6" i="17"/>
  <c r="I66" i="17" s="1"/>
  <c r="I9" i="17"/>
  <c r="K14" i="17"/>
  <c r="I17" i="17"/>
  <c r="I25" i="17"/>
  <c r="K30" i="17"/>
  <c r="I5" i="17"/>
  <c r="K26" i="17"/>
  <c r="K21" i="17"/>
  <c r="I19" i="17"/>
  <c r="K24" i="17"/>
  <c r="I4" i="17"/>
  <c r="I12" i="17"/>
  <c r="I20" i="17"/>
  <c r="I28" i="17"/>
  <c r="I13" i="17"/>
  <c r="G32" i="17"/>
  <c r="I6" i="17"/>
  <c r="K12" i="17"/>
  <c r="I15" i="17"/>
  <c r="K20" i="17"/>
  <c r="I23" i="17"/>
  <c r="R2" i="12"/>
  <c r="S2" i="3"/>
  <c r="M2" i="2"/>
  <c r="E20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" i="5"/>
  <c r="I39" i="17" l="1"/>
  <c r="I48" i="17"/>
  <c r="E69" i="17"/>
  <c r="E61" i="17"/>
  <c r="E53" i="17"/>
  <c r="E45" i="17"/>
  <c r="E37" i="17"/>
  <c r="E40" i="17"/>
  <c r="E68" i="17"/>
  <c r="E60" i="17"/>
  <c r="E52" i="17"/>
  <c r="E44" i="17"/>
  <c r="E36" i="17"/>
  <c r="E42" i="17"/>
  <c r="E56" i="17"/>
  <c r="E67" i="17"/>
  <c r="E59" i="17"/>
  <c r="E51" i="17"/>
  <c r="E43" i="17"/>
  <c r="E66" i="17"/>
  <c r="E58" i="17"/>
  <c r="E50" i="17"/>
  <c r="E57" i="17"/>
  <c r="E49" i="17"/>
  <c r="E65" i="17"/>
  <c r="E41" i="17"/>
  <c r="E48" i="17"/>
  <c r="E39" i="17"/>
  <c r="E64" i="17"/>
  <c r="I32" i="17"/>
  <c r="E71" i="17"/>
  <c r="E63" i="17"/>
  <c r="E55" i="17"/>
  <c r="E70" i="17"/>
  <c r="E62" i="17"/>
  <c r="E54" i="17"/>
  <c r="E46" i="17"/>
  <c r="E38" i="17"/>
  <c r="E47" i="17"/>
  <c r="I43" i="17"/>
  <c r="I51" i="17"/>
  <c r="I36" i="17"/>
  <c r="I47" i="17"/>
  <c r="I56" i="17"/>
  <c r="I55" i="17"/>
  <c r="I64" i="17"/>
  <c r="I52" i="17"/>
  <c r="I63" i="17"/>
  <c r="K32" i="17"/>
  <c r="I37" i="17"/>
  <c r="I71" i="17"/>
  <c r="I41" i="17"/>
  <c r="I50" i="17"/>
  <c r="I68" i="17"/>
  <c r="I38" i="17"/>
  <c r="I44" i="17"/>
  <c r="I49" i="17"/>
  <c r="I42" i="17"/>
  <c r="I58" i="17"/>
  <c r="I53" i="17"/>
  <c r="I54" i="17"/>
  <c r="I46" i="17"/>
  <c r="J46" i="17" s="1"/>
  <c r="K46" i="17" s="1"/>
  <c r="I57" i="17"/>
  <c r="I61" i="17"/>
  <c r="I62" i="17"/>
  <c r="I40" i="17"/>
  <c r="I2" i="1"/>
  <c r="J57" i="17" l="1"/>
  <c r="K57" i="17" s="1"/>
  <c r="J52" i="17"/>
  <c r="K52" i="17" s="1"/>
  <c r="J61" i="17"/>
  <c r="K61" i="17" s="1"/>
  <c r="J49" i="17"/>
  <c r="K49" i="17" s="1"/>
  <c r="J47" i="17"/>
  <c r="K47" i="17" s="1"/>
  <c r="G62" i="17"/>
  <c r="F62" i="17"/>
  <c r="H62" i="17" s="1"/>
  <c r="G48" i="17"/>
  <c r="F48" i="17"/>
  <c r="H48" i="17" s="1"/>
  <c r="G43" i="17"/>
  <c r="F43" i="17"/>
  <c r="H43" i="17" s="1"/>
  <c r="F52" i="17"/>
  <c r="H52" i="17" s="1"/>
  <c r="G52" i="17"/>
  <c r="G69" i="17"/>
  <c r="F69" i="17"/>
  <c r="H69" i="17" s="1"/>
  <c r="J36" i="17"/>
  <c r="K36" i="17" s="1"/>
  <c r="G70" i="17"/>
  <c r="F70" i="17"/>
  <c r="H70" i="17" s="1"/>
  <c r="G41" i="17"/>
  <c r="F41" i="17"/>
  <c r="H41" i="17" s="1"/>
  <c r="G51" i="17"/>
  <c r="F51" i="17"/>
  <c r="H51" i="17" s="1"/>
  <c r="F60" i="17"/>
  <c r="H60" i="17" s="1"/>
  <c r="G60" i="17"/>
  <c r="J45" i="17"/>
  <c r="K45" i="17" s="1"/>
  <c r="G65" i="17"/>
  <c r="F65" i="17"/>
  <c r="H65" i="17" s="1"/>
  <c r="G59" i="17"/>
  <c r="F59" i="17"/>
  <c r="H59" i="17" s="1"/>
  <c r="F68" i="17"/>
  <c r="H68" i="17" s="1"/>
  <c r="G68" i="17"/>
  <c r="J48" i="17"/>
  <c r="K48" i="17" s="1"/>
  <c r="J38" i="17"/>
  <c r="K38" i="17" s="1"/>
  <c r="G63" i="17"/>
  <c r="F63" i="17"/>
  <c r="H63" i="17" s="1"/>
  <c r="F49" i="17"/>
  <c r="H49" i="17" s="1"/>
  <c r="G49" i="17"/>
  <c r="G67" i="17"/>
  <c r="F67" i="17"/>
  <c r="H67" i="17" s="1"/>
  <c r="G40" i="17"/>
  <c r="F40" i="17"/>
  <c r="H40" i="17" s="1"/>
  <c r="J39" i="17"/>
  <c r="K39" i="17" s="1"/>
  <c r="J51" i="17"/>
  <c r="K51" i="17" s="1"/>
  <c r="G71" i="17"/>
  <c r="F71" i="17"/>
  <c r="H71" i="17" s="1"/>
  <c r="G57" i="17"/>
  <c r="F57" i="17"/>
  <c r="H57" i="17" s="1"/>
  <c r="G56" i="17"/>
  <c r="F56" i="17"/>
  <c r="H56" i="17" s="1"/>
  <c r="F37" i="17"/>
  <c r="H37" i="17" s="1"/>
  <c r="G37" i="17"/>
  <c r="J69" i="17"/>
  <c r="K69" i="17" s="1"/>
  <c r="J63" i="17"/>
  <c r="K63" i="17" s="1"/>
  <c r="J54" i="17"/>
  <c r="K54" i="17" s="1"/>
  <c r="J43" i="17"/>
  <c r="K43" i="17" s="1"/>
  <c r="J64" i="17"/>
  <c r="K64" i="17" s="1"/>
  <c r="G47" i="17"/>
  <c r="F47" i="17"/>
  <c r="H47" i="17" s="1"/>
  <c r="J58" i="17"/>
  <c r="K58" i="17" s="1"/>
  <c r="J41" i="17"/>
  <c r="K41" i="17" s="1"/>
  <c r="J55" i="17"/>
  <c r="K55" i="17" s="1"/>
  <c r="F38" i="17"/>
  <c r="H38" i="17" s="1"/>
  <c r="G38" i="17"/>
  <c r="G50" i="17"/>
  <c r="F50" i="17"/>
  <c r="H50" i="17" s="1"/>
  <c r="G42" i="17"/>
  <c r="F42" i="17"/>
  <c r="H42" i="17" s="1"/>
  <c r="G45" i="17"/>
  <c r="F45" i="17"/>
  <c r="H45" i="17" s="1"/>
  <c r="J66" i="17"/>
  <c r="K66" i="17" s="1"/>
  <c r="J68" i="17"/>
  <c r="K68" i="17" s="1"/>
  <c r="J67" i="17"/>
  <c r="K67" i="17" s="1"/>
  <c r="J50" i="17"/>
  <c r="K50" i="17" s="1"/>
  <c r="J40" i="17"/>
  <c r="K40" i="17" s="1"/>
  <c r="J42" i="17"/>
  <c r="K42" i="17" s="1"/>
  <c r="J71" i="17"/>
  <c r="K71" i="17" s="1"/>
  <c r="J70" i="17"/>
  <c r="K70" i="17" s="1"/>
  <c r="G46" i="17"/>
  <c r="F46" i="17"/>
  <c r="H46" i="17" s="1"/>
  <c r="G64" i="17"/>
  <c r="F64" i="17"/>
  <c r="H64" i="17" s="1"/>
  <c r="G58" i="17"/>
  <c r="F58" i="17"/>
  <c r="H58" i="17" s="1"/>
  <c r="F36" i="17"/>
  <c r="H36" i="17" s="1"/>
  <c r="G36" i="17"/>
  <c r="G53" i="17"/>
  <c r="F53" i="17"/>
  <c r="H53" i="17" s="1"/>
  <c r="J60" i="17"/>
  <c r="K60" i="17" s="1"/>
  <c r="J44" i="17"/>
  <c r="K44" i="17" s="1"/>
  <c r="F55" i="17"/>
  <c r="H55" i="17" s="1"/>
  <c r="G55" i="17"/>
  <c r="J53" i="17"/>
  <c r="K53" i="17" s="1"/>
  <c r="J62" i="17"/>
  <c r="K62" i="17" s="1"/>
  <c r="J59" i="17"/>
  <c r="K59" i="17" s="1"/>
  <c r="J37" i="17"/>
  <c r="K37" i="17" s="1"/>
  <c r="J56" i="17"/>
  <c r="K56" i="17" s="1"/>
  <c r="G54" i="17"/>
  <c r="F54" i="17"/>
  <c r="H54" i="17" s="1"/>
  <c r="G39" i="17"/>
  <c r="F39" i="17"/>
  <c r="H39" i="17" s="1"/>
  <c r="G66" i="17"/>
  <c r="F66" i="17"/>
  <c r="H66" i="17" s="1"/>
  <c r="F44" i="17"/>
  <c r="H44" i="17" s="1"/>
  <c r="G44" i="17"/>
  <c r="G61" i="17"/>
  <c r="F61" i="17"/>
  <c r="H61" i="17" s="1"/>
  <c r="J65" i="17"/>
  <c r="K65" i="17" s="1"/>
  <c r="G3" i="14"/>
  <c r="M2" i="4" l="1"/>
  <c r="K27" i="3" l="1"/>
  <c r="K40" i="3"/>
  <c r="K11" i="3"/>
  <c r="K9" i="3"/>
  <c r="K17" i="3" l="1"/>
  <c r="K36" i="3"/>
  <c r="C3" i="5" l="1"/>
  <c r="D3" i="5" s="1"/>
  <c r="C11" i="5"/>
  <c r="D11" i="5" s="1"/>
  <c r="C19" i="5"/>
  <c r="D19" i="5" s="1"/>
  <c r="C27" i="5"/>
  <c r="D27" i="5" s="1"/>
  <c r="C35" i="5"/>
  <c r="D35" i="5" s="1"/>
  <c r="C43" i="5"/>
  <c r="D43" i="5" s="1"/>
  <c r="C51" i="5"/>
  <c r="D51" i="5" s="1"/>
  <c r="C59" i="5"/>
  <c r="D59" i="5" s="1"/>
  <c r="C67" i="5"/>
  <c r="D67" i="5" s="1"/>
  <c r="C75" i="5"/>
  <c r="D75" i="5" s="1"/>
  <c r="C83" i="5"/>
  <c r="D83" i="5" s="1"/>
  <c r="C91" i="5"/>
  <c r="D91" i="5" s="1"/>
  <c r="C99" i="5"/>
  <c r="D99" i="5" s="1"/>
  <c r="C107" i="5"/>
  <c r="D107" i="5" s="1"/>
  <c r="C115" i="5"/>
  <c r="D115" i="5" s="1"/>
  <c r="C123" i="5"/>
  <c r="D123" i="5" s="1"/>
  <c r="C131" i="5"/>
  <c r="D131" i="5" s="1"/>
  <c r="C139" i="5"/>
  <c r="D139" i="5" s="1"/>
  <c r="C147" i="5"/>
  <c r="D147" i="5" s="1"/>
  <c r="C155" i="5"/>
  <c r="D155" i="5" s="1"/>
  <c r="C163" i="5"/>
  <c r="D163" i="5" s="1"/>
  <c r="C171" i="5"/>
  <c r="D171" i="5" s="1"/>
  <c r="C179" i="5"/>
  <c r="D179" i="5" s="1"/>
  <c r="C187" i="5"/>
  <c r="D187" i="5" s="1"/>
  <c r="C195" i="5"/>
  <c r="D195" i="5" s="1"/>
  <c r="C203" i="5"/>
  <c r="D203" i="5" s="1"/>
  <c r="C211" i="5"/>
  <c r="D211" i="5" s="1"/>
  <c r="C54" i="5"/>
  <c r="D54" i="5" s="1"/>
  <c r="C118" i="5"/>
  <c r="D118" i="5" s="1"/>
  <c r="C150" i="5"/>
  <c r="D150" i="5" s="1"/>
  <c r="C182" i="5"/>
  <c r="D182" i="5" s="1"/>
  <c r="C214" i="5"/>
  <c r="D214" i="5" s="1"/>
  <c r="C103" i="5"/>
  <c r="D103" i="5" s="1"/>
  <c r="C143" i="5"/>
  <c r="D143" i="5" s="1"/>
  <c r="C175" i="5"/>
  <c r="D175" i="5" s="1"/>
  <c r="C207" i="5"/>
  <c r="D207" i="5" s="1"/>
  <c r="C112" i="5"/>
  <c r="D112" i="5" s="1"/>
  <c r="C152" i="5"/>
  <c r="D152" i="5" s="1"/>
  <c r="C176" i="5"/>
  <c r="D176" i="5" s="1"/>
  <c r="C208" i="5"/>
  <c r="D208" i="5" s="1"/>
  <c r="C137" i="5"/>
  <c r="D137" i="5" s="1"/>
  <c r="C169" i="5"/>
  <c r="D169" i="5" s="1"/>
  <c r="C193" i="5"/>
  <c r="D193" i="5" s="1"/>
  <c r="C4" i="5"/>
  <c r="D4" i="5" s="1"/>
  <c r="C12" i="5"/>
  <c r="D12" i="5" s="1"/>
  <c r="C20" i="5"/>
  <c r="D20" i="5" s="1"/>
  <c r="C28" i="5"/>
  <c r="D28" i="5" s="1"/>
  <c r="C36" i="5"/>
  <c r="D36" i="5" s="1"/>
  <c r="C44" i="5"/>
  <c r="D44" i="5" s="1"/>
  <c r="C52" i="5"/>
  <c r="D52" i="5" s="1"/>
  <c r="C60" i="5"/>
  <c r="D60" i="5" s="1"/>
  <c r="C68" i="5"/>
  <c r="D68" i="5" s="1"/>
  <c r="C76" i="5"/>
  <c r="D76" i="5" s="1"/>
  <c r="C84" i="5"/>
  <c r="D84" i="5" s="1"/>
  <c r="C92" i="5"/>
  <c r="D92" i="5" s="1"/>
  <c r="C100" i="5"/>
  <c r="D100" i="5" s="1"/>
  <c r="C108" i="5"/>
  <c r="D108" i="5" s="1"/>
  <c r="C116" i="5"/>
  <c r="D116" i="5" s="1"/>
  <c r="C124" i="5"/>
  <c r="D124" i="5" s="1"/>
  <c r="C132" i="5"/>
  <c r="D132" i="5" s="1"/>
  <c r="C140" i="5"/>
  <c r="D140" i="5" s="1"/>
  <c r="C148" i="5"/>
  <c r="D148" i="5" s="1"/>
  <c r="C156" i="5"/>
  <c r="D156" i="5" s="1"/>
  <c r="C164" i="5"/>
  <c r="D164" i="5" s="1"/>
  <c r="C172" i="5"/>
  <c r="D172" i="5" s="1"/>
  <c r="C180" i="5"/>
  <c r="D180" i="5" s="1"/>
  <c r="C188" i="5"/>
  <c r="D188" i="5" s="1"/>
  <c r="C196" i="5"/>
  <c r="D196" i="5" s="1"/>
  <c r="C204" i="5"/>
  <c r="D204" i="5" s="1"/>
  <c r="C212" i="5"/>
  <c r="D212" i="5" s="1"/>
  <c r="C70" i="5"/>
  <c r="D70" i="5" s="1"/>
  <c r="C102" i="5"/>
  <c r="D102" i="5" s="1"/>
  <c r="C126" i="5"/>
  <c r="D126" i="5" s="1"/>
  <c r="C158" i="5"/>
  <c r="D158" i="5" s="1"/>
  <c r="C190" i="5"/>
  <c r="D190" i="5" s="1"/>
  <c r="C79" i="5"/>
  <c r="D79" i="5" s="1"/>
  <c r="C119" i="5"/>
  <c r="D119" i="5" s="1"/>
  <c r="C151" i="5"/>
  <c r="D151" i="5" s="1"/>
  <c r="C183" i="5"/>
  <c r="D183" i="5" s="1"/>
  <c r="C215" i="5"/>
  <c r="D215" i="5" s="1"/>
  <c r="C120" i="5"/>
  <c r="D120" i="5" s="1"/>
  <c r="C136" i="5"/>
  <c r="D136" i="5" s="1"/>
  <c r="C168" i="5"/>
  <c r="D168" i="5" s="1"/>
  <c r="C200" i="5"/>
  <c r="D200" i="5" s="1"/>
  <c r="C113" i="5"/>
  <c r="D113" i="5" s="1"/>
  <c r="C153" i="5"/>
  <c r="D153" i="5" s="1"/>
  <c r="C185" i="5"/>
  <c r="D185" i="5" s="1"/>
  <c r="C2" i="5"/>
  <c r="D2" i="5" s="1"/>
  <c r="C5" i="5"/>
  <c r="D5" i="5" s="1"/>
  <c r="C13" i="5"/>
  <c r="D13" i="5" s="1"/>
  <c r="C21" i="5"/>
  <c r="D21" i="5" s="1"/>
  <c r="C29" i="5"/>
  <c r="D29" i="5" s="1"/>
  <c r="C37" i="5"/>
  <c r="D37" i="5" s="1"/>
  <c r="C45" i="5"/>
  <c r="D45" i="5" s="1"/>
  <c r="C53" i="5"/>
  <c r="D53" i="5" s="1"/>
  <c r="C61" i="5"/>
  <c r="D61" i="5" s="1"/>
  <c r="C69" i="5"/>
  <c r="D69" i="5" s="1"/>
  <c r="C77" i="5"/>
  <c r="D77" i="5" s="1"/>
  <c r="C85" i="5"/>
  <c r="D85" i="5" s="1"/>
  <c r="C93" i="5"/>
  <c r="D93" i="5" s="1"/>
  <c r="C101" i="5"/>
  <c r="D101" i="5" s="1"/>
  <c r="C109" i="5"/>
  <c r="D109" i="5" s="1"/>
  <c r="C117" i="5"/>
  <c r="D117" i="5" s="1"/>
  <c r="C125" i="5"/>
  <c r="D125" i="5" s="1"/>
  <c r="C133" i="5"/>
  <c r="D133" i="5" s="1"/>
  <c r="C141" i="5"/>
  <c r="D141" i="5" s="1"/>
  <c r="C149" i="5"/>
  <c r="D149" i="5" s="1"/>
  <c r="C157" i="5"/>
  <c r="D157" i="5" s="1"/>
  <c r="C165" i="5"/>
  <c r="D165" i="5" s="1"/>
  <c r="C173" i="5"/>
  <c r="D173" i="5" s="1"/>
  <c r="C181" i="5"/>
  <c r="D181" i="5" s="1"/>
  <c r="C189" i="5"/>
  <c r="D189" i="5" s="1"/>
  <c r="C197" i="5"/>
  <c r="D197" i="5" s="1"/>
  <c r="C205" i="5"/>
  <c r="D205" i="5" s="1"/>
  <c r="C213" i="5"/>
  <c r="D213" i="5" s="1"/>
  <c r="C78" i="5"/>
  <c r="D78" i="5" s="1"/>
  <c r="C110" i="5"/>
  <c r="D110" i="5" s="1"/>
  <c r="C142" i="5"/>
  <c r="D142" i="5" s="1"/>
  <c r="C174" i="5"/>
  <c r="D174" i="5" s="1"/>
  <c r="C206" i="5"/>
  <c r="D206" i="5" s="1"/>
  <c r="C95" i="5"/>
  <c r="D95" i="5" s="1"/>
  <c r="C135" i="5"/>
  <c r="D135" i="5" s="1"/>
  <c r="C167" i="5"/>
  <c r="D167" i="5" s="1"/>
  <c r="C199" i="5"/>
  <c r="D199" i="5" s="1"/>
  <c r="C104" i="5"/>
  <c r="D104" i="5" s="1"/>
  <c r="C160" i="5"/>
  <c r="D160" i="5" s="1"/>
  <c r="C192" i="5"/>
  <c r="D192" i="5" s="1"/>
  <c r="C121" i="5"/>
  <c r="D121" i="5" s="1"/>
  <c r="C161" i="5"/>
  <c r="D161" i="5" s="1"/>
  <c r="C209" i="5"/>
  <c r="D209" i="5" s="1"/>
  <c r="C6" i="5"/>
  <c r="D6" i="5" s="1"/>
  <c r="C14" i="5"/>
  <c r="D14" i="5" s="1"/>
  <c r="C22" i="5"/>
  <c r="D22" i="5" s="1"/>
  <c r="C30" i="5"/>
  <c r="D30" i="5" s="1"/>
  <c r="C38" i="5"/>
  <c r="D38" i="5" s="1"/>
  <c r="C46" i="5"/>
  <c r="D46" i="5" s="1"/>
  <c r="C86" i="5"/>
  <c r="D86" i="5" s="1"/>
  <c r="C7" i="5"/>
  <c r="D7" i="5" s="1"/>
  <c r="C15" i="5"/>
  <c r="D15" i="5" s="1"/>
  <c r="C23" i="5"/>
  <c r="D23" i="5" s="1"/>
  <c r="C31" i="5"/>
  <c r="D31" i="5" s="1"/>
  <c r="C39" i="5"/>
  <c r="D39" i="5" s="1"/>
  <c r="C47" i="5"/>
  <c r="D47" i="5" s="1"/>
  <c r="C55" i="5"/>
  <c r="D55" i="5" s="1"/>
  <c r="C63" i="5"/>
  <c r="D63" i="5" s="1"/>
  <c r="C71" i="5"/>
  <c r="D71" i="5" s="1"/>
  <c r="C111" i="5"/>
  <c r="D111" i="5" s="1"/>
  <c r="C8" i="5"/>
  <c r="D8" i="5" s="1"/>
  <c r="C16" i="5"/>
  <c r="D16" i="5" s="1"/>
  <c r="C24" i="5"/>
  <c r="D24" i="5" s="1"/>
  <c r="C32" i="5"/>
  <c r="D32" i="5" s="1"/>
  <c r="C40" i="5"/>
  <c r="D40" i="5" s="1"/>
  <c r="C48" i="5"/>
  <c r="D48" i="5" s="1"/>
  <c r="C56" i="5"/>
  <c r="D56" i="5" s="1"/>
  <c r="C64" i="5"/>
  <c r="D64" i="5" s="1"/>
  <c r="C72" i="5"/>
  <c r="D72" i="5" s="1"/>
  <c r="C80" i="5"/>
  <c r="D80" i="5" s="1"/>
  <c r="C88" i="5"/>
  <c r="D88" i="5" s="1"/>
  <c r="C128" i="5"/>
  <c r="D128" i="5" s="1"/>
  <c r="C216" i="5"/>
  <c r="D216" i="5" s="1"/>
  <c r="C9" i="5"/>
  <c r="D9" i="5" s="1"/>
  <c r="C17" i="5"/>
  <c r="D17" i="5" s="1"/>
  <c r="C25" i="5"/>
  <c r="D25" i="5" s="1"/>
  <c r="C33" i="5"/>
  <c r="D33" i="5" s="1"/>
  <c r="C41" i="5"/>
  <c r="D41" i="5" s="1"/>
  <c r="C49" i="5"/>
  <c r="D49" i="5" s="1"/>
  <c r="C57" i="5"/>
  <c r="D57" i="5" s="1"/>
  <c r="C65" i="5"/>
  <c r="D65" i="5" s="1"/>
  <c r="C73" i="5"/>
  <c r="D73" i="5" s="1"/>
  <c r="C81" i="5"/>
  <c r="D81" i="5" s="1"/>
  <c r="C89" i="5"/>
  <c r="D89" i="5" s="1"/>
  <c r="C97" i="5"/>
  <c r="D97" i="5" s="1"/>
  <c r="C105" i="5"/>
  <c r="D105" i="5" s="1"/>
  <c r="C145" i="5"/>
  <c r="D145" i="5" s="1"/>
  <c r="C10" i="5"/>
  <c r="D10" i="5" s="1"/>
  <c r="C18" i="5"/>
  <c r="D18" i="5" s="1"/>
  <c r="C26" i="5"/>
  <c r="D26" i="5" s="1"/>
  <c r="C34" i="5"/>
  <c r="D34" i="5" s="1"/>
  <c r="C42" i="5"/>
  <c r="D42" i="5" s="1"/>
  <c r="C50" i="5"/>
  <c r="D50" i="5" s="1"/>
  <c r="C58" i="5"/>
  <c r="D58" i="5" s="1"/>
  <c r="C66" i="5"/>
  <c r="D66" i="5" s="1"/>
  <c r="C74" i="5"/>
  <c r="D74" i="5" s="1"/>
  <c r="C82" i="5"/>
  <c r="D82" i="5" s="1"/>
  <c r="C90" i="5"/>
  <c r="D90" i="5" s="1"/>
  <c r="C98" i="5"/>
  <c r="D98" i="5" s="1"/>
  <c r="C106" i="5"/>
  <c r="D106" i="5" s="1"/>
  <c r="C114" i="5"/>
  <c r="D114" i="5" s="1"/>
  <c r="C122" i="5"/>
  <c r="D122" i="5" s="1"/>
  <c r="C130" i="5"/>
  <c r="D130" i="5" s="1"/>
  <c r="C138" i="5"/>
  <c r="D138" i="5" s="1"/>
  <c r="C146" i="5"/>
  <c r="D146" i="5" s="1"/>
  <c r="C154" i="5"/>
  <c r="D154" i="5" s="1"/>
  <c r="C162" i="5"/>
  <c r="D162" i="5" s="1"/>
  <c r="C170" i="5"/>
  <c r="D170" i="5" s="1"/>
  <c r="C178" i="5"/>
  <c r="D178" i="5" s="1"/>
  <c r="C186" i="5"/>
  <c r="D186" i="5" s="1"/>
  <c r="C194" i="5"/>
  <c r="D194" i="5" s="1"/>
  <c r="C202" i="5"/>
  <c r="D202" i="5" s="1"/>
  <c r="C210" i="5"/>
  <c r="D210" i="5" s="1"/>
  <c r="C62" i="5"/>
  <c r="D62" i="5" s="1"/>
  <c r="C94" i="5"/>
  <c r="D94" i="5" s="1"/>
  <c r="C134" i="5"/>
  <c r="D134" i="5" s="1"/>
  <c r="C166" i="5"/>
  <c r="D166" i="5" s="1"/>
  <c r="C198" i="5"/>
  <c r="D198" i="5" s="1"/>
  <c r="C87" i="5"/>
  <c r="D87" i="5" s="1"/>
  <c r="C127" i="5"/>
  <c r="D127" i="5" s="1"/>
  <c r="C159" i="5"/>
  <c r="D159" i="5" s="1"/>
  <c r="C191" i="5"/>
  <c r="D191" i="5" s="1"/>
  <c r="C96" i="5"/>
  <c r="D96" i="5" s="1"/>
  <c r="C144" i="5"/>
  <c r="D144" i="5" s="1"/>
  <c r="C184" i="5"/>
  <c r="D184" i="5" s="1"/>
  <c r="C129" i="5"/>
  <c r="D129" i="5" s="1"/>
  <c r="C177" i="5"/>
  <c r="D177" i="5" s="1"/>
  <c r="C201" i="5"/>
  <c r="D201" i="5" s="1"/>
  <c r="F10" i="5"/>
  <c r="F18" i="5"/>
  <c r="F26" i="5"/>
  <c r="F34" i="5"/>
  <c r="F42" i="5"/>
  <c r="F50" i="5"/>
  <c r="F58" i="5"/>
  <c r="F66" i="5"/>
  <c r="F74" i="5"/>
  <c r="F82" i="5"/>
  <c r="F90" i="5"/>
  <c r="F98" i="5"/>
  <c r="F106" i="5"/>
  <c r="F114" i="5"/>
  <c r="F122" i="5"/>
  <c r="F130" i="5"/>
  <c r="F138" i="5"/>
  <c r="F146" i="5"/>
  <c r="F154" i="5"/>
  <c r="F162" i="5"/>
  <c r="F170" i="5"/>
  <c r="F178" i="5"/>
  <c r="F186" i="5"/>
  <c r="F194" i="5"/>
  <c r="F202" i="5"/>
  <c r="F3" i="5"/>
  <c r="F11" i="5"/>
  <c r="F19" i="5"/>
  <c r="F27" i="5"/>
  <c r="F35" i="5"/>
  <c r="F43" i="5"/>
  <c r="F51" i="5"/>
  <c r="F59" i="5"/>
  <c r="F67" i="5"/>
  <c r="F75" i="5"/>
  <c r="F83" i="5"/>
  <c r="F91" i="5"/>
  <c r="F99" i="5"/>
  <c r="F107" i="5"/>
  <c r="F115" i="5"/>
  <c r="F123" i="5"/>
  <c r="F131" i="5"/>
  <c r="F139" i="5"/>
  <c r="F147" i="5"/>
  <c r="F155" i="5"/>
  <c r="F163" i="5"/>
  <c r="F171" i="5"/>
  <c r="F179" i="5"/>
  <c r="F187" i="5"/>
  <c r="F195" i="5"/>
  <c r="F203" i="5"/>
  <c r="F211" i="5"/>
  <c r="F4" i="5"/>
  <c r="F12" i="5"/>
  <c r="F20" i="5"/>
  <c r="F28" i="5"/>
  <c r="F36" i="5"/>
  <c r="F44" i="5"/>
  <c r="F52" i="5"/>
  <c r="F60" i="5"/>
  <c r="F68" i="5"/>
  <c r="F76" i="5"/>
  <c r="F84" i="5"/>
  <c r="F92" i="5"/>
  <c r="F100" i="5"/>
  <c r="F108" i="5"/>
  <c r="F116" i="5"/>
  <c r="F124" i="5"/>
  <c r="F132" i="5"/>
  <c r="F140" i="5"/>
  <c r="F148" i="5"/>
  <c r="F156" i="5"/>
  <c r="F164" i="5"/>
  <c r="F172" i="5"/>
  <c r="F180" i="5"/>
  <c r="F188" i="5"/>
  <c r="F196" i="5"/>
  <c r="F204" i="5"/>
  <c r="F212" i="5"/>
  <c r="F9" i="5"/>
  <c r="F17" i="5"/>
  <c r="F25" i="5"/>
  <c r="F33" i="5"/>
  <c r="F41" i="5"/>
  <c r="F49" i="5"/>
  <c r="F57" i="5"/>
  <c r="F65" i="5"/>
  <c r="F73" i="5"/>
  <c r="F81" i="5"/>
  <c r="F89" i="5"/>
  <c r="F97" i="5"/>
  <c r="F105" i="5"/>
  <c r="F113" i="5"/>
  <c r="F121" i="5"/>
  <c r="F129" i="5"/>
  <c r="F137" i="5"/>
  <c r="F145" i="5"/>
  <c r="F153" i="5"/>
  <c r="F161" i="5"/>
  <c r="F169" i="5"/>
  <c r="F177" i="5"/>
  <c r="F185" i="5"/>
  <c r="F193" i="5"/>
  <c r="F201" i="5"/>
  <c r="F209" i="5"/>
  <c r="F5" i="5"/>
  <c r="F21" i="5"/>
  <c r="F37" i="5"/>
  <c r="F53" i="5"/>
  <c r="F69" i="5"/>
  <c r="F85" i="5"/>
  <c r="F101" i="5"/>
  <c r="F117" i="5"/>
  <c r="F133" i="5"/>
  <c r="F149" i="5"/>
  <c r="F165" i="5"/>
  <c r="F181" i="5"/>
  <c r="F197" i="5"/>
  <c r="F210" i="5"/>
  <c r="F166" i="5"/>
  <c r="F198" i="5"/>
  <c r="F213" i="5"/>
  <c r="F71" i="5"/>
  <c r="F103" i="5"/>
  <c r="F135" i="5"/>
  <c r="F183" i="5"/>
  <c r="F214" i="5"/>
  <c r="F40" i="5"/>
  <c r="F72" i="5"/>
  <c r="F120" i="5"/>
  <c r="F168" i="5"/>
  <c r="F215" i="5"/>
  <c r="F29" i="5"/>
  <c r="F77" i="5"/>
  <c r="F125" i="5"/>
  <c r="F189" i="5"/>
  <c r="F206" i="5"/>
  <c r="F47" i="5"/>
  <c r="F95" i="5"/>
  <c r="F143" i="5"/>
  <c r="F207" i="5"/>
  <c r="F48" i="5"/>
  <c r="F96" i="5"/>
  <c r="F144" i="5"/>
  <c r="F208" i="5"/>
  <c r="F6" i="5"/>
  <c r="F22" i="5"/>
  <c r="F38" i="5"/>
  <c r="F54" i="5"/>
  <c r="F70" i="5"/>
  <c r="F86" i="5"/>
  <c r="F102" i="5"/>
  <c r="F118" i="5"/>
  <c r="F134" i="5"/>
  <c r="F150" i="5"/>
  <c r="F182" i="5"/>
  <c r="F55" i="5"/>
  <c r="F119" i="5"/>
  <c r="F151" i="5"/>
  <c r="F199" i="5"/>
  <c r="F8" i="5"/>
  <c r="F104" i="5"/>
  <c r="F152" i="5"/>
  <c r="F184" i="5"/>
  <c r="F45" i="5"/>
  <c r="F93" i="5"/>
  <c r="F157" i="5"/>
  <c r="F205" i="5"/>
  <c r="F31" i="5"/>
  <c r="F111" i="5"/>
  <c r="F159" i="5"/>
  <c r="F64" i="5"/>
  <c r="F112" i="5"/>
  <c r="F160" i="5"/>
  <c r="F7" i="5"/>
  <c r="F23" i="5"/>
  <c r="F39" i="5"/>
  <c r="F87" i="5"/>
  <c r="F167" i="5"/>
  <c r="F24" i="5"/>
  <c r="F88" i="5"/>
  <c r="F136" i="5"/>
  <c r="F200" i="5"/>
  <c r="F13" i="5"/>
  <c r="F61" i="5"/>
  <c r="F109" i="5"/>
  <c r="F173" i="5"/>
  <c r="F216" i="5"/>
  <c r="F63" i="5"/>
  <c r="F127" i="5"/>
  <c r="F191" i="5"/>
  <c r="F32" i="5"/>
  <c r="F128" i="5"/>
  <c r="F192" i="5"/>
  <c r="F56" i="5"/>
  <c r="F141" i="5"/>
  <c r="F14" i="5"/>
  <c r="F30" i="5"/>
  <c r="F46" i="5"/>
  <c r="F62" i="5"/>
  <c r="F78" i="5"/>
  <c r="F94" i="5"/>
  <c r="F110" i="5"/>
  <c r="F126" i="5"/>
  <c r="F142" i="5"/>
  <c r="F158" i="5"/>
  <c r="F174" i="5"/>
  <c r="F190" i="5"/>
  <c r="F2" i="5"/>
  <c r="F15" i="5"/>
  <c r="F79" i="5"/>
  <c r="F175" i="5"/>
  <c r="F16" i="5"/>
  <c r="F80" i="5"/>
  <c r="F176" i="5"/>
  <c r="P10" i="5" l="1" a="1"/>
  <c r="P10" i="5" s="1"/>
  <c r="I159" i="5"/>
  <c r="J159" i="5"/>
  <c r="K159" i="5"/>
  <c r="L159" i="5" s="1"/>
  <c r="M159" i="5" s="1"/>
  <c r="G159" i="5"/>
  <c r="H159" i="5"/>
  <c r="K210" i="5"/>
  <c r="L210" i="5" s="1"/>
  <c r="M210" i="5" s="1"/>
  <c r="H210" i="5"/>
  <c r="I210" i="5"/>
  <c r="J210" i="5"/>
  <c r="G210" i="5"/>
  <c r="J82" i="5"/>
  <c r="K82" i="5"/>
  <c r="L82" i="5" s="1"/>
  <c r="M82" i="5" s="1"/>
  <c r="I82" i="5"/>
  <c r="G82" i="5"/>
  <c r="H82" i="5"/>
  <c r="I65" i="5"/>
  <c r="J65" i="5"/>
  <c r="K65" i="5"/>
  <c r="L65" i="5" s="1"/>
  <c r="M65" i="5" s="1"/>
  <c r="H65" i="5"/>
  <c r="G65" i="5"/>
  <c r="G40" i="5"/>
  <c r="H40" i="5"/>
  <c r="I40" i="5"/>
  <c r="J40" i="5"/>
  <c r="K40" i="5"/>
  <c r="L40" i="5" s="1"/>
  <c r="M40" i="5" s="1"/>
  <c r="J55" i="5"/>
  <c r="K55" i="5"/>
  <c r="L55" i="5" s="1"/>
  <c r="M55" i="5" s="1"/>
  <c r="I55" i="5"/>
  <c r="H55" i="5"/>
  <c r="G55" i="5"/>
  <c r="K46" i="5"/>
  <c r="L46" i="5" s="1"/>
  <c r="M46" i="5" s="1"/>
  <c r="J46" i="5"/>
  <c r="I46" i="5"/>
  <c r="G46" i="5"/>
  <c r="H46" i="5"/>
  <c r="H121" i="5"/>
  <c r="I121" i="5"/>
  <c r="G121" i="5"/>
  <c r="J121" i="5"/>
  <c r="K121" i="5"/>
  <c r="L121" i="5" s="1"/>
  <c r="M121" i="5" s="1"/>
  <c r="I189" i="5"/>
  <c r="J189" i="5"/>
  <c r="K189" i="5"/>
  <c r="L189" i="5" s="1"/>
  <c r="M189" i="5" s="1"/>
  <c r="H189" i="5"/>
  <c r="G189" i="5"/>
  <c r="G125" i="5"/>
  <c r="H125" i="5"/>
  <c r="I125" i="5"/>
  <c r="K125" i="5"/>
  <c r="L125" i="5" s="1"/>
  <c r="M125" i="5" s="1"/>
  <c r="J125" i="5"/>
  <c r="K61" i="5"/>
  <c r="L61" i="5" s="1"/>
  <c r="M61" i="5" s="1"/>
  <c r="H61" i="5"/>
  <c r="G61" i="5"/>
  <c r="J61" i="5"/>
  <c r="I61" i="5"/>
  <c r="Q7" i="5"/>
  <c r="P4" i="5" a="1"/>
  <c r="P4" i="5" s="1"/>
  <c r="J2" i="5"/>
  <c r="Q4" i="5" a="1"/>
  <c r="Q4" i="5" s="1"/>
  <c r="H28" i="5" s="1"/>
  <c r="K2" i="5"/>
  <c r="L2" i="5" s="1"/>
  <c r="P7" i="5"/>
  <c r="P3" i="5" a="1"/>
  <c r="P3" i="5" s="1"/>
  <c r="R3" i="5" a="1"/>
  <c r="R3" i="5" s="1"/>
  <c r="G2" i="5"/>
  <c r="R4" i="5" a="1"/>
  <c r="R4" i="5" s="1"/>
  <c r="R7" i="5"/>
  <c r="Q3" i="5" a="1"/>
  <c r="Q3" i="5" s="1"/>
  <c r="G203" i="5" s="1"/>
  <c r="H2" i="5"/>
  <c r="I2" i="5"/>
  <c r="R10" i="5" a="1"/>
  <c r="R10" i="5" s="1"/>
  <c r="P5" i="5" a="1"/>
  <c r="P5" i="5" s="1"/>
  <c r="Q5" i="5" a="1"/>
  <c r="Q5" i="5" s="1"/>
  <c r="I215" i="5" s="1"/>
  <c r="Q10" i="5" a="1"/>
  <c r="Q10" i="5" s="1"/>
  <c r="R5" i="5" a="1"/>
  <c r="R5" i="5" s="1"/>
  <c r="K102" i="5"/>
  <c r="L102" i="5" s="1"/>
  <c r="M102" i="5" s="1"/>
  <c r="G102" i="5"/>
  <c r="H102" i="5"/>
  <c r="I102" i="5"/>
  <c r="J102" i="5"/>
  <c r="H164" i="5"/>
  <c r="I164" i="5"/>
  <c r="K164" i="5"/>
  <c r="L164" i="5" s="1"/>
  <c r="M164" i="5" s="1"/>
  <c r="G164" i="5"/>
  <c r="J164" i="5"/>
  <c r="J100" i="5"/>
  <c r="K100" i="5"/>
  <c r="L100" i="5" s="1"/>
  <c r="M100" i="5" s="1"/>
  <c r="I100" i="5"/>
  <c r="G100" i="5"/>
  <c r="H100" i="5"/>
  <c r="J36" i="5"/>
  <c r="K36" i="5"/>
  <c r="L36" i="5" s="1"/>
  <c r="M36" i="5" s="1"/>
  <c r="G36" i="5"/>
  <c r="H36" i="5"/>
  <c r="I36" i="5"/>
  <c r="G214" i="5"/>
  <c r="H214" i="5"/>
  <c r="I214" i="5"/>
  <c r="J214" i="5"/>
  <c r="K214" i="5"/>
  <c r="L214" i="5" s="1"/>
  <c r="M214" i="5" s="1"/>
  <c r="K187" i="5"/>
  <c r="L187" i="5" s="1"/>
  <c r="M187" i="5" s="1"/>
  <c r="G187" i="5"/>
  <c r="H187" i="5"/>
  <c r="I187" i="5"/>
  <c r="J187" i="5"/>
  <c r="J123" i="5"/>
  <c r="K123" i="5"/>
  <c r="L123" i="5" s="1"/>
  <c r="M123" i="5" s="1"/>
  <c r="I123" i="5"/>
  <c r="G123" i="5"/>
  <c r="H123" i="5"/>
  <c r="H59" i="5"/>
  <c r="I59" i="5"/>
  <c r="J59" i="5"/>
  <c r="G59" i="5"/>
  <c r="K59" i="5"/>
  <c r="L59" i="5" s="1"/>
  <c r="M59" i="5" s="1"/>
  <c r="J201" i="5"/>
  <c r="K201" i="5"/>
  <c r="L201" i="5" s="1"/>
  <c r="M201" i="5" s="1"/>
  <c r="G201" i="5"/>
  <c r="I201" i="5"/>
  <c r="H201" i="5"/>
  <c r="I202" i="5"/>
  <c r="J202" i="5"/>
  <c r="K202" i="5"/>
  <c r="L202" i="5" s="1"/>
  <c r="M202" i="5" s="1"/>
  <c r="H202" i="5"/>
  <c r="G202" i="5"/>
  <c r="I138" i="5"/>
  <c r="J138" i="5"/>
  <c r="K138" i="5"/>
  <c r="L138" i="5" s="1"/>
  <c r="M138" i="5" s="1"/>
  <c r="G138" i="5"/>
  <c r="H138" i="5"/>
  <c r="J74" i="5"/>
  <c r="K74" i="5"/>
  <c r="L74" i="5" s="1"/>
  <c r="M74" i="5" s="1"/>
  <c r="I74" i="5"/>
  <c r="G74" i="5"/>
  <c r="H74" i="5"/>
  <c r="J128" i="5"/>
  <c r="I128" i="5"/>
  <c r="K128" i="5"/>
  <c r="L128" i="5" s="1"/>
  <c r="M128" i="5" s="1"/>
  <c r="G128" i="5"/>
  <c r="H128" i="5"/>
  <c r="J32" i="5"/>
  <c r="K32" i="5"/>
  <c r="L32" i="5" s="1"/>
  <c r="M32" i="5" s="1"/>
  <c r="I32" i="5"/>
  <c r="G32" i="5"/>
  <c r="H32" i="5"/>
  <c r="G47" i="5"/>
  <c r="I47" i="5"/>
  <c r="J47" i="5"/>
  <c r="H47" i="5"/>
  <c r="K47" i="5"/>
  <c r="L47" i="5" s="1"/>
  <c r="M47" i="5" s="1"/>
  <c r="G38" i="5"/>
  <c r="I38" i="5"/>
  <c r="K38" i="5"/>
  <c r="L38" i="5" s="1"/>
  <c r="M38" i="5" s="1"/>
  <c r="H38" i="5"/>
  <c r="J38" i="5"/>
  <c r="H192" i="5"/>
  <c r="J192" i="5"/>
  <c r="I192" i="5"/>
  <c r="K192" i="5"/>
  <c r="L192" i="5" s="1"/>
  <c r="M192" i="5" s="1"/>
  <c r="G192" i="5"/>
  <c r="K185" i="5"/>
  <c r="L185" i="5" s="1"/>
  <c r="M185" i="5" s="1"/>
  <c r="G185" i="5"/>
  <c r="H185" i="5"/>
  <c r="J185" i="5"/>
  <c r="I185" i="5"/>
  <c r="J183" i="5"/>
  <c r="K183" i="5"/>
  <c r="L183" i="5" s="1"/>
  <c r="M183" i="5" s="1"/>
  <c r="H183" i="5"/>
  <c r="I183" i="5"/>
  <c r="G183" i="5"/>
  <c r="I70" i="5"/>
  <c r="J70" i="5"/>
  <c r="G70" i="5"/>
  <c r="H70" i="5"/>
  <c r="K70" i="5"/>
  <c r="L70" i="5" s="1"/>
  <c r="M70" i="5" s="1"/>
  <c r="I92" i="5"/>
  <c r="J92" i="5"/>
  <c r="K92" i="5"/>
  <c r="L92" i="5" s="1"/>
  <c r="M92" i="5" s="1"/>
  <c r="H92" i="5"/>
  <c r="G92" i="5"/>
  <c r="H176" i="5"/>
  <c r="I176" i="5"/>
  <c r="J176" i="5"/>
  <c r="G176" i="5"/>
  <c r="K176" i="5"/>
  <c r="L176" i="5" s="1"/>
  <c r="M176" i="5" s="1"/>
  <c r="H182" i="5"/>
  <c r="J182" i="5"/>
  <c r="K182" i="5"/>
  <c r="L182" i="5" s="1"/>
  <c r="M182" i="5" s="1"/>
  <c r="I182" i="5"/>
  <c r="G182" i="5"/>
  <c r="H115" i="5"/>
  <c r="I115" i="5"/>
  <c r="J115" i="5"/>
  <c r="K115" i="5"/>
  <c r="L115" i="5" s="1"/>
  <c r="M115" i="5" s="1"/>
  <c r="G115" i="5"/>
  <c r="J51" i="5"/>
  <c r="I51" i="5"/>
  <c r="H51" i="5"/>
  <c r="K51" i="5"/>
  <c r="L51" i="5" s="1"/>
  <c r="M51" i="5" s="1"/>
  <c r="G51" i="5"/>
  <c r="J194" i="5"/>
  <c r="G194" i="5"/>
  <c r="H194" i="5"/>
  <c r="I194" i="5"/>
  <c r="K194" i="5"/>
  <c r="L194" i="5" s="1"/>
  <c r="M194" i="5" s="1"/>
  <c r="H130" i="5"/>
  <c r="I130" i="5"/>
  <c r="G130" i="5"/>
  <c r="J130" i="5"/>
  <c r="K130" i="5"/>
  <c r="L130" i="5" s="1"/>
  <c r="M130" i="5" s="1"/>
  <c r="K66" i="5"/>
  <c r="L66" i="5" s="1"/>
  <c r="M66" i="5" s="1"/>
  <c r="I66" i="5"/>
  <c r="J66" i="5"/>
  <c r="H66" i="5"/>
  <c r="G66" i="5"/>
  <c r="J145" i="5"/>
  <c r="I145" i="5"/>
  <c r="G145" i="5"/>
  <c r="H145" i="5"/>
  <c r="K145" i="5"/>
  <c r="L145" i="5" s="1"/>
  <c r="M145" i="5" s="1"/>
  <c r="H49" i="5"/>
  <c r="G49" i="5"/>
  <c r="K49" i="5"/>
  <c r="L49" i="5" s="1"/>
  <c r="M49" i="5" s="1"/>
  <c r="I49" i="5"/>
  <c r="J49" i="5"/>
  <c r="I24" i="5"/>
  <c r="J24" i="5"/>
  <c r="G24" i="5"/>
  <c r="H24" i="5"/>
  <c r="K24" i="5"/>
  <c r="L24" i="5" s="1"/>
  <c r="M24" i="5" s="1"/>
  <c r="J39" i="5"/>
  <c r="K39" i="5"/>
  <c r="L39" i="5" s="1"/>
  <c r="M39" i="5" s="1"/>
  <c r="G39" i="5"/>
  <c r="H39" i="5"/>
  <c r="I39" i="5"/>
  <c r="K160" i="5"/>
  <c r="L160" i="5" s="1"/>
  <c r="M160" i="5" s="1"/>
  <c r="G160" i="5"/>
  <c r="H160" i="5"/>
  <c r="I160" i="5"/>
  <c r="J160" i="5"/>
  <c r="K142" i="5"/>
  <c r="L142" i="5" s="1"/>
  <c r="M142" i="5" s="1"/>
  <c r="G142" i="5"/>
  <c r="H142" i="5"/>
  <c r="I142" i="5"/>
  <c r="J142" i="5"/>
  <c r="K173" i="5"/>
  <c r="L173" i="5" s="1"/>
  <c r="M173" i="5" s="1"/>
  <c r="H173" i="5"/>
  <c r="J173" i="5"/>
  <c r="G173" i="5"/>
  <c r="I173" i="5"/>
  <c r="K109" i="5"/>
  <c r="L109" i="5" s="1"/>
  <c r="M109" i="5" s="1"/>
  <c r="G109" i="5"/>
  <c r="H109" i="5"/>
  <c r="I109" i="5"/>
  <c r="J109" i="5"/>
  <c r="I45" i="5"/>
  <c r="J45" i="5"/>
  <c r="K45" i="5"/>
  <c r="L45" i="5" s="1"/>
  <c r="M45" i="5" s="1"/>
  <c r="H45" i="5"/>
  <c r="G45" i="5"/>
  <c r="K153" i="5"/>
  <c r="L153" i="5" s="1"/>
  <c r="M153" i="5" s="1"/>
  <c r="J153" i="5"/>
  <c r="G153" i="5"/>
  <c r="H153" i="5"/>
  <c r="I153" i="5"/>
  <c r="H151" i="5"/>
  <c r="I151" i="5"/>
  <c r="J151" i="5"/>
  <c r="G151" i="5"/>
  <c r="K151" i="5"/>
  <c r="L151" i="5" s="1"/>
  <c r="M151" i="5" s="1"/>
  <c r="G212" i="5"/>
  <c r="H212" i="5"/>
  <c r="J212" i="5"/>
  <c r="I212" i="5"/>
  <c r="K212" i="5"/>
  <c r="L212" i="5" s="1"/>
  <c r="M212" i="5" s="1"/>
  <c r="G148" i="5"/>
  <c r="H148" i="5"/>
  <c r="I148" i="5"/>
  <c r="J148" i="5"/>
  <c r="K148" i="5"/>
  <c r="L148" i="5" s="1"/>
  <c r="M148" i="5" s="1"/>
  <c r="K84" i="5"/>
  <c r="L84" i="5" s="1"/>
  <c r="M84" i="5" s="1"/>
  <c r="H84" i="5"/>
  <c r="J84" i="5"/>
  <c r="I84" i="5"/>
  <c r="G84" i="5"/>
  <c r="G20" i="5"/>
  <c r="I20" i="5"/>
  <c r="J20" i="5"/>
  <c r="H20" i="5"/>
  <c r="K20" i="5"/>
  <c r="L20" i="5" s="1"/>
  <c r="M20" i="5" s="1"/>
  <c r="H171" i="5"/>
  <c r="J171" i="5"/>
  <c r="K171" i="5"/>
  <c r="L171" i="5" s="1"/>
  <c r="M171" i="5" s="1"/>
  <c r="I171" i="5"/>
  <c r="G171" i="5"/>
  <c r="J129" i="5"/>
  <c r="K129" i="5"/>
  <c r="L129" i="5" s="1"/>
  <c r="M129" i="5" s="1"/>
  <c r="I129" i="5"/>
  <c r="H129" i="5"/>
  <c r="G129" i="5"/>
  <c r="I198" i="5"/>
  <c r="J198" i="5"/>
  <c r="K198" i="5"/>
  <c r="L198" i="5" s="1"/>
  <c r="M198" i="5" s="1"/>
  <c r="G198" i="5"/>
  <c r="H198" i="5"/>
  <c r="H186" i="5"/>
  <c r="G186" i="5"/>
  <c r="I186" i="5"/>
  <c r="J186" i="5"/>
  <c r="K186" i="5"/>
  <c r="L186" i="5" s="1"/>
  <c r="M186" i="5" s="1"/>
  <c r="G122" i="5"/>
  <c r="H122" i="5"/>
  <c r="I122" i="5"/>
  <c r="K122" i="5"/>
  <c r="L122" i="5" s="1"/>
  <c r="M122" i="5" s="1"/>
  <c r="J122" i="5"/>
  <c r="K58" i="5"/>
  <c r="L58" i="5" s="1"/>
  <c r="M58" i="5" s="1"/>
  <c r="G58" i="5"/>
  <c r="H58" i="5"/>
  <c r="I58" i="5"/>
  <c r="J58" i="5"/>
  <c r="G105" i="5"/>
  <c r="H105" i="5"/>
  <c r="K105" i="5"/>
  <c r="L105" i="5" s="1"/>
  <c r="M105" i="5" s="1"/>
  <c r="J105" i="5"/>
  <c r="I105" i="5"/>
  <c r="K80" i="5"/>
  <c r="L80" i="5" s="1"/>
  <c r="M80" i="5" s="1"/>
  <c r="J80" i="5"/>
  <c r="G80" i="5"/>
  <c r="H80" i="5"/>
  <c r="I80" i="5"/>
  <c r="J16" i="5"/>
  <c r="G16" i="5"/>
  <c r="I16" i="5"/>
  <c r="K16" i="5"/>
  <c r="L16" i="5" s="1"/>
  <c r="M16" i="5" s="1"/>
  <c r="H16" i="5"/>
  <c r="I22" i="5"/>
  <c r="J22" i="5"/>
  <c r="K22" i="5"/>
  <c r="L22" i="5" s="1"/>
  <c r="M22" i="5" s="1"/>
  <c r="H22" i="5"/>
  <c r="G22" i="5"/>
  <c r="I110" i="5"/>
  <c r="J110" i="5"/>
  <c r="G110" i="5"/>
  <c r="H110" i="5"/>
  <c r="K110" i="5"/>
  <c r="L110" i="5" s="1"/>
  <c r="M110" i="5" s="1"/>
  <c r="K165" i="5"/>
  <c r="L165" i="5" s="1"/>
  <c r="M165" i="5" s="1"/>
  <c r="H165" i="5"/>
  <c r="G165" i="5"/>
  <c r="I165" i="5"/>
  <c r="J165" i="5"/>
  <c r="G113" i="5"/>
  <c r="K113" i="5"/>
  <c r="L113" i="5" s="1"/>
  <c r="M113" i="5" s="1"/>
  <c r="I113" i="5"/>
  <c r="H113" i="5"/>
  <c r="J113" i="5"/>
  <c r="G204" i="5"/>
  <c r="H204" i="5"/>
  <c r="I204" i="5"/>
  <c r="J204" i="5"/>
  <c r="K204" i="5"/>
  <c r="L204" i="5" s="1"/>
  <c r="M204" i="5" s="1"/>
  <c r="H76" i="5"/>
  <c r="G76" i="5"/>
  <c r="I76" i="5"/>
  <c r="J76" i="5"/>
  <c r="K76" i="5"/>
  <c r="L76" i="5" s="1"/>
  <c r="M76" i="5" s="1"/>
  <c r="J12" i="5"/>
  <c r="K12" i="5"/>
  <c r="L12" i="5" s="1"/>
  <c r="M12" i="5" s="1"/>
  <c r="I12" i="5"/>
  <c r="G12" i="5"/>
  <c r="H12" i="5"/>
  <c r="J112" i="5"/>
  <c r="K112" i="5"/>
  <c r="L112" i="5" s="1"/>
  <c r="M112" i="5" s="1"/>
  <c r="I112" i="5"/>
  <c r="G112" i="5"/>
  <c r="H112" i="5"/>
  <c r="K118" i="5"/>
  <c r="L118" i="5" s="1"/>
  <c r="M118" i="5" s="1"/>
  <c r="G118" i="5"/>
  <c r="H118" i="5"/>
  <c r="I118" i="5"/>
  <c r="J118" i="5"/>
  <c r="G99" i="5"/>
  <c r="I99" i="5"/>
  <c r="J99" i="5"/>
  <c r="K99" i="5"/>
  <c r="L99" i="5" s="1"/>
  <c r="M99" i="5" s="1"/>
  <c r="H99" i="5"/>
  <c r="J184" i="5"/>
  <c r="K184" i="5"/>
  <c r="L184" i="5" s="1"/>
  <c r="M184" i="5" s="1"/>
  <c r="G184" i="5"/>
  <c r="H184" i="5"/>
  <c r="I184" i="5"/>
  <c r="I166" i="5"/>
  <c r="J166" i="5"/>
  <c r="G166" i="5"/>
  <c r="H166" i="5"/>
  <c r="K166" i="5"/>
  <c r="L166" i="5" s="1"/>
  <c r="M166" i="5" s="1"/>
  <c r="G178" i="5"/>
  <c r="K178" i="5"/>
  <c r="L178" i="5" s="1"/>
  <c r="M178" i="5" s="1"/>
  <c r="J178" i="5"/>
  <c r="H178" i="5"/>
  <c r="I178" i="5"/>
  <c r="J114" i="5"/>
  <c r="K114" i="5"/>
  <c r="L114" i="5" s="1"/>
  <c r="M114" i="5" s="1"/>
  <c r="I114" i="5"/>
  <c r="H114" i="5"/>
  <c r="G114" i="5"/>
  <c r="K97" i="5"/>
  <c r="L97" i="5" s="1"/>
  <c r="M97" i="5" s="1"/>
  <c r="J97" i="5"/>
  <c r="G97" i="5"/>
  <c r="H97" i="5"/>
  <c r="I97" i="5"/>
  <c r="G33" i="5"/>
  <c r="H33" i="5"/>
  <c r="I33" i="5"/>
  <c r="J33" i="5"/>
  <c r="K33" i="5"/>
  <c r="L33" i="5" s="1"/>
  <c r="M33" i="5" s="1"/>
  <c r="G72" i="5"/>
  <c r="H72" i="5"/>
  <c r="K72" i="5"/>
  <c r="L72" i="5" s="1"/>
  <c r="M72" i="5" s="1"/>
  <c r="J72" i="5"/>
  <c r="I72" i="5"/>
  <c r="G8" i="5"/>
  <c r="J8" i="5"/>
  <c r="K8" i="5"/>
  <c r="L8" i="5" s="1"/>
  <c r="M8" i="5" s="1"/>
  <c r="I8" i="5"/>
  <c r="H8" i="5"/>
  <c r="H23" i="5"/>
  <c r="K23" i="5"/>
  <c r="L23" i="5" s="1"/>
  <c r="M23" i="5" s="1"/>
  <c r="J23" i="5"/>
  <c r="G23" i="5"/>
  <c r="I23" i="5"/>
  <c r="K14" i="5"/>
  <c r="L14" i="5" s="1"/>
  <c r="M14" i="5" s="1"/>
  <c r="G14" i="5"/>
  <c r="H14" i="5"/>
  <c r="J14" i="5"/>
  <c r="I14" i="5"/>
  <c r="K78" i="5"/>
  <c r="L78" i="5" s="1"/>
  <c r="M78" i="5" s="1"/>
  <c r="J78" i="5"/>
  <c r="G78" i="5"/>
  <c r="H78" i="5"/>
  <c r="I78" i="5"/>
  <c r="G93" i="5"/>
  <c r="H93" i="5"/>
  <c r="J93" i="5"/>
  <c r="I93" i="5"/>
  <c r="K93" i="5"/>
  <c r="L93" i="5" s="1"/>
  <c r="M93" i="5" s="1"/>
  <c r="K200" i="5"/>
  <c r="L200" i="5" s="1"/>
  <c r="M200" i="5" s="1"/>
  <c r="J200" i="5"/>
  <c r="H200" i="5"/>
  <c r="I200" i="5"/>
  <c r="G200" i="5"/>
  <c r="I79" i="5"/>
  <c r="G79" i="5"/>
  <c r="H79" i="5"/>
  <c r="K79" i="5"/>
  <c r="L79" i="5" s="1"/>
  <c r="M79" i="5" s="1"/>
  <c r="J79" i="5"/>
  <c r="I196" i="5"/>
  <c r="J196" i="5"/>
  <c r="K196" i="5"/>
  <c r="L196" i="5" s="1"/>
  <c r="M196" i="5" s="1"/>
  <c r="G196" i="5"/>
  <c r="H196" i="5"/>
  <c r="G4" i="5"/>
  <c r="I4" i="5"/>
  <c r="K4" i="5"/>
  <c r="L4" i="5" s="1"/>
  <c r="M4" i="5" s="1"/>
  <c r="H4" i="5"/>
  <c r="J4" i="5"/>
  <c r="K207" i="5"/>
  <c r="L207" i="5" s="1"/>
  <c r="M207" i="5" s="1"/>
  <c r="I207" i="5"/>
  <c r="G207" i="5"/>
  <c r="H207" i="5"/>
  <c r="J207" i="5"/>
  <c r="K155" i="5"/>
  <c r="L155" i="5" s="1"/>
  <c r="M155" i="5" s="1"/>
  <c r="H155" i="5"/>
  <c r="J155" i="5"/>
  <c r="G155" i="5"/>
  <c r="I155" i="5"/>
  <c r="J134" i="5"/>
  <c r="K134" i="5"/>
  <c r="L134" i="5" s="1"/>
  <c r="M134" i="5" s="1"/>
  <c r="I134" i="5"/>
  <c r="H134" i="5"/>
  <c r="G134" i="5"/>
  <c r="J89" i="5"/>
  <c r="K89" i="5"/>
  <c r="L89" i="5" s="1"/>
  <c r="M89" i="5" s="1"/>
  <c r="G89" i="5"/>
  <c r="H89" i="5"/>
  <c r="I89" i="5"/>
  <c r="I25" i="5"/>
  <c r="J25" i="5"/>
  <c r="H25" i="5"/>
  <c r="K25" i="5"/>
  <c r="L25" i="5" s="1"/>
  <c r="M25" i="5" s="1"/>
  <c r="G25" i="5"/>
  <c r="I64" i="5"/>
  <c r="J64" i="5"/>
  <c r="K64" i="5"/>
  <c r="L64" i="5" s="1"/>
  <c r="M64" i="5" s="1"/>
  <c r="H64" i="5"/>
  <c r="G64" i="5"/>
  <c r="J111" i="5"/>
  <c r="H111" i="5"/>
  <c r="I111" i="5"/>
  <c r="G111" i="5"/>
  <c r="K111" i="5"/>
  <c r="L111" i="5" s="1"/>
  <c r="M111" i="5" s="1"/>
  <c r="J15" i="5"/>
  <c r="K15" i="5"/>
  <c r="L15" i="5" s="1"/>
  <c r="M15" i="5" s="1"/>
  <c r="G15" i="5"/>
  <c r="H15" i="5"/>
  <c r="I15" i="5"/>
  <c r="G6" i="5"/>
  <c r="I6" i="5"/>
  <c r="J6" i="5"/>
  <c r="K6" i="5"/>
  <c r="L6" i="5" s="1"/>
  <c r="M6" i="5" s="1"/>
  <c r="H6" i="5"/>
  <c r="I167" i="5"/>
  <c r="J167" i="5"/>
  <c r="H167" i="5"/>
  <c r="K167" i="5"/>
  <c r="L167" i="5" s="1"/>
  <c r="M167" i="5" s="1"/>
  <c r="G167" i="5"/>
  <c r="I213" i="5"/>
  <c r="J213" i="5"/>
  <c r="K213" i="5"/>
  <c r="L213" i="5" s="1"/>
  <c r="M213" i="5" s="1"/>
  <c r="G213" i="5"/>
  <c r="H213" i="5"/>
  <c r="G149" i="5"/>
  <c r="K149" i="5"/>
  <c r="L149" i="5" s="1"/>
  <c r="M149" i="5" s="1"/>
  <c r="H149" i="5"/>
  <c r="I149" i="5"/>
  <c r="J149" i="5"/>
  <c r="G85" i="5"/>
  <c r="H85" i="5"/>
  <c r="I85" i="5"/>
  <c r="J85" i="5"/>
  <c r="K85" i="5"/>
  <c r="L85" i="5" s="1"/>
  <c r="M85" i="5" s="1"/>
  <c r="J21" i="5"/>
  <c r="H21" i="5"/>
  <c r="G21" i="5"/>
  <c r="K21" i="5"/>
  <c r="L21" i="5" s="1"/>
  <c r="M21" i="5" s="1"/>
  <c r="I21" i="5"/>
  <c r="K168" i="5"/>
  <c r="L168" i="5" s="1"/>
  <c r="M168" i="5" s="1"/>
  <c r="I168" i="5"/>
  <c r="J168" i="5"/>
  <c r="H168" i="5"/>
  <c r="G168" i="5"/>
  <c r="K188" i="5"/>
  <c r="L188" i="5" s="1"/>
  <c r="M188" i="5" s="1"/>
  <c r="J188" i="5"/>
  <c r="G188" i="5"/>
  <c r="H188" i="5"/>
  <c r="I188" i="5"/>
  <c r="J124" i="5"/>
  <c r="K124" i="5"/>
  <c r="L124" i="5" s="1"/>
  <c r="M124" i="5" s="1"/>
  <c r="H124" i="5"/>
  <c r="G124" i="5"/>
  <c r="I124" i="5"/>
  <c r="I60" i="5"/>
  <c r="G60" i="5"/>
  <c r="H60" i="5"/>
  <c r="K60" i="5"/>
  <c r="L60" i="5" s="1"/>
  <c r="M60" i="5" s="1"/>
  <c r="J60" i="5"/>
  <c r="G83" i="5"/>
  <c r="I83" i="5"/>
  <c r="K83" i="5"/>
  <c r="L83" i="5" s="1"/>
  <c r="M83" i="5" s="1"/>
  <c r="J83" i="5"/>
  <c r="H83" i="5"/>
  <c r="G19" i="5"/>
  <c r="K19" i="5"/>
  <c r="L19" i="5" s="1"/>
  <c r="M19" i="5" s="1"/>
  <c r="J19" i="5"/>
  <c r="I19" i="5"/>
  <c r="H19" i="5"/>
  <c r="K94" i="5"/>
  <c r="L94" i="5" s="1"/>
  <c r="M94" i="5" s="1"/>
  <c r="J94" i="5"/>
  <c r="I94" i="5"/>
  <c r="G94" i="5"/>
  <c r="H94" i="5"/>
  <c r="I34" i="5"/>
  <c r="K34" i="5"/>
  <c r="L34" i="5" s="1"/>
  <c r="M34" i="5" s="1"/>
  <c r="G34" i="5"/>
  <c r="H34" i="5"/>
  <c r="J34" i="5"/>
  <c r="G17" i="5"/>
  <c r="H17" i="5"/>
  <c r="I17" i="5"/>
  <c r="K17" i="5"/>
  <c r="L17" i="5" s="1"/>
  <c r="M17" i="5" s="1"/>
  <c r="J17" i="5"/>
  <c r="G56" i="5"/>
  <c r="J56" i="5"/>
  <c r="I56" i="5"/>
  <c r="K56" i="5"/>
  <c r="L56" i="5" s="1"/>
  <c r="M56" i="5" s="1"/>
  <c r="H56" i="5"/>
  <c r="J71" i="5"/>
  <c r="G71" i="5"/>
  <c r="H71" i="5"/>
  <c r="I71" i="5"/>
  <c r="K71" i="5"/>
  <c r="L71" i="5" s="1"/>
  <c r="M71" i="5" s="1"/>
  <c r="J7" i="5"/>
  <c r="H7" i="5"/>
  <c r="I7" i="5"/>
  <c r="K7" i="5"/>
  <c r="L7" i="5" s="1"/>
  <c r="M7" i="5" s="1"/>
  <c r="G7" i="5"/>
  <c r="G209" i="5"/>
  <c r="H209" i="5"/>
  <c r="I209" i="5"/>
  <c r="J209" i="5"/>
  <c r="K209" i="5"/>
  <c r="L209" i="5" s="1"/>
  <c r="M209" i="5" s="1"/>
  <c r="H205" i="5"/>
  <c r="I205" i="5"/>
  <c r="G205" i="5"/>
  <c r="K205" i="5"/>
  <c r="L205" i="5" s="1"/>
  <c r="M205" i="5" s="1"/>
  <c r="J205" i="5"/>
  <c r="H158" i="5"/>
  <c r="I158" i="5"/>
  <c r="K158" i="5"/>
  <c r="L158" i="5" s="1"/>
  <c r="M158" i="5" s="1"/>
  <c r="J158" i="5"/>
  <c r="G158" i="5"/>
  <c r="K116" i="5"/>
  <c r="L116" i="5" s="1"/>
  <c r="M116" i="5" s="1"/>
  <c r="I116" i="5"/>
  <c r="H116" i="5"/>
  <c r="G116" i="5"/>
  <c r="J116" i="5"/>
  <c r="G52" i="5"/>
  <c r="J52" i="5"/>
  <c r="K52" i="5"/>
  <c r="L52" i="5" s="1"/>
  <c r="M52" i="5" s="1"/>
  <c r="H52" i="5"/>
  <c r="I52" i="5"/>
  <c r="J11" i="5"/>
  <c r="K11" i="5"/>
  <c r="L11" i="5" s="1"/>
  <c r="M11" i="5" s="1"/>
  <c r="I11" i="5"/>
  <c r="G11" i="5"/>
  <c r="H11" i="5"/>
  <c r="J62" i="5"/>
  <c r="K62" i="5"/>
  <c r="L62" i="5" s="1"/>
  <c r="M62" i="5" s="1"/>
  <c r="H62" i="5"/>
  <c r="I62" i="5"/>
  <c r="G62" i="5"/>
  <c r="I154" i="5"/>
  <c r="J154" i="5"/>
  <c r="H154" i="5"/>
  <c r="K154" i="5"/>
  <c r="L154" i="5" s="1"/>
  <c r="M154" i="5" s="1"/>
  <c r="G154" i="5"/>
  <c r="J26" i="5"/>
  <c r="K26" i="5"/>
  <c r="L26" i="5" s="1"/>
  <c r="M26" i="5" s="1"/>
  <c r="H26" i="5"/>
  <c r="I26" i="5"/>
  <c r="G26" i="5"/>
  <c r="J73" i="5"/>
  <c r="K73" i="5"/>
  <c r="L73" i="5" s="1"/>
  <c r="M73" i="5" s="1"/>
  <c r="I73" i="5"/>
  <c r="H73" i="5"/>
  <c r="G73" i="5"/>
  <c r="J9" i="5"/>
  <c r="G9" i="5"/>
  <c r="H9" i="5"/>
  <c r="I9" i="5"/>
  <c r="K9" i="5"/>
  <c r="L9" i="5" s="1"/>
  <c r="M9" i="5" s="1"/>
  <c r="G48" i="5"/>
  <c r="H48" i="5"/>
  <c r="I48" i="5"/>
  <c r="K48" i="5"/>
  <c r="L48" i="5" s="1"/>
  <c r="M48" i="5" s="1"/>
  <c r="J48" i="5"/>
  <c r="G63" i="5"/>
  <c r="K63" i="5"/>
  <c r="L63" i="5" s="1"/>
  <c r="M63" i="5" s="1"/>
  <c r="I63" i="5"/>
  <c r="J63" i="5"/>
  <c r="H63" i="5"/>
  <c r="H86" i="5"/>
  <c r="I86" i="5"/>
  <c r="J86" i="5"/>
  <c r="K86" i="5"/>
  <c r="L86" i="5" s="1"/>
  <c r="M86" i="5" s="1"/>
  <c r="G86" i="5"/>
  <c r="K161" i="5"/>
  <c r="L161" i="5" s="1"/>
  <c r="M161" i="5" s="1"/>
  <c r="I161" i="5"/>
  <c r="G161" i="5"/>
  <c r="H161" i="5"/>
  <c r="J161" i="5"/>
  <c r="J197" i="5"/>
  <c r="G197" i="5"/>
  <c r="H197" i="5"/>
  <c r="I197" i="5"/>
  <c r="K197" i="5"/>
  <c r="L197" i="5" s="1"/>
  <c r="M197" i="5" s="1"/>
  <c r="K5" i="5"/>
  <c r="L5" i="5" s="1"/>
  <c r="M5" i="5" s="1"/>
  <c r="G5" i="5"/>
  <c r="J5" i="5"/>
  <c r="H5" i="5"/>
  <c r="I5" i="5"/>
  <c r="G120" i="5"/>
  <c r="I120" i="5"/>
  <c r="H120" i="5"/>
  <c r="K120" i="5"/>
  <c r="L120" i="5" s="1"/>
  <c r="M120" i="5" s="1"/>
  <c r="J120" i="5"/>
  <c r="J172" i="5"/>
  <c r="K172" i="5"/>
  <c r="L172" i="5" s="1"/>
  <c r="M172" i="5" s="1"/>
  <c r="G172" i="5"/>
  <c r="I172" i="5"/>
  <c r="H172" i="5"/>
  <c r="H108" i="5"/>
  <c r="I108" i="5"/>
  <c r="G108" i="5"/>
  <c r="K108" i="5"/>
  <c r="L108" i="5" s="1"/>
  <c r="M108" i="5" s="1"/>
  <c r="J108" i="5"/>
  <c r="J44" i="5"/>
  <c r="K44" i="5"/>
  <c r="L44" i="5" s="1"/>
  <c r="M44" i="5" s="1"/>
  <c r="G44" i="5"/>
  <c r="H44" i="5"/>
  <c r="I44" i="5"/>
  <c r="H137" i="5"/>
  <c r="I137" i="5"/>
  <c r="G137" i="5"/>
  <c r="J137" i="5"/>
  <c r="K137" i="5"/>
  <c r="L137" i="5" s="1"/>
  <c r="M137" i="5" s="1"/>
  <c r="G103" i="5"/>
  <c r="H103" i="5"/>
  <c r="K103" i="5"/>
  <c r="L103" i="5" s="1"/>
  <c r="M103" i="5" s="1"/>
  <c r="J103" i="5"/>
  <c r="I103" i="5"/>
  <c r="H195" i="5"/>
  <c r="I195" i="5"/>
  <c r="J195" i="5"/>
  <c r="K195" i="5"/>
  <c r="L195" i="5" s="1"/>
  <c r="M195" i="5" s="1"/>
  <c r="G195" i="5"/>
  <c r="H67" i="5"/>
  <c r="K67" i="5"/>
  <c r="L67" i="5" s="1"/>
  <c r="M67" i="5" s="1"/>
  <c r="J67" i="5"/>
  <c r="G67" i="5"/>
  <c r="I67" i="5"/>
  <c r="I3" i="5"/>
  <c r="J3" i="5"/>
  <c r="H3" i="5"/>
  <c r="K3" i="5"/>
  <c r="L3" i="5" s="1"/>
  <c r="M3" i="5" s="1"/>
  <c r="G3" i="5"/>
  <c r="P8" i="5" l="1" a="1"/>
  <c r="P8" i="5" s="1"/>
  <c r="P9" i="5" s="1"/>
  <c r="I43" i="5"/>
  <c r="G215" i="5"/>
  <c r="I131" i="5"/>
  <c r="G180" i="5"/>
  <c r="G175" i="5"/>
  <c r="G199" i="5"/>
  <c r="I135" i="5"/>
  <c r="I90" i="5"/>
  <c r="I139" i="5"/>
  <c r="G136" i="5"/>
  <c r="I106" i="5"/>
  <c r="I180" i="5"/>
  <c r="G35" i="5"/>
  <c r="I126" i="5"/>
  <c r="G101" i="5"/>
  <c r="G162" i="5"/>
  <c r="I147" i="5"/>
  <c r="R8" i="5" a="1"/>
  <c r="R8" i="5" s="1"/>
  <c r="R9" i="5" s="1"/>
  <c r="G95" i="5"/>
  <c r="G13" i="5"/>
  <c r="G54" i="5"/>
  <c r="I157" i="5"/>
  <c r="I119" i="5"/>
  <c r="G69" i="5"/>
  <c r="G144" i="5"/>
  <c r="G42" i="5"/>
  <c r="I68" i="5"/>
  <c r="G143" i="5"/>
  <c r="I162" i="5"/>
  <c r="G57" i="5"/>
  <c r="G139" i="5"/>
  <c r="I77" i="5"/>
  <c r="G81" i="5"/>
  <c r="G211" i="5"/>
  <c r="G132" i="5"/>
  <c r="G29" i="5"/>
  <c r="I88" i="5"/>
  <c r="I208" i="5"/>
  <c r="I69" i="5"/>
  <c r="I95" i="5"/>
  <c r="I191" i="5"/>
  <c r="I203" i="5"/>
  <c r="I190" i="5"/>
  <c r="G104" i="5"/>
  <c r="G133" i="5"/>
  <c r="G169" i="5"/>
  <c r="I179" i="5"/>
  <c r="I156" i="5"/>
  <c r="I53" i="5"/>
  <c r="I117" i="5"/>
  <c r="I136" i="5"/>
  <c r="I144" i="5"/>
  <c r="G163" i="5"/>
  <c r="G37" i="5"/>
  <c r="I152" i="5"/>
  <c r="H147" i="5"/>
  <c r="I28" i="5"/>
  <c r="G181" i="5"/>
  <c r="H180" i="5"/>
  <c r="I169" i="5"/>
  <c r="G77" i="5"/>
  <c r="G135" i="5"/>
  <c r="I98" i="5"/>
  <c r="I96" i="5"/>
  <c r="I193" i="5"/>
  <c r="H190" i="5"/>
  <c r="G170" i="5"/>
  <c r="G27" i="5"/>
  <c r="I31" i="5"/>
  <c r="I87" i="5"/>
  <c r="G174" i="5"/>
  <c r="G141" i="5"/>
  <c r="G96" i="5"/>
  <c r="I91" i="5"/>
  <c r="I199" i="5"/>
  <c r="G50" i="5"/>
  <c r="G140" i="5"/>
  <c r="I104" i="5"/>
  <c r="I150" i="5"/>
  <c r="G177" i="5"/>
  <c r="G131" i="5"/>
  <c r="G75" i="5"/>
  <c r="G68" i="5"/>
  <c r="G157" i="5"/>
  <c r="G41" i="5"/>
  <c r="G107" i="5"/>
  <c r="G152" i="5"/>
  <c r="I30" i="5"/>
  <c r="I10" i="5"/>
  <c r="I127" i="5"/>
  <c r="H69" i="5"/>
  <c r="H175" i="5"/>
  <c r="H42" i="5"/>
  <c r="H101" i="5"/>
  <c r="G87" i="5"/>
  <c r="G28" i="5"/>
  <c r="H162" i="5"/>
  <c r="H170" i="5"/>
  <c r="H29" i="5"/>
  <c r="H152" i="5"/>
  <c r="H131" i="5"/>
  <c r="H169" i="5"/>
  <c r="H136" i="5"/>
  <c r="H77" i="5"/>
  <c r="H96" i="5"/>
  <c r="G147" i="5"/>
  <c r="I175" i="5"/>
  <c r="G190" i="5"/>
  <c r="I42" i="5"/>
  <c r="I170" i="5"/>
  <c r="H144" i="5"/>
  <c r="H68" i="5"/>
  <c r="I29" i="5"/>
  <c r="H157" i="5"/>
  <c r="H199" i="5"/>
  <c r="I101" i="5"/>
  <c r="G31" i="5"/>
  <c r="G43" i="5"/>
  <c r="H88" i="5"/>
  <c r="H179" i="5"/>
  <c r="G156" i="5"/>
  <c r="G117" i="5"/>
  <c r="I174" i="5"/>
  <c r="H10" i="5"/>
  <c r="H208" i="5"/>
  <c r="H215" i="5"/>
  <c r="H206" i="5"/>
  <c r="H216" i="5"/>
  <c r="H174" i="5"/>
  <c r="I206" i="5"/>
  <c r="I216" i="5"/>
  <c r="H18" i="5"/>
  <c r="H146" i="5"/>
  <c r="H156" i="5"/>
  <c r="H191" i="5"/>
  <c r="G206" i="5"/>
  <c r="G216" i="5"/>
  <c r="I18" i="5"/>
  <c r="I146" i="5"/>
  <c r="H31" i="5"/>
  <c r="H43" i="5"/>
  <c r="H117" i="5"/>
  <c r="H126" i="5"/>
  <c r="H91" i="5"/>
  <c r="H53" i="5"/>
  <c r="H75" i="5"/>
  <c r="H203" i="5"/>
  <c r="H81" i="5"/>
  <c r="H211" i="5"/>
  <c r="H54" i="5"/>
  <c r="H50" i="5"/>
  <c r="H35" i="5"/>
  <c r="H163" i="5"/>
  <c r="H140" i="5"/>
  <c r="H107" i="5"/>
  <c r="G88" i="5"/>
  <c r="H177" i="5"/>
  <c r="G179" i="5"/>
  <c r="H181" i="5"/>
  <c r="G10" i="5"/>
  <c r="G208" i="5"/>
  <c r="G126" i="5"/>
  <c r="H90" i="5"/>
  <c r="G191" i="5"/>
  <c r="I75" i="5"/>
  <c r="I81" i="5"/>
  <c r="H98" i="5"/>
  <c r="I211" i="5"/>
  <c r="H193" i="5"/>
  <c r="H106" i="5"/>
  <c r="G91" i="5"/>
  <c r="I54" i="5"/>
  <c r="I50" i="5"/>
  <c r="I35" i="5"/>
  <c r="I163" i="5"/>
  <c r="I140" i="5"/>
  <c r="H119" i="5"/>
  <c r="I107" i="5"/>
  <c r="H150" i="5"/>
  <c r="H30" i="5"/>
  <c r="I177" i="5"/>
  <c r="G53" i="5"/>
  <c r="I181" i="5"/>
  <c r="H127" i="5"/>
  <c r="M2" i="5"/>
  <c r="G18" i="5"/>
  <c r="G146" i="5"/>
  <c r="H133" i="5"/>
  <c r="H143" i="5"/>
  <c r="H13" i="5"/>
  <c r="H141" i="5"/>
  <c r="H27" i="5"/>
  <c r="H132" i="5"/>
  <c r="H37" i="5"/>
  <c r="H41" i="5"/>
  <c r="H57" i="5"/>
  <c r="Q8" i="5" a="1"/>
  <c r="Q8" i="5" s="1"/>
  <c r="Q9" i="5" s="1"/>
  <c r="I133" i="5"/>
  <c r="H95" i="5"/>
  <c r="G90" i="5"/>
  <c r="H139" i="5"/>
  <c r="I143" i="5"/>
  <c r="I13" i="5"/>
  <c r="I141" i="5"/>
  <c r="H135" i="5"/>
  <c r="G98" i="5"/>
  <c r="G193" i="5"/>
  <c r="G106" i="5"/>
  <c r="I27" i="5"/>
  <c r="I132" i="5"/>
  <c r="G119" i="5"/>
  <c r="I37" i="5"/>
  <c r="H104" i="5"/>
  <c r="I41" i="5"/>
  <c r="G150" i="5"/>
  <c r="G30" i="5"/>
  <c r="H87" i="5"/>
  <c r="I57" i="5"/>
  <c r="G127" i="5"/>
  <c r="J215" i="5" l="1"/>
  <c r="J95" i="5"/>
  <c r="K95" i="5" s="1"/>
  <c r="L95" i="5" s="1"/>
  <c r="M95" i="5" s="1"/>
  <c r="J43" i="5"/>
  <c r="J180" i="5"/>
  <c r="K180" i="5" s="1"/>
  <c r="L180" i="5" s="1"/>
  <c r="M180" i="5" s="1"/>
  <c r="J199" i="5"/>
  <c r="K199" i="5" s="1"/>
  <c r="L199" i="5" s="1"/>
  <c r="M199" i="5" s="1"/>
  <c r="J140" i="5"/>
  <c r="K140" i="5" s="1"/>
  <c r="L140" i="5" s="1"/>
  <c r="M140" i="5" s="1"/>
  <c r="J203" i="5"/>
  <c r="K203" i="5" s="1"/>
  <c r="L203" i="5" s="1"/>
  <c r="M203" i="5" s="1"/>
  <c r="J190" i="5"/>
  <c r="K190" i="5" s="1"/>
  <c r="L190" i="5" s="1"/>
  <c r="M190" i="5" s="1"/>
  <c r="J139" i="5"/>
  <c r="K139" i="5" s="1"/>
  <c r="L139" i="5" s="1"/>
  <c r="M139" i="5" s="1"/>
  <c r="J54" i="5"/>
  <c r="K54" i="5" s="1"/>
  <c r="L54" i="5" s="1"/>
  <c r="M54" i="5" s="1"/>
  <c r="J191" i="5"/>
  <c r="K191" i="5" s="1"/>
  <c r="L191" i="5" s="1"/>
  <c r="M191" i="5" s="1"/>
  <c r="J141" i="5"/>
  <c r="K141" i="5" s="1"/>
  <c r="L141" i="5" s="1"/>
  <c r="M141" i="5" s="1"/>
  <c r="J50" i="5"/>
  <c r="K50" i="5" s="1"/>
  <c r="L50" i="5" s="1"/>
  <c r="M50" i="5" s="1"/>
  <c r="J28" i="5"/>
  <c r="K28" i="5" s="1"/>
  <c r="L28" i="5" s="1"/>
  <c r="M28" i="5" s="1"/>
  <c r="J75" i="5"/>
  <c r="K75" i="5" s="1"/>
  <c r="L75" i="5" s="1"/>
  <c r="M75" i="5" s="1"/>
  <c r="J147" i="5"/>
  <c r="K147" i="5" s="1"/>
  <c r="L147" i="5" s="1"/>
  <c r="M147" i="5" s="1"/>
  <c r="J41" i="5"/>
  <c r="K41" i="5" s="1"/>
  <c r="L41" i="5" s="1"/>
  <c r="M41" i="5" s="1"/>
  <c r="J157" i="5"/>
  <c r="K157" i="5" s="1"/>
  <c r="L157" i="5" s="1"/>
  <c r="M157" i="5" s="1"/>
  <c r="J35" i="5"/>
  <c r="K35" i="5" s="1"/>
  <c r="L35" i="5" s="1"/>
  <c r="M35" i="5" s="1"/>
  <c r="J96" i="5"/>
  <c r="K96" i="5" s="1"/>
  <c r="L96" i="5" s="1"/>
  <c r="M96" i="5" s="1"/>
  <c r="J162" i="5"/>
  <c r="K162" i="5" s="1"/>
  <c r="L162" i="5" s="1"/>
  <c r="M162" i="5" s="1"/>
  <c r="K215" i="5"/>
  <c r="L215" i="5" s="1"/>
  <c r="M215" i="5" s="1"/>
  <c r="J208" i="5"/>
  <c r="K208" i="5" s="1"/>
  <c r="L208" i="5" s="1"/>
  <c r="M208" i="5" s="1"/>
  <c r="J163" i="5"/>
  <c r="K163" i="5" s="1"/>
  <c r="L163" i="5" s="1"/>
  <c r="M163" i="5" s="1"/>
  <c r="J144" i="5"/>
  <c r="K144" i="5" s="1"/>
  <c r="L144" i="5" s="1"/>
  <c r="M144" i="5" s="1"/>
  <c r="J136" i="5"/>
  <c r="K136" i="5" s="1"/>
  <c r="L136" i="5" s="1"/>
  <c r="M136" i="5" s="1"/>
  <c r="J37" i="5"/>
  <c r="K37" i="5" s="1"/>
  <c r="L37" i="5" s="1"/>
  <c r="M37" i="5" s="1"/>
  <c r="J27" i="5"/>
  <c r="K27" i="5" s="1"/>
  <c r="L27" i="5" s="1"/>
  <c r="M27" i="5" s="1"/>
  <c r="J119" i="5"/>
  <c r="K119" i="5" s="1"/>
  <c r="L119" i="5" s="1"/>
  <c r="M119" i="5" s="1"/>
  <c r="J29" i="5"/>
  <c r="K29" i="5" s="1"/>
  <c r="L29" i="5" s="1"/>
  <c r="M29" i="5" s="1"/>
  <c r="J132" i="5"/>
  <c r="K132" i="5" s="1"/>
  <c r="L132" i="5" s="1"/>
  <c r="M132" i="5" s="1"/>
  <c r="J106" i="5"/>
  <c r="K106" i="5" s="1"/>
  <c r="L106" i="5" s="1"/>
  <c r="M106" i="5" s="1"/>
  <c r="J174" i="5"/>
  <c r="K174" i="5" s="1"/>
  <c r="L174" i="5" s="1"/>
  <c r="M174" i="5" s="1"/>
  <c r="J181" i="5"/>
  <c r="K181" i="5" s="1"/>
  <c r="L181" i="5" s="1"/>
  <c r="M181" i="5" s="1"/>
  <c r="J53" i="5"/>
  <c r="K53" i="5" s="1"/>
  <c r="L53" i="5" s="1"/>
  <c r="M53" i="5" s="1"/>
  <c r="J169" i="5"/>
  <c r="K169" i="5" s="1"/>
  <c r="L169" i="5" s="1"/>
  <c r="M169" i="5" s="1"/>
  <c r="J177" i="5"/>
  <c r="K177" i="5" s="1"/>
  <c r="L177" i="5" s="1"/>
  <c r="M177" i="5" s="1"/>
  <c r="J81" i="5"/>
  <c r="K81" i="5" s="1"/>
  <c r="L81" i="5" s="1"/>
  <c r="M81" i="5" s="1"/>
  <c r="J101" i="5"/>
  <c r="K101" i="5" s="1"/>
  <c r="L101" i="5" s="1"/>
  <c r="M101" i="5" s="1"/>
  <c r="J18" i="5"/>
  <c r="K18" i="5" s="1"/>
  <c r="L18" i="5" s="1"/>
  <c r="M18" i="5" s="1"/>
  <c r="J193" i="5"/>
  <c r="K193" i="5" s="1"/>
  <c r="L193" i="5" s="1"/>
  <c r="M193" i="5" s="1"/>
  <c r="J216" i="5"/>
  <c r="K216" i="5" s="1"/>
  <c r="L216" i="5" s="1"/>
  <c r="M216" i="5" s="1"/>
  <c r="J117" i="5"/>
  <c r="K117" i="5" s="1"/>
  <c r="L117" i="5" s="1"/>
  <c r="M117" i="5" s="1"/>
  <c r="J42" i="5"/>
  <c r="K42" i="5" s="1"/>
  <c r="L42" i="5" s="1"/>
  <c r="M42" i="5" s="1"/>
  <c r="J127" i="5"/>
  <c r="K127" i="5" s="1"/>
  <c r="L127" i="5" s="1"/>
  <c r="M127" i="5" s="1"/>
  <c r="J170" i="5"/>
  <c r="K170" i="5" s="1"/>
  <c r="L170" i="5" s="1"/>
  <c r="M170" i="5" s="1"/>
  <c r="J175" i="5"/>
  <c r="K175" i="5" s="1"/>
  <c r="L175" i="5" s="1"/>
  <c r="M175" i="5" s="1"/>
  <c r="J98" i="5"/>
  <c r="K98" i="5" s="1"/>
  <c r="L98" i="5" s="1"/>
  <c r="M98" i="5" s="1"/>
  <c r="J126" i="5"/>
  <c r="K126" i="5" s="1"/>
  <c r="L126" i="5" s="1"/>
  <c r="M126" i="5" s="1"/>
  <c r="J179" i="5"/>
  <c r="K179" i="5" s="1"/>
  <c r="L179" i="5" s="1"/>
  <c r="M179" i="5" s="1"/>
  <c r="J206" i="5"/>
  <c r="K206" i="5" s="1"/>
  <c r="L206" i="5" s="1"/>
  <c r="M206" i="5" s="1"/>
  <c r="J68" i="5"/>
  <c r="K68" i="5" s="1"/>
  <c r="L68" i="5" s="1"/>
  <c r="M68" i="5" s="1"/>
  <c r="J77" i="5"/>
  <c r="K77" i="5" s="1"/>
  <c r="L77" i="5" s="1"/>
  <c r="M77" i="5" s="1"/>
  <c r="J13" i="5"/>
  <c r="K13" i="5" s="1"/>
  <c r="L13" i="5" s="1"/>
  <c r="M13" i="5" s="1"/>
  <c r="J211" i="5"/>
  <c r="K211" i="5" s="1"/>
  <c r="L211" i="5" s="1"/>
  <c r="M211" i="5" s="1"/>
  <c r="J156" i="5"/>
  <c r="K156" i="5" s="1"/>
  <c r="L156" i="5" s="1"/>
  <c r="M156" i="5" s="1"/>
  <c r="J88" i="5"/>
  <c r="K88" i="5" s="1"/>
  <c r="L88" i="5" s="1"/>
  <c r="M88" i="5" s="1"/>
  <c r="J152" i="5"/>
  <c r="K152" i="5" s="1"/>
  <c r="L152" i="5" s="1"/>
  <c r="M152" i="5" s="1"/>
  <c r="J104" i="5"/>
  <c r="K104" i="5" s="1"/>
  <c r="L104" i="5" s="1"/>
  <c r="M104" i="5" s="1"/>
  <c r="J135" i="5"/>
  <c r="K135" i="5" s="1"/>
  <c r="L135" i="5" s="1"/>
  <c r="M135" i="5" s="1"/>
  <c r="J143" i="5"/>
  <c r="K143" i="5" s="1"/>
  <c r="L143" i="5" s="1"/>
  <c r="M143" i="5" s="1"/>
  <c r="J30" i="5"/>
  <c r="K30" i="5" s="1"/>
  <c r="L30" i="5" s="1"/>
  <c r="M30" i="5" s="1"/>
  <c r="J146" i="5"/>
  <c r="K146" i="5" s="1"/>
  <c r="L146" i="5" s="1"/>
  <c r="M146" i="5" s="1"/>
  <c r="K43" i="5"/>
  <c r="L43" i="5" s="1"/>
  <c r="M43" i="5" s="1"/>
  <c r="J69" i="5"/>
  <c r="K69" i="5" s="1"/>
  <c r="L69" i="5" s="1"/>
  <c r="M69" i="5" s="1"/>
  <c r="J57" i="5"/>
  <c r="K57" i="5" s="1"/>
  <c r="L57" i="5" s="1"/>
  <c r="M57" i="5" s="1"/>
  <c r="J133" i="5"/>
  <c r="K133" i="5" s="1"/>
  <c r="L133" i="5" s="1"/>
  <c r="M133" i="5" s="1"/>
  <c r="J150" i="5"/>
  <c r="K150" i="5" s="1"/>
  <c r="L150" i="5" s="1"/>
  <c r="M150" i="5" s="1"/>
  <c r="J91" i="5"/>
  <c r="K91" i="5" s="1"/>
  <c r="L91" i="5" s="1"/>
  <c r="M91" i="5" s="1"/>
  <c r="J90" i="5"/>
  <c r="K90" i="5" s="1"/>
  <c r="L90" i="5" s="1"/>
  <c r="M90" i="5" s="1"/>
  <c r="J107" i="5"/>
  <c r="K107" i="5" s="1"/>
  <c r="L107" i="5" s="1"/>
  <c r="M107" i="5" s="1"/>
  <c r="J10" i="5"/>
  <c r="K10" i="5" s="1"/>
  <c r="L10" i="5" s="1"/>
  <c r="J31" i="5"/>
  <c r="K31" i="5" s="1"/>
  <c r="L31" i="5" s="1"/>
  <c r="M31" i="5" s="1"/>
  <c r="J131" i="5"/>
  <c r="K131" i="5" s="1"/>
  <c r="L131" i="5" s="1"/>
  <c r="M131" i="5" s="1"/>
  <c r="J87" i="5"/>
  <c r="K87" i="5" s="1"/>
  <c r="L87" i="5" s="1"/>
  <c r="M87" i="5" s="1"/>
  <c r="A2" i="16" l="1" a="1"/>
  <c r="M10" i="5"/>
  <c r="A4" i="1" a="1"/>
  <c r="A5" i="2" a="1"/>
  <c r="A5" i="4" a="1"/>
  <c r="A5" i="9" a="1"/>
  <c r="A5" i="12" a="1"/>
  <c r="A5" i="8" a="1"/>
  <c r="A5" i="3" a="1"/>
  <c r="C3" i="16" l="1"/>
  <c r="C11" i="16"/>
  <c r="C19" i="16"/>
  <c r="C27" i="16"/>
  <c r="C35" i="16"/>
  <c r="C33" i="16"/>
  <c r="C4" i="16"/>
  <c r="C12" i="16"/>
  <c r="C20" i="16"/>
  <c r="C28" i="16"/>
  <c r="C36" i="16"/>
  <c r="C14" i="16"/>
  <c r="C22" i="16"/>
  <c r="C30" i="16"/>
  <c r="C7" i="16"/>
  <c r="C15" i="16"/>
  <c r="C23" i="16"/>
  <c r="C31" i="16"/>
  <c r="C8" i="16"/>
  <c r="C24" i="16"/>
  <c r="C17" i="16"/>
  <c r="C25" i="16"/>
  <c r="C10" i="16"/>
  <c r="C18" i="16"/>
  <c r="C26" i="16"/>
  <c r="C34" i="16"/>
  <c r="C5" i="16"/>
  <c r="C13" i="16"/>
  <c r="C21" i="16"/>
  <c r="C29" i="16"/>
  <c r="C37" i="16"/>
  <c r="C6" i="16"/>
  <c r="C16" i="16"/>
  <c r="C32" i="16"/>
  <c r="C9" i="16"/>
  <c r="C2" i="16"/>
  <c r="O8" i="16"/>
  <c r="O6" i="16"/>
  <c r="O14" i="16"/>
  <c r="AF33" i="16"/>
  <c r="O33" i="16"/>
  <c r="O37" i="16"/>
  <c r="AE33" i="16"/>
  <c r="AF14" i="16"/>
  <c r="O24" i="16"/>
  <c r="AE14" i="16"/>
  <c r="A2" i="16"/>
  <c r="A67" i="3"/>
  <c r="A71" i="3"/>
  <c r="A75" i="3"/>
  <c r="A79" i="3"/>
  <c r="A83" i="3"/>
  <c r="A87" i="3"/>
  <c r="A91" i="3"/>
  <c r="A95" i="3"/>
  <c r="A99" i="3"/>
  <c r="A72" i="3"/>
  <c r="A96" i="3"/>
  <c r="B67" i="3"/>
  <c r="B71" i="3"/>
  <c r="B75" i="3"/>
  <c r="B79" i="3"/>
  <c r="B83" i="3"/>
  <c r="B87" i="3"/>
  <c r="B91" i="3"/>
  <c r="B95" i="3"/>
  <c r="B99" i="3"/>
  <c r="A68" i="3"/>
  <c r="A76" i="3"/>
  <c r="A80" i="3"/>
  <c r="A84" i="3"/>
  <c r="A88" i="3"/>
  <c r="A92" i="3"/>
  <c r="A100" i="3"/>
  <c r="B69" i="3"/>
  <c r="B73" i="3"/>
  <c r="B77" i="3"/>
  <c r="B81" i="3"/>
  <c r="B85" i="3"/>
  <c r="B89" i="3"/>
  <c r="B93" i="3"/>
  <c r="B97" i="3"/>
  <c r="B65" i="3"/>
  <c r="B68" i="3"/>
  <c r="B76" i="3"/>
  <c r="B84" i="3"/>
  <c r="B92" i="3"/>
  <c r="B100" i="3"/>
  <c r="A98" i="3"/>
  <c r="A69" i="3"/>
  <c r="A77" i="3"/>
  <c r="A85" i="3"/>
  <c r="A93" i="3"/>
  <c r="A78" i="3"/>
  <c r="B70" i="3"/>
  <c r="B78" i="3"/>
  <c r="B86" i="3"/>
  <c r="B94" i="3"/>
  <c r="B80" i="3"/>
  <c r="B88" i="3"/>
  <c r="B96" i="3"/>
  <c r="A90" i="3"/>
  <c r="A70" i="3"/>
  <c r="A86" i="3"/>
  <c r="A94" i="3"/>
  <c r="B72" i="3"/>
  <c r="A73" i="3"/>
  <c r="A81" i="3"/>
  <c r="A89" i="3"/>
  <c r="A97" i="3"/>
  <c r="A74" i="3"/>
  <c r="A66" i="3"/>
  <c r="A82" i="3"/>
  <c r="B66" i="3"/>
  <c r="B74" i="3"/>
  <c r="B82" i="3"/>
  <c r="B90" i="3"/>
  <c r="B98" i="3"/>
  <c r="A82" i="8"/>
  <c r="A86" i="8"/>
  <c r="A90" i="8"/>
  <c r="A94" i="8"/>
  <c r="A98" i="8"/>
  <c r="A84" i="8"/>
  <c r="B88" i="8"/>
  <c r="A93" i="8"/>
  <c r="B97" i="8"/>
  <c r="A102" i="8"/>
  <c r="A106" i="8"/>
  <c r="A110" i="8"/>
  <c r="A114" i="8"/>
  <c r="B84" i="8"/>
  <c r="A89" i="8"/>
  <c r="B93" i="8"/>
  <c r="B98" i="8"/>
  <c r="B102" i="8"/>
  <c r="B106" i="8"/>
  <c r="B110" i="8"/>
  <c r="B114" i="8"/>
  <c r="A85" i="8"/>
  <c r="B89" i="8"/>
  <c r="B94" i="8"/>
  <c r="A99" i="8"/>
  <c r="A103" i="8"/>
  <c r="A107" i="8"/>
  <c r="A111" i="8"/>
  <c r="A115" i="8"/>
  <c r="B82" i="8"/>
  <c r="A87" i="8"/>
  <c r="B91" i="8"/>
  <c r="A96" i="8"/>
  <c r="B100" i="8"/>
  <c r="B104" i="8"/>
  <c r="B108" i="8"/>
  <c r="B112" i="8"/>
  <c r="B80" i="8"/>
  <c r="B85" i="8"/>
  <c r="A95" i="8"/>
  <c r="B103" i="8"/>
  <c r="B111" i="8"/>
  <c r="B86" i="8"/>
  <c r="B95" i="8"/>
  <c r="A104" i="8"/>
  <c r="A112" i="8"/>
  <c r="B96" i="8"/>
  <c r="A88" i="8"/>
  <c r="A97" i="8"/>
  <c r="B105" i="8"/>
  <c r="B113" i="8"/>
  <c r="B90" i="8"/>
  <c r="B87" i="8"/>
  <c r="A105" i="8"/>
  <c r="A113" i="8"/>
  <c r="B99" i="8"/>
  <c r="B107" i="8"/>
  <c r="B115" i="8"/>
  <c r="B81" i="8"/>
  <c r="A91" i="8"/>
  <c r="A100" i="8"/>
  <c r="A108" i="8"/>
  <c r="A81" i="8"/>
  <c r="A83" i="8"/>
  <c r="A92" i="8"/>
  <c r="A101" i="8"/>
  <c r="A109" i="8"/>
  <c r="B83" i="8"/>
  <c r="B92" i="8"/>
  <c r="B101" i="8"/>
  <c r="B109" i="8"/>
  <c r="A76" i="9"/>
  <c r="A80" i="9"/>
  <c r="A84" i="9"/>
  <c r="A88" i="9"/>
  <c r="A92" i="9"/>
  <c r="A96" i="9"/>
  <c r="A100" i="9"/>
  <c r="A104" i="9"/>
  <c r="A108" i="9"/>
  <c r="B77" i="9"/>
  <c r="A82" i="9"/>
  <c r="B86" i="9"/>
  <c r="A91" i="9"/>
  <c r="B95" i="9"/>
  <c r="B100" i="9"/>
  <c r="A105" i="9"/>
  <c r="B109" i="9"/>
  <c r="A78" i="9"/>
  <c r="B82" i="9"/>
  <c r="A87" i="9"/>
  <c r="B91" i="9"/>
  <c r="B96" i="9"/>
  <c r="A101" i="9"/>
  <c r="B105" i="9"/>
  <c r="B78" i="9"/>
  <c r="A83" i="9"/>
  <c r="B87" i="9"/>
  <c r="B92" i="9"/>
  <c r="A97" i="9"/>
  <c r="B101" i="9"/>
  <c r="A106" i="9"/>
  <c r="B74" i="9"/>
  <c r="B75" i="9"/>
  <c r="B80" i="9"/>
  <c r="A85" i="9"/>
  <c r="B89" i="9"/>
  <c r="A94" i="9"/>
  <c r="B98" i="9"/>
  <c r="A103" i="9"/>
  <c r="B107" i="9"/>
  <c r="A79" i="9"/>
  <c r="B88" i="9"/>
  <c r="B97" i="9"/>
  <c r="B106" i="9"/>
  <c r="A75" i="9"/>
  <c r="B79" i="9"/>
  <c r="A89" i="9"/>
  <c r="A98" i="9"/>
  <c r="A107" i="9"/>
  <c r="B90" i="9"/>
  <c r="A109" i="9"/>
  <c r="B102" i="9"/>
  <c r="A81" i="9"/>
  <c r="A90" i="9"/>
  <c r="A99" i="9"/>
  <c r="B108" i="9"/>
  <c r="B81" i="9"/>
  <c r="B99" i="9"/>
  <c r="B83" i="9"/>
  <c r="A93" i="9"/>
  <c r="A102" i="9"/>
  <c r="B84" i="9"/>
  <c r="B76" i="9"/>
  <c r="B85" i="9"/>
  <c r="B94" i="9"/>
  <c r="B103" i="9"/>
  <c r="A77" i="9"/>
  <c r="A86" i="9"/>
  <c r="A95" i="9"/>
  <c r="B104" i="9"/>
  <c r="B93" i="9"/>
  <c r="A90" i="2"/>
  <c r="A81" i="2"/>
  <c r="A85" i="2"/>
  <c r="A58" i="2"/>
  <c r="A62" i="2"/>
  <c r="A66" i="2"/>
  <c r="A70" i="2"/>
  <c r="A74" i="2"/>
  <c r="A78" i="2"/>
  <c r="B81" i="2"/>
  <c r="A91" i="2"/>
  <c r="A59" i="2"/>
  <c r="A63" i="2"/>
  <c r="A67" i="2"/>
  <c r="A75" i="2"/>
  <c r="A79" i="2"/>
  <c r="B90" i="2"/>
  <c r="B85" i="2"/>
  <c r="B58" i="2"/>
  <c r="B62" i="2"/>
  <c r="B66" i="2"/>
  <c r="B70" i="2"/>
  <c r="B74" i="2"/>
  <c r="B78" i="2"/>
  <c r="A86" i="2"/>
  <c r="A82" i="2"/>
  <c r="A71" i="2"/>
  <c r="B92" i="2"/>
  <c r="B83" i="2"/>
  <c r="B87" i="2"/>
  <c r="B60" i="2"/>
  <c r="B64" i="2"/>
  <c r="B68" i="2"/>
  <c r="B72" i="2"/>
  <c r="B76" i="2"/>
  <c r="B57" i="2"/>
  <c r="B82" i="2"/>
  <c r="B59" i="2"/>
  <c r="B67" i="2"/>
  <c r="B75" i="2"/>
  <c r="A88" i="2"/>
  <c r="A83" i="2"/>
  <c r="A60" i="2"/>
  <c r="A68" i="2"/>
  <c r="A76" i="2"/>
  <c r="A84" i="2"/>
  <c r="A61" i="2"/>
  <c r="A69" i="2"/>
  <c r="A77" i="2"/>
  <c r="B89" i="2"/>
  <c r="B84" i="2"/>
  <c r="B61" i="2"/>
  <c r="B69" i="2"/>
  <c r="B77" i="2"/>
  <c r="B91" i="2"/>
  <c r="A80" i="2"/>
  <c r="A89" i="2"/>
  <c r="A92" i="2"/>
  <c r="A87" i="2"/>
  <c r="A64" i="2"/>
  <c r="A72" i="2"/>
  <c r="B86" i="2"/>
  <c r="B63" i="2"/>
  <c r="B71" i="2"/>
  <c r="B79" i="2"/>
  <c r="A73" i="2"/>
  <c r="A65" i="2"/>
  <c r="B80" i="2"/>
  <c r="B88" i="2"/>
  <c r="B65" i="2"/>
  <c r="B73" i="2"/>
  <c r="A69" i="12"/>
  <c r="A73" i="12"/>
  <c r="A77" i="12"/>
  <c r="A81" i="12"/>
  <c r="A85" i="12"/>
  <c r="A89" i="12"/>
  <c r="A93" i="12"/>
  <c r="A97" i="12"/>
  <c r="B87" i="12"/>
  <c r="B91" i="12"/>
  <c r="A86" i="12"/>
  <c r="A90" i="12"/>
  <c r="B69" i="12"/>
  <c r="B73" i="12"/>
  <c r="B77" i="12"/>
  <c r="B81" i="12"/>
  <c r="B85" i="12"/>
  <c r="B89" i="12"/>
  <c r="B93" i="12"/>
  <c r="B97" i="12"/>
  <c r="B88" i="12"/>
  <c r="B100" i="12"/>
  <c r="A75" i="12"/>
  <c r="A99" i="12"/>
  <c r="B71" i="12"/>
  <c r="B75" i="12"/>
  <c r="B79" i="12"/>
  <c r="B83" i="12"/>
  <c r="B99" i="12"/>
  <c r="A66" i="12"/>
  <c r="A94" i="12"/>
  <c r="A68" i="12"/>
  <c r="A72" i="12"/>
  <c r="A76" i="12"/>
  <c r="A80" i="12"/>
  <c r="A84" i="12"/>
  <c r="A88" i="12"/>
  <c r="A92" i="12"/>
  <c r="A96" i="12"/>
  <c r="A100" i="12"/>
  <c r="B65" i="12"/>
  <c r="B68" i="12"/>
  <c r="B72" i="12"/>
  <c r="B76" i="12"/>
  <c r="B80" i="12"/>
  <c r="B84" i="12"/>
  <c r="B92" i="12"/>
  <c r="B96" i="12"/>
  <c r="A67" i="12"/>
  <c r="A79" i="12"/>
  <c r="A83" i="12"/>
  <c r="A87" i="12"/>
  <c r="A91" i="12"/>
  <c r="A95" i="12"/>
  <c r="A70" i="12"/>
  <c r="A82" i="12"/>
  <c r="A98" i="12"/>
  <c r="A71" i="12"/>
  <c r="B67" i="12"/>
  <c r="B66" i="12"/>
  <c r="B70" i="12"/>
  <c r="B74" i="12"/>
  <c r="B78" i="12"/>
  <c r="B82" i="12"/>
  <c r="B86" i="12"/>
  <c r="B90" i="12"/>
  <c r="B94" i="12"/>
  <c r="B98" i="12"/>
  <c r="B95" i="12"/>
  <c r="A74" i="12"/>
  <c r="A78" i="12"/>
  <c r="A84" i="4"/>
  <c r="A88" i="4"/>
  <c r="B84" i="4"/>
  <c r="B88" i="4"/>
  <c r="A85" i="4"/>
  <c r="A89" i="4"/>
  <c r="A55" i="4"/>
  <c r="A56" i="4"/>
  <c r="A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9" i="4"/>
  <c r="B55" i="4"/>
  <c r="B56" i="4"/>
  <c r="B57" i="4"/>
  <c r="A87" i="4"/>
  <c r="B87" i="4"/>
  <c r="B85" i="4"/>
  <c r="A60" i="4"/>
  <c r="A68" i="4"/>
  <c r="A76" i="4"/>
  <c r="B54" i="4"/>
  <c r="A61" i="4"/>
  <c r="A63" i="4"/>
  <c r="A71" i="4"/>
  <c r="A79" i="4"/>
  <c r="A69" i="4"/>
  <c r="A77" i="4"/>
  <c r="A64" i="4"/>
  <c r="A75" i="4"/>
  <c r="A86" i="4"/>
  <c r="A66" i="4"/>
  <c r="A74" i="4"/>
  <c r="A82" i="4"/>
  <c r="A58" i="4"/>
  <c r="A67" i="4"/>
  <c r="B86" i="4"/>
  <c r="A59" i="4"/>
  <c r="A62" i="4"/>
  <c r="A70" i="4"/>
  <c r="A78" i="4"/>
  <c r="A65" i="4"/>
  <c r="A73" i="4"/>
  <c r="A81" i="4"/>
  <c r="A72" i="4"/>
  <c r="A80" i="4"/>
  <c r="A83" i="4"/>
  <c r="M17" i="9"/>
  <c r="E24" i="9"/>
  <c r="K24" i="9" s="1"/>
  <c r="AL21" i="16" s="1"/>
  <c r="G25" i="9"/>
  <c r="M25" i="9" s="1"/>
  <c r="I27" i="9"/>
  <c r="AK24" i="16" s="1"/>
  <c r="E28" i="9"/>
  <c r="K28" i="9" s="1"/>
  <c r="AL25" i="16" s="1"/>
  <c r="G29" i="9"/>
  <c r="M29" i="9" s="1"/>
  <c r="C31" i="9"/>
  <c r="I31" i="9" s="1"/>
  <c r="AK28" i="16" s="1"/>
  <c r="E32" i="9"/>
  <c r="K32" i="9" s="1"/>
  <c r="AL29" i="16" s="1"/>
  <c r="G33" i="9"/>
  <c r="M33" i="9" s="1"/>
  <c r="C35" i="9"/>
  <c r="I35" i="9" s="1"/>
  <c r="AK32" i="16" s="1"/>
  <c r="K36" i="9"/>
  <c r="AL33" i="16" s="1"/>
  <c r="G37" i="9"/>
  <c r="M37" i="9" s="1"/>
  <c r="C39" i="9"/>
  <c r="I39" i="9" s="1"/>
  <c r="AK36" i="16" s="1"/>
  <c r="E40" i="9"/>
  <c r="K40" i="9" s="1"/>
  <c r="AL37" i="16" s="1"/>
  <c r="G6" i="9"/>
  <c r="M6" i="9" s="1"/>
  <c r="C8" i="9"/>
  <c r="I8" i="9" s="1"/>
  <c r="AK5" i="16" s="1"/>
  <c r="E9" i="9"/>
  <c r="K9" i="9" s="1"/>
  <c r="AL6" i="16" s="1"/>
  <c r="G10" i="9"/>
  <c r="M10" i="9" s="1"/>
  <c r="C12" i="9"/>
  <c r="I12" i="9" s="1"/>
  <c r="AK9" i="16" s="1"/>
  <c r="E13" i="9"/>
  <c r="K13" i="9" s="1"/>
  <c r="AL10" i="16" s="1"/>
  <c r="G14" i="9"/>
  <c r="M14" i="9" s="1"/>
  <c r="C16" i="9"/>
  <c r="I16" i="9" s="1"/>
  <c r="AK13" i="16" s="1"/>
  <c r="K17" i="9"/>
  <c r="AL14" i="16" s="1"/>
  <c r="H18" i="9"/>
  <c r="D20" i="9"/>
  <c r="J20" i="9" s="1"/>
  <c r="F21" i="9"/>
  <c r="L21" i="9" s="1"/>
  <c r="AM18" i="16" s="1"/>
  <c r="H22" i="9"/>
  <c r="D5" i="9"/>
  <c r="J5" i="9" s="1"/>
  <c r="F40" i="9"/>
  <c r="L40" i="9" s="1"/>
  <c r="AM37" i="16" s="1"/>
  <c r="H10" i="9"/>
  <c r="F13" i="9"/>
  <c r="L13" i="9" s="1"/>
  <c r="AM10" i="16" s="1"/>
  <c r="H14" i="9"/>
  <c r="F17" i="9"/>
  <c r="L17" i="9" s="1"/>
  <c r="AM14" i="16" s="1"/>
  <c r="G21" i="9"/>
  <c r="M21" i="9" s="1"/>
  <c r="C26" i="9"/>
  <c r="I26" i="9" s="1"/>
  <c r="AK23" i="16" s="1"/>
  <c r="C30" i="9"/>
  <c r="I30" i="9" s="1"/>
  <c r="AK27" i="16" s="1"/>
  <c r="E31" i="9"/>
  <c r="K31" i="9" s="1"/>
  <c r="AL28" i="16" s="1"/>
  <c r="C34" i="9"/>
  <c r="I34" i="9" s="1"/>
  <c r="AK31" i="16" s="1"/>
  <c r="M36" i="9"/>
  <c r="C38" i="9"/>
  <c r="I38" i="9" s="1"/>
  <c r="AK35" i="16" s="1"/>
  <c r="F24" i="9"/>
  <c r="L24" i="9" s="1"/>
  <c r="AM21" i="16" s="1"/>
  <c r="H25" i="9"/>
  <c r="J27" i="9"/>
  <c r="F28" i="9"/>
  <c r="L28" i="9" s="1"/>
  <c r="AM25" i="16" s="1"/>
  <c r="H29" i="9"/>
  <c r="D31" i="9"/>
  <c r="J31" i="9" s="1"/>
  <c r="F32" i="9"/>
  <c r="L32" i="9" s="1"/>
  <c r="AM29" i="16" s="1"/>
  <c r="H33" i="9"/>
  <c r="D35" i="9"/>
  <c r="J35" i="9" s="1"/>
  <c r="L36" i="9"/>
  <c r="AM33" i="16" s="1"/>
  <c r="H37" i="9"/>
  <c r="D39" i="9"/>
  <c r="J39" i="9" s="1"/>
  <c r="H6" i="9"/>
  <c r="D8" i="9"/>
  <c r="J8" i="9" s="1"/>
  <c r="F9" i="9"/>
  <c r="L9" i="9" s="1"/>
  <c r="AM6" i="16" s="1"/>
  <c r="D12" i="9"/>
  <c r="J12" i="9" s="1"/>
  <c r="D16" i="9"/>
  <c r="J16" i="9" s="1"/>
  <c r="C19" i="9"/>
  <c r="I19" i="9" s="1"/>
  <c r="AK16" i="16" s="1"/>
  <c r="E20" i="9"/>
  <c r="K20" i="9" s="1"/>
  <c r="AL17" i="16" s="1"/>
  <c r="C23" i="9"/>
  <c r="I23" i="9" s="1"/>
  <c r="AK20" i="16" s="1"/>
  <c r="E5" i="9"/>
  <c r="K5" i="9" s="1"/>
  <c r="G24" i="9"/>
  <c r="M24" i="9" s="1"/>
  <c r="K27" i="9"/>
  <c r="AL24" i="16" s="1"/>
  <c r="G28" i="9"/>
  <c r="M28" i="9" s="1"/>
  <c r="G32" i="9"/>
  <c r="M32" i="9" s="1"/>
  <c r="E35" i="9"/>
  <c r="K35" i="9" s="1"/>
  <c r="AL32" i="16" s="1"/>
  <c r="C24" i="9"/>
  <c r="I24" i="9" s="1"/>
  <c r="AK21" i="16" s="1"/>
  <c r="E25" i="9"/>
  <c r="K25" i="9" s="1"/>
  <c r="AL22" i="16" s="1"/>
  <c r="G26" i="9"/>
  <c r="M26" i="9" s="1"/>
  <c r="C28" i="9"/>
  <c r="I28" i="9" s="1"/>
  <c r="AK25" i="16" s="1"/>
  <c r="E29" i="9"/>
  <c r="K29" i="9" s="1"/>
  <c r="AL26" i="16" s="1"/>
  <c r="G30" i="9"/>
  <c r="M30" i="9" s="1"/>
  <c r="C32" i="9"/>
  <c r="I32" i="9" s="1"/>
  <c r="AK29" i="16" s="1"/>
  <c r="E33" i="9"/>
  <c r="K33" i="9" s="1"/>
  <c r="AL30" i="16" s="1"/>
  <c r="G34" i="9"/>
  <c r="M34" i="9" s="1"/>
  <c r="C36" i="9"/>
  <c r="I36" i="9" s="1"/>
  <c r="AK33" i="16" s="1"/>
  <c r="E37" i="9"/>
  <c r="K37" i="9" s="1"/>
  <c r="AL34" i="16" s="1"/>
  <c r="G38" i="9"/>
  <c r="M38" i="9" s="1"/>
  <c r="C40" i="9"/>
  <c r="I40" i="9" s="1"/>
  <c r="AK37" i="16" s="1"/>
  <c r="E6" i="9"/>
  <c r="K6" i="9" s="1"/>
  <c r="AL3" i="16" s="1"/>
  <c r="G7" i="9"/>
  <c r="M7" i="9" s="1"/>
  <c r="C9" i="9"/>
  <c r="I9" i="9" s="1"/>
  <c r="AK6" i="16" s="1"/>
  <c r="E10" i="9"/>
  <c r="K10" i="9" s="1"/>
  <c r="AL7" i="16" s="1"/>
  <c r="G11" i="9"/>
  <c r="M11" i="9" s="1"/>
  <c r="C13" i="9"/>
  <c r="I13" i="9" s="1"/>
  <c r="AK10" i="16" s="1"/>
  <c r="E14" i="9"/>
  <c r="K14" i="9" s="1"/>
  <c r="AL11" i="16" s="1"/>
  <c r="G15" i="9"/>
  <c r="M15" i="9" s="1"/>
  <c r="C17" i="9"/>
  <c r="I17" i="9" s="1"/>
  <c r="AK14" i="16" s="1"/>
  <c r="F18" i="9"/>
  <c r="L18" i="9" s="1"/>
  <c r="AM15" i="16" s="1"/>
  <c r="H19" i="9"/>
  <c r="D21" i="9"/>
  <c r="J21" i="9" s="1"/>
  <c r="F22" i="9"/>
  <c r="L22" i="9" s="1"/>
  <c r="AM19" i="16" s="1"/>
  <c r="H23" i="9"/>
  <c r="D24" i="9"/>
  <c r="J24" i="9" s="1"/>
  <c r="F25" i="9"/>
  <c r="L25" i="9" s="1"/>
  <c r="AM22" i="16" s="1"/>
  <c r="H26" i="9"/>
  <c r="D28" i="9"/>
  <c r="J28" i="9" s="1"/>
  <c r="F29" i="9"/>
  <c r="L29" i="9" s="1"/>
  <c r="AM26" i="16" s="1"/>
  <c r="H30" i="9"/>
  <c r="D32" i="9"/>
  <c r="J32" i="9" s="1"/>
  <c r="F33" i="9"/>
  <c r="L33" i="9" s="1"/>
  <c r="AM30" i="16" s="1"/>
  <c r="H34" i="9"/>
  <c r="D36" i="9"/>
  <c r="J36" i="9" s="1"/>
  <c r="F37" i="9"/>
  <c r="L37" i="9" s="1"/>
  <c r="AM34" i="16" s="1"/>
  <c r="H38" i="9"/>
  <c r="D40" i="9"/>
  <c r="J40" i="9" s="1"/>
  <c r="F6" i="9"/>
  <c r="L6" i="9" s="1"/>
  <c r="AM3" i="16" s="1"/>
  <c r="D26" i="9"/>
  <c r="J26" i="9" s="1"/>
  <c r="D29" i="9"/>
  <c r="J29" i="9" s="1"/>
  <c r="C33" i="9"/>
  <c r="I33" i="9" s="1"/>
  <c r="AK30" i="16" s="1"/>
  <c r="G39" i="9"/>
  <c r="M39" i="9" s="1"/>
  <c r="E7" i="9"/>
  <c r="K7" i="9" s="1"/>
  <c r="AL4" i="16" s="1"/>
  <c r="G9" i="9"/>
  <c r="M9" i="9" s="1"/>
  <c r="F11" i="9"/>
  <c r="L11" i="9" s="1"/>
  <c r="AM8" i="16" s="1"/>
  <c r="H13" i="9"/>
  <c r="H15" i="9"/>
  <c r="D18" i="9"/>
  <c r="J18" i="9" s="1"/>
  <c r="F20" i="9"/>
  <c r="L20" i="9" s="1"/>
  <c r="AM17" i="16" s="1"/>
  <c r="E22" i="9"/>
  <c r="K22" i="9" s="1"/>
  <c r="AL19" i="16" s="1"/>
  <c r="G5" i="9"/>
  <c r="M5" i="9" s="1"/>
  <c r="F7" i="9"/>
  <c r="L7" i="9" s="1"/>
  <c r="AM4" i="16" s="1"/>
  <c r="H11" i="9"/>
  <c r="C14" i="9"/>
  <c r="I14" i="9" s="1"/>
  <c r="AK11" i="16" s="1"/>
  <c r="E18" i="9"/>
  <c r="K18" i="9" s="1"/>
  <c r="AL15" i="16" s="1"/>
  <c r="G20" i="9"/>
  <c r="M20" i="9" s="1"/>
  <c r="H5" i="9"/>
  <c r="F26" i="9"/>
  <c r="L26" i="9" s="1"/>
  <c r="AM23" i="16" s="1"/>
  <c r="D34" i="9"/>
  <c r="J34" i="9" s="1"/>
  <c r="G40" i="9"/>
  <c r="M40" i="9" s="1"/>
  <c r="C10" i="9"/>
  <c r="I10" i="9" s="1"/>
  <c r="AK7" i="16" s="1"/>
  <c r="D14" i="9"/>
  <c r="J14" i="9" s="1"/>
  <c r="G18" i="9"/>
  <c r="M18" i="9" s="1"/>
  <c r="D23" i="9"/>
  <c r="J23" i="9" s="1"/>
  <c r="F27" i="9"/>
  <c r="L27" i="9" s="1"/>
  <c r="AM24" i="16" s="1"/>
  <c r="F30" i="9"/>
  <c r="L30" i="9" s="1"/>
  <c r="AM27" i="16" s="1"/>
  <c r="E34" i="9"/>
  <c r="K34" i="9" s="1"/>
  <c r="AL31" i="16" s="1"/>
  <c r="D38" i="9"/>
  <c r="J38" i="9" s="1"/>
  <c r="H40" i="9"/>
  <c r="E8" i="9"/>
  <c r="K8" i="9" s="1"/>
  <c r="AL5" i="16" s="1"/>
  <c r="D10" i="9"/>
  <c r="J10" i="9" s="1"/>
  <c r="F12" i="9"/>
  <c r="L12" i="9" s="1"/>
  <c r="AM9" i="16" s="1"/>
  <c r="F14" i="9"/>
  <c r="L14" i="9" s="1"/>
  <c r="AM11" i="16" s="1"/>
  <c r="G16" i="9"/>
  <c r="M16" i="9" s="1"/>
  <c r="D19" i="9"/>
  <c r="J19" i="9" s="1"/>
  <c r="E23" i="9"/>
  <c r="K23" i="9" s="1"/>
  <c r="AL20" i="16" s="1"/>
  <c r="F23" i="9"/>
  <c r="L23" i="9" s="1"/>
  <c r="AM20" i="16" s="1"/>
  <c r="F38" i="9"/>
  <c r="L38" i="9" s="1"/>
  <c r="AM35" i="16" s="1"/>
  <c r="H12" i="9"/>
  <c r="F19" i="9"/>
  <c r="L19" i="9" s="1"/>
  <c r="AM16" i="16" s="1"/>
  <c r="H28" i="9"/>
  <c r="E39" i="9"/>
  <c r="K39" i="9" s="1"/>
  <c r="AL36" i="16" s="1"/>
  <c r="D11" i="9"/>
  <c r="J11" i="9" s="1"/>
  <c r="H17" i="9"/>
  <c r="C5" i="9"/>
  <c r="I5" i="9" s="1"/>
  <c r="D25" i="9"/>
  <c r="J25" i="9" s="1"/>
  <c r="H32" i="9"/>
  <c r="D9" i="9"/>
  <c r="J9" i="9" s="1"/>
  <c r="F15" i="9"/>
  <c r="L15" i="9" s="1"/>
  <c r="AM12" i="16" s="1"/>
  <c r="C18" i="9"/>
  <c r="I18" i="9" s="1"/>
  <c r="AK15" i="16" s="1"/>
  <c r="E26" i="9"/>
  <c r="K26" i="9" s="1"/>
  <c r="AL23" i="16" s="1"/>
  <c r="D30" i="9"/>
  <c r="J30" i="9" s="1"/>
  <c r="D33" i="9"/>
  <c r="J33" i="9" s="1"/>
  <c r="C37" i="9"/>
  <c r="I37" i="9" s="1"/>
  <c r="AK34" i="16" s="1"/>
  <c r="H39" i="9"/>
  <c r="H9" i="9"/>
  <c r="E16" i="9"/>
  <c r="K16" i="9" s="1"/>
  <c r="AL13" i="16" s="1"/>
  <c r="G22" i="9"/>
  <c r="M22" i="9" s="1"/>
  <c r="E30" i="9"/>
  <c r="K30" i="9" s="1"/>
  <c r="AL27" i="16" s="1"/>
  <c r="D37" i="9"/>
  <c r="J37" i="9" s="1"/>
  <c r="H7" i="9"/>
  <c r="E12" i="9"/>
  <c r="K12" i="9" s="1"/>
  <c r="AL9" i="16" s="1"/>
  <c r="F16" i="9"/>
  <c r="L16" i="9" s="1"/>
  <c r="AM13" i="16" s="1"/>
  <c r="H20" i="9"/>
  <c r="C21" i="9"/>
  <c r="I21" i="9" s="1"/>
  <c r="AK18" i="16" s="1"/>
  <c r="E21" i="9"/>
  <c r="K21" i="9" s="1"/>
  <c r="AL18" i="16" s="1"/>
  <c r="H27" i="9"/>
  <c r="F35" i="9"/>
  <c r="L35" i="9" s="1"/>
  <c r="AM32" i="16" s="1"/>
  <c r="G8" i="9"/>
  <c r="M8" i="9" s="1"/>
  <c r="C11" i="9"/>
  <c r="I11" i="9" s="1"/>
  <c r="AK8" i="16" s="1"/>
  <c r="D17" i="9"/>
  <c r="J17" i="9" s="1"/>
  <c r="H31" i="9"/>
  <c r="C7" i="9"/>
  <c r="I7" i="9" s="1"/>
  <c r="AK4" i="16" s="1"/>
  <c r="D13" i="9"/>
  <c r="J13" i="9" s="1"/>
  <c r="G19" i="9"/>
  <c r="M19" i="9" s="1"/>
  <c r="C29" i="9"/>
  <c r="I29" i="9" s="1"/>
  <c r="AK26" i="16" s="1"/>
  <c r="F39" i="9"/>
  <c r="L39" i="9" s="1"/>
  <c r="AM36" i="16" s="1"/>
  <c r="E11" i="9"/>
  <c r="K11" i="9" s="1"/>
  <c r="AL8" i="16" s="1"/>
  <c r="C20" i="9"/>
  <c r="I20" i="9" s="1"/>
  <c r="AK17" i="16" s="1"/>
  <c r="M27" i="9"/>
  <c r="F31" i="9"/>
  <c r="L31" i="9" s="1"/>
  <c r="AM28" i="16" s="1"/>
  <c r="F34" i="9"/>
  <c r="L34" i="9" s="1"/>
  <c r="AM31" i="16" s="1"/>
  <c r="E38" i="9"/>
  <c r="K38" i="9" s="1"/>
  <c r="AL35" i="16" s="1"/>
  <c r="C6" i="9"/>
  <c r="I6" i="9" s="1"/>
  <c r="AK3" i="16" s="1"/>
  <c r="F8" i="9"/>
  <c r="L8" i="9" s="1"/>
  <c r="AM5" i="16" s="1"/>
  <c r="F10" i="9"/>
  <c r="L10" i="9" s="1"/>
  <c r="AM7" i="16" s="1"/>
  <c r="G12" i="9"/>
  <c r="M12" i="9" s="1"/>
  <c r="C15" i="9"/>
  <c r="I15" i="9" s="1"/>
  <c r="AK12" i="16" s="1"/>
  <c r="H16" i="9"/>
  <c r="E19" i="9"/>
  <c r="K19" i="9" s="1"/>
  <c r="AL16" i="16" s="1"/>
  <c r="H24" i="9"/>
  <c r="G31" i="9"/>
  <c r="M31" i="9" s="1"/>
  <c r="D6" i="9"/>
  <c r="J6" i="9" s="1"/>
  <c r="D15" i="9"/>
  <c r="J15" i="9" s="1"/>
  <c r="H21" i="9"/>
  <c r="G23" i="9"/>
  <c r="M23" i="9" s="1"/>
  <c r="I25" i="9"/>
  <c r="AK22" i="16" s="1"/>
  <c r="G35" i="9"/>
  <c r="M35" i="9" s="1"/>
  <c r="H8" i="9"/>
  <c r="E15" i="9"/>
  <c r="K15" i="9" s="1"/>
  <c r="AL12" i="16" s="1"/>
  <c r="C22" i="9"/>
  <c r="I22" i="9" s="1"/>
  <c r="AK19" i="16" s="1"/>
  <c r="H35" i="9"/>
  <c r="D7" i="9"/>
  <c r="J7" i="9" s="1"/>
  <c r="G13" i="9"/>
  <c r="M13" i="9" s="1"/>
  <c r="F5" i="9"/>
  <c r="L5" i="9" s="1"/>
  <c r="AL2" i="16" s="1"/>
  <c r="D22" i="9"/>
  <c r="J22" i="9" s="1"/>
  <c r="H6" i="8"/>
  <c r="H14" i="8"/>
  <c r="H22" i="8"/>
  <c r="H30" i="8"/>
  <c r="H38" i="8"/>
  <c r="G10" i="8"/>
  <c r="G18" i="8"/>
  <c r="G26" i="8"/>
  <c r="G34" i="8"/>
  <c r="H20" i="8"/>
  <c r="G16" i="8"/>
  <c r="G32" i="8"/>
  <c r="H21" i="8"/>
  <c r="G9" i="8"/>
  <c r="H7" i="8"/>
  <c r="H15" i="8"/>
  <c r="H23" i="8"/>
  <c r="H31" i="8"/>
  <c r="H39" i="8"/>
  <c r="G11" i="8"/>
  <c r="G19" i="8"/>
  <c r="G27" i="8"/>
  <c r="G35" i="8"/>
  <c r="H8" i="8"/>
  <c r="H16" i="8"/>
  <c r="H24" i="8"/>
  <c r="H32" i="8"/>
  <c r="H40" i="8"/>
  <c r="G12" i="8"/>
  <c r="G20" i="8"/>
  <c r="G28" i="8"/>
  <c r="G36" i="8"/>
  <c r="H9" i="8"/>
  <c r="H17" i="8"/>
  <c r="H25" i="8"/>
  <c r="H33" i="8"/>
  <c r="H5" i="8"/>
  <c r="G13" i="8"/>
  <c r="G21" i="8"/>
  <c r="G29" i="8"/>
  <c r="G37" i="8"/>
  <c r="G15" i="8"/>
  <c r="G31" i="8"/>
  <c r="G39" i="8"/>
  <c r="H12" i="8"/>
  <c r="H36" i="8"/>
  <c r="G24" i="8"/>
  <c r="H29" i="8"/>
  <c r="G25" i="8"/>
  <c r="G5" i="8"/>
  <c r="H10" i="8"/>
  <c r="H18" i="8"/>
  <c r="H26" i="8"/>
  <c r="H34" i="8"/>
  <c r="G6" i="8"/>
  <c r="G14" i="8"/>
  <c r="G22" i="8"/>
  <c r="G30" i="8"/>
  <c r="G38" i="8"/>
  <c r="H19" i="8"/>
  <c r="H27" i="8"/>
  <c r="H35" i="8"/>
  <c r="G7" i="8"/>
  <c r="G23" i="8"/>
  <c r="H28" i="8"/>
  <c r="G8" i="8"/>
  <c r="G40" i="8"/>
  <c r="H13" i="8"/>
  <c r="H37" i="8"/>
  <c r="G33" i="8"/>
  <c r="H11" i="8"/>
  <c r="G17" i="8"/>
  <c r="F6" i="8"/>
  <c r="F14" i="8"/>
  <c r="F22" i="8"/>
  <c r="F30" i="8"/>
  <c r="F38" i="8"/>
  <c r="F32" i="8"/>
  <c r="F9" i="8"/>
  <c r="F25" i="8"/>
  <c r="F10" i="8"/>
  <c r="F26" i="8"/>
  <c r="F11" i="8"/>
  <c r="F19" i="8"/>
  <c r="F20" i="8"/>
  <c r="F13" i="8"/>
  <c r="F21" i="8"/>
  <c r="F29" i="8"/>
  <c r="F7" i="8"/>
  <c r="F15" i="8"/>
  <c r="F23" i="8"/>
  <c r="F31" i="8"/>
  <c r="F39" i="8"/>
  <c r="F16" i="8"/>
  <c r="F24" i="8"/>
  <c r="F40" i="8"/>
  <c r="F17" i="8"/>
  <c r="F33" i="8"/>
  <c r="F5" i="8"/>
  <c r="F18" i="8"/>
  <c r="F34" i="8"/>
  <c r="F8" i="8"/>
  <c r="F12" i="8"/>
  <c r="F28" i="8"/>
  <c r="F37" i="8"/>
  <c r="C25" i="8"/>
  <c r="C29" i="8"/>
  <c r="C33" i="8"/>
  <c r="C37" i="8"/>
  <c r="I37" i="8" s="1"/>
  <c r="AG34" i="16" s="1"/>
  <c r="C39" i="8"/>
  <c r="C6" i="8"/>
  <c r="C8" i="8"/>
  <c r="C10" i="8"/>
  <c r="C12" i="8"/>
  <c r="C14" i="8"/>
  <c r="I14" i="8" s="1"/>
  <c r="AG11" i="16" s="1"/>
  <c r="C18" i="8"/>
  <c r="C20" i="8"/>
  <c r="C24" i="8"/>
  <c r="I24" i="8" s="1"/>
  <c r="AG21" i="16" s="1"/>
  <c r="C28" i="8"/>
  <c r="C32" i="8"/>
  <c r="C15" i="8"/>
  <c r="C19" i="8"/>
  <c r="C23" i="8"/>
  <c r="D25" i="8"/>
  <c r="J25" i="8" s="1"/>
  <c r="AH22" i="16" s="1"/>
  <c r="D29" i="8"/>
  <c r="J29" i="8" s="1"/>
  <c r="AH26" i="16" s="1"/>
  <c r="D31" i="8"/>
  <c r="J31" i="8" s="1"/>
  <c r="AH28" i="16" s="1"/>
  <c r="D33" i="8"/>
  <c r="J33" i="8" s="1"/>
  <c r="AH30" i="16" s="1"/>
  <c r="D35" i="8"/>
  <c r="J35" i="8" s="1"/>
  <c r="AH32" i="16" s="1"/>
  <c r="D37" i="8"/>
  <c r="J37" i="8" s="1"/>
  <c r="AH34" i="16" s="1"/>
  <c r="D39" i="8"/>
  <c r="J39" i="8" s="1"/>
  <c r="AH36" i="16" s="1"/>
  <c r="D6" i="8"/>
  <c r="J6" i="8" s="1"/>
  <c r="AH3" i="16" s="1"/>
  <c r="D8" i="8"/>
  <c r="J8" i="8" s="1"/>
  <c r="AH5" i="16" s="1"/>
  <c r="D10" i="8"/>
  <c r="J10" i="8" s="1"/>
  <c r="AH7" i="16" s="1"/>
  <c r="D12" i="8"/>
  <c r="J12" i="8" s="1"/>
  <c r="AH9" i="16" s="1"/>
  <c r="D14" i="8"/>
  <c r="J14" i="8" s="1"/>
  <c r="AH11" i="16" s="1"/>
  <c r="D16" i="8"/>
  <c r="J16" i="8" s="1"/>
  <c r="AH13" i="16" s="1"/>
  <c r="D18" i="8"/>
  <c r="J18" i="8" s="1"/>
  <c r="AH15" i="16" s="1"/>
  <c r="D20" i="8"/>
  <c r="J20" i="8" s="1"/>
  <c r="AH17" i="16" s="1"/>
  <c r="D22" i="8"/>
  <c r="J22" i="8" s="1"/>
  <c r="AH19" i="16" s="1"/>
  <c r="D24" i="8"/>
  <c r="J24" i="8" s="1"/>
  <c r="AH21" i="16" s="1"/>
  <c r="E25" i="8"/>
  <c r="K25" i="8" s="1"/>
  <c r="AI22" i="16" s="1"/>
  <c r="K27" i="8"/>
  <c r="AI24" i="16" s="1"/>
  <c r="E29" i="8"/>
  <c r="K29" i="8" s="1"/>
  <c r="AI26" i="16" s="1"/>
  <c r="E31" i="8"/>
  <c r="K31" i="8" s="1"/>
  <c r="AI28" i="16" s="1"/>
  <c r="E33" i="8"/>
  <c r="K33" i="8" s="1"/>
  <c r="AI30" i="16" s="1"/>
  <c r="E35" i="8"/>
  <c r="K35" i="8" s="1"/>
  <c r="AI32" i="16" s="1"/>
  <c r="E37" i="8"/>
  <c r="K37" i="8" s="1"/>
  <c r="AI34" i="16" s="1"/>
  <c r="E39" i="8"/>
  <c r="K39" i="8" s="1"/>
  <c r="AI36" i="16" s="1"/>
  <c r="E6" i="8"/>
  <c r="K6" i="8" s="1"/>
  <c r="AI3" i="16" s="1"/>
  <c r="E8" i="8"/>
  <c r="K8" i="8" s="1"/>
  <c r="AI5" i="16" s="1"/>
  <c r="E10" i="8"/>
  <c r="K10" i="8" s="1"/>
  <c r="AI7" i="16" s="1"/>
  <c r="E12" i="8"/>
  <c r="K12" i="8" s="1"/>
  <c r="AI9" i="16" s="1"/>
  <c r="E14" i="8"/>
  <c r="K14" i="8" s="1"/>
  <c r="AI11" i="16" s="1"/>
  <c r="E16" i="8"/>
  <c r="K16" i="8" s="1"/>
  <c r="AI13" i="16" s="1"/>
  <c r="E18" i="8"/>
  <c r="K18" i="8" s="1"/>
  <c r="AI15" i="16" s="1"/>
  <c r="E20" i="8"/>
  <c r="K20" i="8" s="1"/>
  <c r="AI17" i="16" s="1"/>
  <c r="E22" i="8"/>
  <c r="K22" i="8" s="1"/>
  <c r="AI19" i="16" s="1"/>
  <c r="E24" i="8"/>
  <c r="K24" i="8" s="1"/>
  <c r="AI21" i="16" s="1"/>
  <c r="C26" i="8"/>
  <c r="C30" i="8"/>
  <c r="C34" i="8"/>
  <c r="C38" i="8"/>
  <c r="C7" i="8"/>
  <c r="C9" i="8"/>
  <c r="C13" i="8"/>
  <c r="C17" i="8"/>
  <c r="C21" i="8"/>
  <c r="C5" i="8"/>
  <c r="D26" i="8"/>
  <c r="J26" i="8" s="1"/>
  <c r="AH23" i="16" s="1"/>
  <c r="D28" i="8"/>
  <c r="J28" i="8" s="1"/>
  <c r="AH25" i="16" s="1"/>
  <c r="D30" i="8"/>
  <c r="J30" i="8" s="1"/>
  <c r="AH27" i="16" s="1"/>
  <c r="D32" i="8"/>
  <c r="J32" i="8" s="1"/>
  <c r="AH29" i="16" s="1"/>
  <c r="D34" i="8"/>
  <c r="J34" i="8" s="1"/>
  <c r="AH31" i="16" s="1"/>
  <c r="D38" i="8"/>
  <c r="J38" i="8" s="1"/>
  <c r="AH35" i="16" s="1"/>
  <c r="D40" i="8"/>
  <c r="J40" i="8" s="1"/>
  <c r="AH37" i="16" s="1"/>
  <c r="D7" i="8"/>
  <c r="J7" i="8" s="1"/>
  <c r="AH4" i="16" s="1"/>
  <c r="D9" i="8"/>
  <c r="J9" i="8" s="1"/>
  <c r="AH6" i="16" s="1"/>
  <c r="D11" i="8"/>
  <c r="J11" i="8" s="1"/>
  <c r="AH8" i="16" s="1"/>
  <c r="D13" i="8"/>
  <c r="J13" i="8" s="1"/>
  <c r="AH10" i="16" s="1"/>
  <c r="D15" i="8"/>
  <c r="J15" i="8" s="1"/>
  <c r="AH12" i="16" s="1"/>
  <c r="D17" i="8"/>
  <c r="J17" i="8" s="1"/>
  <c r="AH14" i="16" s="1"/>
  <c r="D19" i="8"/>
  <c r="J19" i="8" s="1"/>
  <c r="AH16" i="16" s="1"/>
  <c r="D21" i="8"/>
  <c r="J21" i="8" s="1"/>
  <c r="AH18" i="16" s="1"/>
  <c r="D23" i="8"/>
  <c r="J23" i="8" s="1"/>
  <c r="AH20" i="16" s="1"/>
  <c r="D5" i="8"/>
  <c r="J5" i="8" s="1"/>
  <c r="AH2" i="16" s="1"/>
  <c r="E26" i="8"/>
  <c r="K26" i="8" s="1"/>
  <c r="AI23" i="16" s="1"/>
  <c r="E28" i="8"/>
  <c r="K28" i="8" s="1"/>
  <c r="AI25" i="16" s="1"/>
  <c r="E30" i="8"/>
  <c r="K30" i="8" s="1"/>
  <c r="AI27" i="16" s="1"/>
  <c r="E32" i="8"/>
  <c r="K32" i="8" s="1"/>
  <c r="AI29" i="16" s="1"/>
  <c r="E34" i="8"/>
  <c r="K34" i="8" s="1"/>
  <c r="AI31" i="16" s="1"/>
  <c r="E36" i="8"/>
  <c r="K36" i="8" s="1"/>
  <c r="AI33" i="16" s="1"/>
  <c r="E38" i="8"/>
  <c r="K38" i="8" s="1"/>
  <c r="AI35" i="16" s="1"/>
  <c r="E40" i="8"/>
  <c r="K40" i="8" s="1"/>
  <c r="AI37" i="16" s="1"/>
  <c r="E7" i="8"/>
  <c r="K7" i="8" s="1"/>
  <c r="AI4" i="16" s="1"/>
  <c r="E9" i="8"/>
  <c r="K9" i="8" s="1"/>
  <c r="AI6" i="16" s="1"/>
  <c r="E11" i="8"/>
  <c r="K11" i="8" s="1"/>
  <c r="AI8" i="16" s="1"/>
  <c r="E13" i="8"/>
  <c r="K13" i="8" s="1"/>
  <c r="AI10" i="16" s="1"/>
  <c r="E15" i="8"/>
  <c r="K15" i="8" s="1"/>
  <c r="AI12" i="16" s="1"/>
  <c r="E17" i="8"/>
  <c r="K17" i="8" s="1"/>
  <c r="AI14" i="16" s="1"/>
  <c r="E19" i="8"/>
  <c r="K19" i="8" s="1"/>
  <c r="AI16" i="16" s="1"/>
  <c r="E21" i="8"/>
  <c r="K21" i="8" s="1"/>
  <c r="AI18" i="16" s="1"/>
  <c r="E23" i="8"/>
  <c r="K23" i="8" s="1"/>
  <c r="AI20" i="16" s="1"/>
  <c r="E5" i="8"/>
  <c r="K5" i="8" s="1"/>
  <c r="AI2" i="16" s="1"/>
  <c r="J6" i="3"/>
  <c r="R6" i="3" s="1"/>
  <c r="V3" i="16" s="1"/>
  <c r="J36" i="3"/>
  <c r="R36" i="3" s="1"/>
  <c r="V33" i="16" s="1"/>
  <c r="J12" i="3"/>
  <c r="R12" i="3" s="1"/>
  <c r="V9" i="16" s="1"/>
  <c r="J17" i="3"/>
  <c r="R17" i="3" s="1"/>
  <c r="V14" i="16" s="1"/>
  <c r="J34" i="3"/>
  <c r="R34" i="3" s="1"/>
  <c r="V31" i="16" s="1"/>
  <c r="J14" i="3"/>
  <c r="R14" i="3" s="1"/>
  <c r="V11" i="16" s="1"/>
  <c r="J7" i="3"/>
  <c r="R7" i="3" s="1"/>
  <c r="V4" i="16" s="1"/>
  <c r="J13" i="3"/>
  <c r="R13" i="3" s="1"/>
  <c r="V10" i="16" s="1"/>
  <c r="J5" i="3"/>
  <c r="R5" i="3" s="1"/>
  <c r="J35" i="3"/>
  <c r="R35" i="3" s="1"/>
  <c r="V32" i="16" s="1"/>
  <c r="J22" i="3"/>
  <c r="R22" i="3" s="1"/>
  <c r="V19" i="16" s="1"/>
  <c r="J15" i="3"/>
  <c r="R15" i="3" s="1"/>
  <c r="V12" i="16" s="1"/>
  <c r="J37" i="3"/>
  <c r="R37" i="3" s="1"/>
  <c r="V34" i="16" s="1"/>
  <c r="J19" i="3"/>
  <c r="R19" i="3" s="1"/>
  <c r="V16" i="16" s="1"/>
  <c r="J28" i="3"/>
  <c r="R28" i="3" s="1"/>
  <c r="V25" i="16" s="1"/>
  <c r="J30" i="3"/>
  <c r="R30" i="3" s="1"/>
  <c r="V27" i="16" s="1"/>
  <c r="J23" i="3"/>
  <c r="R23" i="3" s="1"/>
  <c r="V20" i="16" s="1"/>
  <c r="J8" i="3"/>
  <c r="R8" i="3" s="1"/>
  <c r="V5" i="16" s="1"/>
  <c r="J20" i="3"/>
  <c r="R20" i="3" s="1"/>
  <c r="V17" i="16" s="1"/>
  <c r="J29" i="3"/>
  <c r="R29" i="3" s="1"/>
  <c r="V26" i="16" s="1"/>
  <c r="J38" i="3"/>
  <c r="R38" i="3" s="1"/>
  <c r="V35" i="16" s="1"/>
  <c r="J31" i="3"/>
  <c r="R31" i="3" s="1"/>
  <c r="V28" i="16" s="1"/>
  <c r="J16" i="3"/>
  <c r="R16" i="3" s="1"/>
  <c r="V13" i="16" s="1"/>
  <c r="J21" i="3"/>
  <c r="R21" i="3" s="1"/>
  <c r="V18" i="16" s="1"/>
  <c r="J9" i="3"/>
  <c r="R9" i="3" s="1"/>
  <c r="V6" i="16" s="1"/>
  <c r="J39" i="3"/>
  <c r="R39" i="3" s="1"/>
  <c r="V36" i="16" s="1"/>
  <c r="J24" i="3"/>
  <c r="R24" i="3" s="1"/>
  <c r="V21" i="16" s="1"/>
  <c r="J10" i="3"/>
  <c r="R10" i="3" s="1"/>
  <c r="V7" i="16" s="1"/>
  <c r="J25" i="3"/>
  <c r="R25" i="3" s="1"/>
  <c r="V22" i="16" s="1"/>
  <c r="J33" i="3"/>
  <c r="R33" i="3" s="1"/>
  <c r="V30" i="16" s="1"/>
  <c r="J32" i="3"/>
  <c r="R32" i="3" s="1"/>
  <c r="V29" i="16" s="1"/>
  <c r="J18" i="3"/>
  <c r="R18" i="3" s="1"/>
  <c r="V15" i="16" s="1"/>
  <c r="J11" i="3"/>
  <c r="R11" i="3" s="1"/>
  <c r="V8" i="16" s="1"/>
  <c r="J27" i="3"/>
  <c r="R27" i="3" s="1"/>
  <c r="V24" i="16" s="1"/>
  <c r="J40" i="3"/>
  <c r="R40" i="3" s="1"/>
  <c r="V37" i="16" s="1"/>
  <c r="J26" i="3"/>
  <c r="R26" i="3" s="1"/>
  <c r="V23" i="16" s="1"/>
  <c r="D12" i="3"/>
  <c r="D5" i="3"/>
  <c r="D38" i="3"/>
  <c r="D8" i="3"/>
  <c r="D30" i="3"/>
  <c r="E13" i="3"/>
  <c r="D36" i="3"/>
  <c r="E38" i="3"/>
  <c r="D39" i="3"/>
  <c r="E18" i="3"/>
  <c r="E9" i="3"/>
  <c r="E6" i="3"/>
  <c r="E36" i="3"/>
  <c r="E17" i="3"/>
  <c r="E7" i="3"/>
  <c r="D11" i="3"/>
  <c r="E35" i="3"/>
  <c r="D19" i="3"/>
  <c r="D10" i="3"/>
  <c r="E25" i="3"/>
  <c r="D24" i="3"/>
  <c r="D27" i="3"/>
  <c r="D17" i="3"/>
  <c r="E10" i="3"/>
  <c r="D15" i="3"/>
  <c r="D25" i="3"/>
  <c r="E27" i="3"/>
  <c r="E34" i="3"/>
  <c r="E26" i="3"/>
  <c r="E31" i="3"/>
  <c r="D40" i="3"/>
  <c r="E24" i="3"/>
  <c r="E12" i="3"/>
  <c r="D33" i="3"/>
  <c r="E8" i="3"/>
  <c r="D14" i="3"/>
  <c r="E32" i="3"/>
  <c r="D21" i="3"/>
  <c r="E22" i="3"/>
  <c r="D22" i="3"/>
  <c r="E15" i="3"/>
  <c r="E16" i="3"/>
  <c r="D29" i="3"/>
  <c r="D6" i="3"/>
  <c r="D37" i="3"/>
  <c r="D20" i="3"/>
  <c r="D34" i="3"/>
  <c r="D9" i="3"/>
  <c r="D28" i="3"/>
  <c r="A5" i="3"/>
  <c r="A65" i="3" s="1"/>
  <c r="E14" i="3"/>
  <c r="E23" i="3"/>
  <c r="E19" i="3"/>
  <c r="D7" i="3"/>
  <c r="E33" i="3"/>
  <c r="E20" i="3"/>
  <c r="D35" i="3"/>
  <c r="E11" i="3"/>
  <c r="D23" i="3"/>
  <c r="E37" i="3"/>
  <c r="E30" i="3"/>
  <c r="D13" i="3"/>
  <c r="D16" i="3"/>
  <c r="E21" i="3"/>
  <c r="E39" i="3"/>
  <c r="D32" i="3"/>
  <c r="E5" i="3"/>
  <c r="E40" i="3"/>
  <c r="E29" i="3"/>
  <c r="D26" i="3"/>
  <c r="D31" i="3"/>
  <c r="E28" i="3"/>
  <c r="D18" i="3"/>
  <c r="A5" i="8"/>
  <c r="A80" i="8" s="1"/>
  <c r="J36" i="8"/>
  <c r="AH33" i="16" s="1"/>
  <c r="J27" i="8"/>
  <c r="AH24" i="16" s="1"/>
  <c r="G6" i="12"/>
  <c r="O6" i="12" s="1"/>
  <c r="AF3" i="16" s="1"/>
  <c r="G32" i="12"/>
  <c r="O32" i="12" s="1"/>
  <c r="AF29" i="16" s="1"/>
  <c r="F8" i="12"/>
  <c r="N8" i="12" s="1"/>
  <c r="AE5" i="16" s="1"/>
  <c r="G21" i="12"/>
  <c r="O21" i="12" s="1"/>
  <c r="AF18" i="16" s="1"/>
  <c r="F34" i="12"/>
  <c r="N34" i="12" s="1"/>
  <c r="AE31" i="16" s="1"/>
  <c r="F13" i="12"/>
  <c r="N13" i="12" s="1"/>
  <c r="AE10" i="16" s="1"/>
  <c r="G26" i="12"/>
  <c r="O26" i="12" s="1"/>
  <c r="AF23" i="16" s="1"/>
  <c r="F19" i="12"/>
  <c r="N19" i="12" s="1"/>
  <c r="AE16" i="16" s="1"/>
  <c r="G9" i="12"/>
  <c r="O9" i="12" s="1"/>
  <c r="AF6" i="16" s="1"/>
  <c r="G35" i="12"/>
  <c r="O35" i="12" s="1"/>
  <c r="AF32" i="16" s="1"/>
  <c r="F12" i="12"/>
  <c r="N12" i="12" s="1"/>
  <c r="AE9" i="16" s="1"/>
  <c r="H40" i="12"/>
  <c r="P40" i="12" s="1"/>
  <c r="H18" i="12"/>
  <c r="P18" i="12" s="1"/>
  <c r="H12" i="12"/>
  <c r="P12" i="12" s="1"/>
  <c r="H19" i="12"/>
  <c r="P19" i="12" s="1"/>
  <c r="J28" i="12"/>
  <c r="J31" i="12"/>
  <c r="J23" i="12"/>
  <c r="J34" i="12"/>
  <c r="J20" i="12"/>
  <c r="F21" i="12"/>
  <c r="N21" i="12" s="1"/>
  <c r="AE18" i="16" s="1"/>
  <c r="F5" i="12"/>
  <c r="N5" i="12" s="1"/>
  <c r="AE2" i="16" s="1"/>
  <c r="F24" i="12"/>
  <c r="N24" i="12" s="1"/>
  <c r="AE21" i="16" s="1"/>
  <c r="G33" i="12"/>
  <c r="O33" i="12" s="1"/>
  <c r="AF30" i="16" s="1"/>
  <c r="F7" i="12"/>
  <c r="N7" i="12" s="1"/>
  <c r="AE4" i="16" s="1"/>
  <c r="H29" i="12"/>
  <c r="P29" i="12" s="1"/>
  <c r="H30" i="12"/>
  <c r="P30" i="12" s="1"/>
  <c r="H7" i="12"/>
  <c r="P7" i="12" s="1"/>
  <c r="I5" i="12"/>
  <c r="G11" i="12"/>
  <c r="O11" i="12" s="1"/>
  <c r="AF8" i="16" s="1"/>
  <c r="G16" i="12"/>
  <c r="O16" i="12" s="1"/>
  <c r="AF13" i="16" s="1"/>
  <c r="F9" i="12"/>
  <c r="N9" i="12" s="1"/>
  <c r="AE6" i="16" s="1"/>
  <c r="G22" i="12"/>
  <c r="O22" i="12" s="1"/>
  <c r="AF19" i="16" s="1"/>
  <c r="F35" i="12"/>
  <c r="N35" i="12" s="1"/>
  <c r="AE32" i="16" s="1"/>
  <c r="G25" i="12"/>
  <c r="O25" i="12" s="1"/>
  <c r="AF22" i="16" s="1"/>
  <c r="F22" i="12"/>
  <c r="N22" i="12" s="1"/>
  <c r="AE19" i="16" s="1"/>
  <c r="H31" i="12"/>
  <c r="P31" i="12" s="1"/>
  <c r="H34" i="12"/>
  <c r="P34" i="12" s="1"/>
  <c r="H5" i="12"/>
  <c r="P5" i="12" s="1"/>
  <c r="H17" i="12"/>
  <c r="P17" i="12" s="1"/>
  <c r="H36" i="12"/>
  <c r="P36" i="12" s="1"/>
  <c r="H37" i="12"/>
  <c r="P37" i="12" s="1"/>
  <c r="J29" i="12"/>
  <c r="J38" i="12"/>
  <c r="J5" i="12"/>
  <c r="J33" i="12"/>
  <c r="F11" i="12"/>
  <c r="N11" i="12" s="1"/>
  <c r="AE8" i="16" s="1"/>
  <c r="G24" i="12"/>
  <c r="O24" i="12" s="1"/>
  <c r="AF21" i="16" s="1"/>
  <c r="F26" i="12"/>
  <c r="N26" i="12" s="1"/>
  <c r="AE23" i="16" s="1"/>
  <c r="G39" i="12"/>
  <c r="O39" i="12" s="1"/>
  <c r="AF36" i="16" s="1"/>
  <c r="F38" i="12"/>
  <c r="N38" i="12" s="1"/>
  <c r="AE35" i="16" s="1"/>
  <c r="G18" i="12"/>
  <c r="O18" i="12" s="1"/>
  <c r="AF15" i="16" s="1"/>
  <c r="F31" i="12"/>
  <c r="N31" i="12" s="1"/>
  <c r="AE28" i="16" s="1"/>
  <c r="G13" i="12"/>
  <c r="O13" i="12" s="1"/>
  <c r="AF10" i="16" s="1"/>
  <c r="F37" i="12"/>
  <c r="N37" i="12" s="1"/>
  <c r="AE34" i="16" s="1"/>
  <c r="F14" i="12"/>
  <c r="N14" i="12" s="1"/>
  <c r="AE11" i="16" s="1"/>
  <c r="G27" i="12"/>
  <c r="O27" i="12" s="1"/>
  <c r="AF24" i="16" s="1"/>
  <c r="G20" i="12"/>
  <c r="O20" i="12" s="1"/>
  <c r="AF17" i="16" s="1"/>
  <c r="G10" i="12"/>
  <c r="O10" i="12" s="1"/>
  <c r="AF7" i="16" s="1"/>
  <c r="F39" i="12"/>
  <c r="N39" i="12" s="1"/>
  <c r="AE36" i="16" s="1"/>
  <c r="G31" i="12"/>
  <c r="O31" i="12" s="1"/>
  <c r="AF28" i="16" s="1"/>
  <c r="F20" i="12"/>
  <c r="N20" i="12" s="1"/>
  <c r="AE17" i="16" s="1"/>
  <c r="G12" i="12"/>
  <c r="O12" i="12" s="1"/>
  <c r="AF9" i="16" s="1"/>
  <c r="F25" i="12"/>
  <c r="N25" i="12" s="1"/>
  <c r="AE22" i="16" s="1"/>
  <c r="G28" i="12"/>
  <c r="O28" i="12" s="1"/>
  <c r="AF25" i="16" s="1"/>
  <c r="G38" i="12"/>
  <c r="O38" i="12" s="1"/>
  <c r="AF35" i="16" s="1"/>
  <c r="F30" i="12"/>
  <c r="N30" i="12" s="1"/>
  <c r="AE27" i="16" s="1"/>
  <c r="G14" i="12"/>
  <c r="O14" i="12" s="1"/>
  <c r="AF11" i="16" s="1"/>
  <c r="F16" i="12"/>
  <c r="N16" i="12" s="1"/>
  <c r="AE13" i="16" s="1"/>
  <c r="G29" i="12"/>
  <c r="O29" i="12" s="1"/>
  <c r="AF26" i="16" s="1"/>
  <c r="G8" i="12"/>
  <c r="O8" i="12" s="1"/>
  <c r="AF5" i="16" s="1"/>
  <c r="G34" i="12"/>
  <c r="O34" i="12" s="1"/>
  <c r="AF31" i="16" s="1"/>
  <c r="F28" i="12"/>
  <c r="N28" i="12" s="1"/>
  <c r="AE25" i="16" s="1"/>
  <c r="F27" i="12"/>
  <c r="N27" i="12" s="1"/>
  <c r="AE24" i="16" s="1"/>
  <c r="G40" i="12"/>
  <c r="O40" i="12" s="1"/>
  <c r="AF37" i="16" s="1"/>
  <c r="F33" i="12"/>
  <c r="N33" i="12" s="1"/>
  <c r="AE30" i="16" s="1"/>
  <c r="F29" i="12"/>
  <c r="N29" i="12" s="1"/>
  <c r="AE26" i="16" s="1"/>
  <c r="G5" i="12"/>
  <c r="O5" i="12" s="1"/>
  <c r="AF2" i="16" s="1"/>
  <c r="F18" i="12"/>
  <c r="N18" i="12" s="1"/>
  <c r="AE15" i="16" s="1"/>
  <c r="F23" i="12"/>
  <c r="N23" i="12" s="1"/>
  <c r="AE20" i="16" s="1"/>
  <c r="F6" i="12"/>
  <c r="N6" i="12" s="1"/>
  <c r="AE3" i="16" s="1"/>
  <c r="G19" i="12"/>
  <c r="O19" i="12" s="1"/>
  <c r="AF16" i="16" s="1"/>
  <c r="F32" i="12"/>
  <c r="N32" i="12" s="1"/>
  <c r="AE29" i="16" s="1"/>
  <c r="G37" i="12"/>
  <c r="O37" i="12" s="1"/>
  <c r="AF34" i="16" s="1"/>
  <c r="F15" i="12"/>
  <c r="N15" i="12" s="1"/>
  <c r="AE12" i="16" s="1"/>
  <c r="G15" i="12"/>
  <c r="O15" i="12" s="1"/>
  <c r="AF12" i="16" s="1"/>
  <c r="F10" i="12"/>
  <c r="N10" i="12" s="1"/>
  <c r="AE7" i="16" s="1"/>
  <c r="G23" i="12"/>
  <c r="O23" i="12" s="1"/>
  <c r="AF20" i="16" s="1"/>
  <c r="G30" i="12"/>
  <c r="O30" i="12" s="1"/>
  <c r="AF27" i="16" s="1"/>
  <c r="G7" i="12"/>
  <c r="O7" i="12" s="1"/>
  <c r="AF4" i="16" s="1"/>
  <c r="F40" i="12"/>
  <c r="N40" i="12" s="1"/>
  <c r="AE37" i="16" s="1"/>
  <c r="H26" i="12"/>
  <c r="P26" i="12" s="1"/>
  <c r="H23" i="12"/>
  <c r="P23" i="12" s="1"/>
  <c r="H28" i="12"/>
  <c r="P28" i="12" s="1"/>
  <c r="H38" i="12"/>
  <c r="P38" i="12" s="1"/>
  <c r="J24" i="12"/>
  <c r="J18" i="12"/>
  <c r="J16" i="12"/>
  <c r="J11" i="12"/>
  <c r="H16" i="12"/>
  <c r="P16" i="12" s="1"/>
  <c r="H9" i="12"/>
  <c r="P9" i="12" s="1"/>
  <c r="J36" i="12"/>
  <c r="J27" i="12"/>
  <c r="J12" i="12"/>
  <c r="J25" i="12"/>
  <c r="H24" i="12"/>
  <c r="P24" i="12" s="1"/>
  <c r="H21" i="12"/>
  <c r="P21" i="12" s="1"/>
  <c r="H32" i="12"/>
  <c r="P32" i="12" s="1"/>
  <c r="J14" i="12"/>
  <c r="J8" i="12"/>
  <c r="J22" i="12"/>
  <c r="J32" i="12"/>
  <c r="H25" i="12"/>
  <c r="P25" i="12" s="1"/>
  <c r="H11" i="12"/>
  <c r="P11" i="12" s="1"/>
  <c r="H13" i="12"/>
  <c r="P13" i="12" s="1"/>
  <c r="J15" i="12"/>
  <c r="J40" i="12"/>
  <c r="J21" i="12"/>
  <c r="J13" i="12"/>
  <c r="H8" i="12"/>
  <c r="P8" i="12" s="1"/>
  <c r="J7" i="12"/>
  <c r="J17" i="12"/>
  <c r="J9" i="12"/>
  <c r="H14" i="12"/>
  <c r="P14" i="12" s="1"/>
  <c r="H22" i="12"/>
  <c r="P22" i="12" s="1"/>
  <c r="J39" i="12"/>
  <c r="J6" i="12"/>
  <c r="H10" i="12"/>
  <c r="P10" i="12" s="1"/>
  <c r="J10" i="12"/>
  <c r="H27" i="12"/>
  <c r="P27" i="12" s="1"/>
  <c r="H33" i="12"/>
  <c r="P33" i="12" s="1"/>
  <c r="J30" i="12"/>
  <c r="H39" i="12"/>
  <c r="P39" i="12" s="1"/>
  <c r="H15" i="12"/>
  <c r="P15" i="12" s="1"/>
  <c r="H20" i="12"/>
  <c r="P20" i="12" s="1"/>
  <c r="J26" i="12"/>
  <c r="H35" i="12"/>
  <c r="P35" i="12" s="1"/>
  <c r="A5" i="12"/>
  <c r="A65" i="12" s="1"/>
  <c r="J35" i="12"/>
  <c r="J37" i="12"/>
  <c r="H6" i="12"/>
  <c r="P6" i="12" s="1"/>
  <c r="J19" i="12"/>
  <c r="A5" i="9"/>
  <c r="A74" i="9" s="1"/>
  <c r="D7" i="4"/>
  <c r="I7" i="4" s="1"/>
  <c r="X4" i="16" s="1"/>
  <c r="G8" i="4"/>
  <c r="L8" i="4" s="1"/>
  <c r="AA5" i="16" s="1"/>
  <c r="E10" i="4"/>
  <c r="J10" i="4" s="1"/>
  <c r="Y7" i="16" s="1"/>
  <c r="C12" i="4"/>
  <c r="H12" i="4" s="1"/>
  <c r="W9" i="16" s="1"/>
  <c r="F13" i="4"/>
  <c r="K13" i="4" s="1"/>
  <c r="Z10" i="16" s="1"/>
  <c r="D15" i="4"/>
  <c r="I15" i="4" s="1"/>
  <c r="X12" i="16" s="1"/>
  <c r="G16" i="4"/>
  <c r="L16" i="4" s="1"/>
  <c r="AA13" i="16" s="1"/>
  <c r="E18" i="4"/>
  <c r="J18" i="4" s="1"/>
  <c r="Y15" i="16" s="1"/>
  <c r="C20" i="4"/>
  <c r="H20" i="4" s="1"/>
  <c r="W17" i="16" s="1"/>
  <c r="F21" i="4"/>
  <c r="K21" i="4" s="1"/>
  <c r="Z18" i="16" s="1"/>
  <c r="D23" i="4"/>
  <c r="I23" i="4" s="1"/>
  <c r="X20" i="16" s="1"/>
  <c r="G24" i="4"/>
  <c r="L24" i="4" s="1"/>
  <c r="AA21" i="16" s="1"/>
  <c r="E26" i="4"/>
  <c r="J26" i="4" s="1"/>
  <c r="Y23" i="16" s="1"/>
  <c r="C28" i="4"/>
  <c r="H28" i="4" s="1"/>
  <c r="W25" i="16" s="1"/>
  <c r="F29" i="4"/>
  <c r="K29" i="4" s="1"/>
  <c r="Z26" i="16" s="1"/>
  <c r="D31" i="4"/>
  <c r="I31" i="4" s="1"/>
  <c r="X28" i="16" s="1"/>
  <c r="G32" i="4"/>
  <c r="L32" i="4" s="1"/>
  <c r="AA29" i="16" s="1"/>
  <c r="E34" i="4"/>
  <c r="J34" i="4" s="1"/>
  <c r="Y31" i="16" s="1"/>
  <c r="C36" i="4"/>
  <c r="H36" i="4" s="1"/>
  <c r="W33" i="16" s="1"/>
  <c r="F37" i="4"/>
  <c r="K37" i="4" s="1"/>
  <c r="Z34" i="16" s="1"/>
  <c r="D39" i="4"/>
  <c r="I39" i="4" s="1"/>
  <c r="X36" i="16" s="1"/>
  <c r="G40" i="4"/>
  <c r="L40" i="4" s="1"/>
  <c r="AA37" i="16" s="1"/>
  <c r="D14" i="4"/>
  <c r="I14" i="4" s="1"/>
  <c r="X11" i="16" s="1"/>
  <c r="G23" i="4"/>
  <c r="L23" i="4" s="1"/>
  <c r="AA20" i="16" s="1"/>
  <c r="E25" i="4"/>
  <c r="J25" i="4" s="1"/>
  <c r="Y22" i="16" s="1"/>
  <c r="G31" i="4"/>
  <c r="L31" i="4" s="1"/>
  <c r="AA28" i="16" s="1"/>
  <c r="G39" i="4"/>
  <c r="L39" i="4" s="1"/>
  <c r="AA36" i="16" s="1"/>
  <c r="F17" i="4"/>
  <c r="K17" i="4" s="1"/>
  <c r="Z14" i="16" s="1"/>
  <c r="E22" i="4"/>
  <c r="J22" i="4" s="1"/>
  <c r="Y19" i="16" s="1"/>
  <c r="C24" i="4"/>
  <c r="H24" i="4" s="1"/>
  <c r="W21" i="16" s="1"/>
  <c r="E30" i="4"/>
  <c r="J30" i="4" s="1"/>
  <c r="Y27" i="16" s="1"/>
  <c r="G36" i="4"/>
  <c r="L36" i="4" s="1"/>
  <c r="AA33" i="16" s="1"/>
  <c r="F38" i="4"/>
  <c r="K38" i="4" s="1"/>
  <c r="Z35" i="16" s="1"/>
  <c r="E7" i="4"/>
  <c r="J7" i="4" s="1"/>
  <c r="Y4" i="16" s="1"/>
  <c r="C9" i="4"/>
  <c r="H9" i="4" s="1"/>
  <c r="W6" i="16" s="1"/>
  <c r="F10" i="4"/>
  <c r="K10" i="4" s="1"/>
  <c r="Z7" i="16" s="1"/>
  <c r="D12" i="4"/>
  <c r="I12" i="4" s="1"/>
  <c r="X9" i="16" s="1"/>
  <c r="G13" i="4"/>
  <c r="L13" i="4" s="1"/>
  <c r="AA10" i="16" s="1"/>
  <c r="E15" i="4"/>
  <c r="J15" i="4" s="1"/>
  <c r="Y12" i="16" s="1"/>
  <c r="C17" i="4"/>
  <c r="H17" i="4" s="1"/>
  <c r="W14" i="16" s="1"/>
  <c r="F18" i="4"/>
  <c r="K18" i="4" s="1"/>
  <c r="Z15" i="16" s="1"/>
  <c r="D20" i="4"/>
  <c r="I20" i="4" s="1"/>
  <c r="X17" i="16" s="1"/>
  <c r="G21" i="4"/>
  <c r="L21" i="4" s="1"/>
  <c r="AA18" i="16" s="1"/>
  <c r="E23" i="4"/>
  <c r="J23" i="4" s="1"/>
  <c r="Y20" i="16" s="1"/>
  <c r="C25" i="4"/>
  <c r="H25" i="4" s="1"/>
  <c r="W22" i="16" s="1"/>
  <c r="F26" i="4"/>
  <c r="K26" i="4" s="1"/>
  <c r="Z23" i="16" s="1"/>
  <c r="D28" i="4"/>
  <c r="I28" i="4" s="1"/>
  <c r="X25" i="16" s="1"/>
  <c r="G29" i="4"/>
  <c r="L29" i="4" s="1"/>
  <c r="AA26" i="16" s="1"/>
  <c r="E31" i="4"/>
  <c r="J31" i="4" s="1"/>
  <c r="Y28" i="16" s="1"/>
  <c r="C33" i="4"/>
  <c r="H33" i="4" s="1"/>
  <c r="W30" i="16" s="1"/>
  <c r="F34" i="4"/>
  <c r="K34" i="4" s="1"/>
  <c r="Z31" i="16" s="1"/>
  <c r="D36" i="4"/>
  <c r="I36" i="4" s="1"/>
  <c r="X33" i="16" s="1"/>
  <c r="G37" i="4"/>
  <c r="L37" i="4" s="1"/>
  <c r="AA34" i="16" s="1"/>
  <c r="E39" i="4"/>
  <c r="J39" i="4" s="1"/>
  <c r="Y36" i="16" s="1"/>
  <c r="C5" i="4"/>
  <c r="H5" i="4" s="1"/>
  <c r="W2" i="16" s="1"/>
  <c r="F12" i="4"/>
  <c r="K12" i="4" s="1"/>
  <c r="Z9" i="16" s="1"/>
  <c r="F20" i="4"/>
  <c r="K20" i="4" s="1"/>
  <c r="Z17" i="16" s="1"/>
  <c r="D30" i="4"/>
  <c r="I30" i="4" s="1"/>
  <c r="X27" i="16" s="1"/>
  <c r="F36" i="4"/>
  <c r="K36" i="4" s="1"/>
  <c r="Z33" i="16" s="1"/>
  <c r="G12" i="4"/>
  <c r="L12" i="4" s="1"/>
  <c r="AA9" i="16" s="1"/>
  <c r="F25" i="4"/>
  <c r="K25" i="4" s="1"/>
  <c r="Z22" i="16" s="1"/>
  <c r="F33" i="4"/>
  <c r="K33" i="4" s="1"/>
  <c r="Z30" i="16" s="1"/>
  <c r="F5" i="4"/>
  <c r="K5" i="4" s="1"/>
  <c r="Z2" i="16" s="1"/>
  <c r="D40" i="4"/>
  <c r="I40" i="4" s="1"/>
  <c r="X37" i="16" s="1"/>
  <c r="C6" i="4"/>
  <c r="H6" i="4" s="1"/>
  <c r="W3" i="16" s="1"/>
  <c r="F7" i="4"/>
  <c r="K7" i="4" s="1"/>
  <c r="Z4" i="16" s="1"/>
  <c r="D9" i="4"/>
  <c r="I9" i="4" s="1"/>
  <c r="X6" i="16" s="1"/>
  <c r="G10" i="4"/>
  <c r="L10" i="4" s="1"/>
  <c r="AA7" i="16" s="1"/>
  <c r="E12" i="4"/>
  <c r="J12" i="4" s="1"/>
  <c r="Y9" i="16" s="1"/>
  <c r="C14" i="4"/>
  <c r="H14" i="4" s="1"/>
  <c r="W11" i="16" s="1"/>
  <c r="F15" i="4"/>
  <c r="K15" i="4" s="1"/>
  <c r="Z12" i="16" s="1"/>
  <c r="D17" i="4"/>
  <c r="I17" i="4" s="1"/>
  <c r="X14" i="16" s="1"/>
  <c r="G18" i="4"/>
  <c r="L18" i="4" s="1"/>
  <c r="AA15" i="16" s="1"/>
  <c r="E20" i="4"/>
  <c r="J20" i="4" s="1"/>
  <c r="Y17" i="16" s="1"/>
  <c r="C22" i="4"/>
  <c r="H22" i="4" s="1"/>
  <c r="W19" i="16" s="1"/>
  <c r="F23" i="4"/>
  <c r="K23" i="4" s="1"/>
  <c r="Z20" i="16" s="1"/>
  <c r="D25" i="4"/>
  <c r="I25" i="4" s="1"/>
  <c r="X22" i="16" s="1"/>
  <c r="G26" i="4"/>
  <c r="L26" i="4" s="1"/>
  <c r="AA23" i="16" s="1"/>
  <c r="E28" i="4"/>
  <c r="J28" i="4" s="1"/>
  <c r="Y25" i="16" s="1"/>
  <c r="C30" i="4"/>
  <c r="H30" i="4" s="1"/>
  <c r="W27" i="16" s="1"/>
  <c r="F31" i="4"/>
  <c r="K31" i="4" s="1"/>
  <c r="Z28" i="16" s="1"/>
  <c r="D33" i="4"/>
  <c r="I33" i="4" s="1"/>
  <c r="X30" i="16" s="1"/>
  <c r="G34" i="4"/>
  <c r="L34" i="4" s="1"/>
  <c r="AA31" i="16" s="1"/>
  <c r="E36" i="4"/>
  <c r="J36" i="4" s="1"/>
  <c r="Y33" i="16" s="1"/>
  <c r="C38" i="4"/>
  <c r="H38" i="4" s="1"/>
  <c r="W35" i="16" s="1"/>
  <c r="F39" i="4"/>
  <c r="K39" i="4" s="1"/>
  <c r="Z36" i="16" s="1"/>
  <c r="D5" i="4"/>
  <c r="I5" i="4" s="1"/>
  <c r="X2" i="16" s="1"/>
  <c r="C11" i="4"/>
  <c r="H11" i="4" s="1"/>
  <c r="W8" i="16" s="1"/>
  <c r="D22" i="4"/>
  <c r="I22" i="4" s="1"/>
  <c r="X19" i="16" s="1"/>
  <c r="C27" i="4"/>
  <c r="H27" i="4" s="1"/>
  <c r="W24" i="16" s="1"/>
  <c r="E33" i="4"/>
  <c r="J33" i="4" s="1"/>
  <c r="Y30" i="16" s="1"/>
  <c r="D11" i="4"/>
  <c r="I11" i="4" s="1"/>
  <c r="X8" i="16" s="1"/>
  <c r="C32" i="4"/>
  <c r="H32" i="4" s="1"/>
  <c r="W29" i="16" s="1"/>
  <c r="G5" i="4"/>
  <c r="L5" i="4" s="1"/>
  <c r="AA2" i="16" s="1"/>
  <c r="D6" i="4"/>
  <c r="I6" i="4" s="1"/>
  <c r="X3" i="16" s="1"/>
  <c r="G7" i="4"/>
  <c r="L7" i="4" s="1"/>
  <c r="AA4" i="16" s="1"/>
  <c r="E9" i="4"/>
  <c r="J9" i="4" s="1"/>
  <c r="Y6" i="16" s="1"/>
  <c r="E17" i="4"/>
  <c r="J17" i="4" s="1"/>
  <c r="Y14" i="16" s="1"/>
  <c r="D38" i="4"/>
  <c r="I38" i="4" s="1"/>
  <c r="X35" i="16" s="1"/>
  <c r="E6" i="4"/>
  <c r="J6" i="4" s="1"/>
  <c r="Y3" i="16" s="1"/>
  <c r="C8" i="4"/>
  <c r="H8" i="4" s="1"/>
  <c r="W5" i="16" s="1"/>
  <c r="F9" i="4"/>
  <c r="K9" i="4" s="1"/>
  <c r="Z6" i="16" s="1"/>
  <c r="E14" i="4"/>
  <c r="J14" i="4" s="1"/>
  <c r="Y11" i="16" s="1"/>
  <c r="D19" i="4"/>
  <c r="I19" i="4" s="1"/>
  <c r="X16" i="16" s="1"/>
  <c r="G20" i="4"/>
  <c r="L20" i="4" s="1"/>
  <c r="AA17" i="16" s="1"/>
  <c r="D27" i="4"/>
  <c r="I27" i="4" s="1"/>
  <c r="X24" i="16" s="1"/>
  <c r="E38" i="4"/>
  <c r="J38" i="4" s="1"/>
  <c r="Y35" i="16" s="1"/>
  <c r="F6" i="4"/>
  <c r="K6" i="4" s="1"/>
  <c r="Z3" i="16" s="1"/>
  <c r="D8" i="4"/>
  <c r="I8" i="4" s="1"/>
  <c r="X5" i="16" s="1"/>
  <c r="G9" i="4"/>
  <c r="L9" i="4" s="1"/>
  <c r="AA6" i="16" s="1"/>
  <c r="E11" i="4"/>
  <c r="J11" i="4" s="1"/>
  <c r="Y8" i="16" s="1"/>
  <c r="C13" i="4"/>
  <c r="H13" i="4" s="1"/>
  <c r="W10" i="16" s="1"/>
  <c r="F14" i="4"/>
  <c r="K14" i="4" s="1"/>
  <c r="Z11" i="16" s="1"/>
  <c r="D16" i="4"/>
  <c r="I16" i="4" s="1"/>
  <c r="X13" i="16" s="1"/>
  <c r="G17" i="4"/>
  <c r="L17" i="4" s="1"/>
  <c r="AA14" i="16" s="1"/>
  <c r="E19" i="4"/>
  <c r="J19" i="4" s="1"/>
  <c r="Y16" i="16" s="1"/>
  <c r="C21" i="4"/>
  <c r="H21" i="4" s="1"/>
  <c r="W18" i="16" s="1"/>
  <c r="F22" i="4"/>
  <c r="K22" i="4" s="1"/>
  <c r="Z19" i="16" s="1"/>
  <c r="D24" i="4"/>
  <c r="I24" i="4" s="1"/>
  <c r="X21" i="16" s="1"/>
  <c r="G25" i="4"/>
  <c r="L25" i="4" s="1"/>
  <c r="AA22" i="16" s="1"/>
  <c r="E27" i="4"/>
  <c r="J27" i="4" s="1"/>
  <c r="Y24" i="16" s="1"/>
  <c r="C29" i="4"/>
  <c r="H29" i="4" s="1"/>
  <c r="W26" i="16" s="1"/>
  <c r="F30" i="4"/>
  <c r="K30" i="4" s="1"/>
  <c r="Z27" i="16" s="1"/>
  <c r="D32" i="4"/>
  <c r="I32" i="4" s="1"/>
  <c r="X29" i="16" s="1"/>
  <c r="G33" i="4"/>
  <c r="L33" i="4" s="1"/>
  <c r="AA30" i="16" s="1"/>
  <c r="E35" i="4"/>
  <c r="J35" i="4" s="1"/>
  <c r="Y32" i="16" s="1"/>
  <c r="C37" i="4"/>
  <c r="H37" i="4" s="1"/>
  <c r="W34" i="16" s="1"/>
  <c r="G6" i="4"/>
  <c r="L6" i="4" s="1"/>
  <c r="AA3" i="16" s="1"/>
  <c r="E8" i="4"/>
  <c r="J8" i="4" s="1"/>
  <c r="Y5" i="16" s="1"/>
  <c r="C10" i="4"/>
  <c r="H10" i="4" s="1"/>
  <c r="W7" i="16" s="1"/>
  <c r="F11" i="4"/>
  <c r="K11" i="4" s="1"/>
  <c r="Z8" i="16" s="1"/>
  <c r="D13" i="4"/>
  <c r="I13" i="4" s="1"/>
  <c r="X10" i="16" s="1"/>
  <c r="G14" i="4"/>
  <c r="L14" i="4" s="1"/>
  <c r="AA11" i="16" s="1"/>
  <c r="E16" i="4"/>
  <c r="J16" i="4" s="1"/>
  <c r="Y13" i="16" s="1"/>
  <c r="C18" i="4"/>
  <c r="H18" i="4" s="1"/>
  <c r="W15" i="16" s="1"/>
  <c r="F19" i="4"/>
  <c r="K19" i="4" s="1"/>
  <c r="Z16" i="16" s="1"/>
  <c r="D21" i="4"/>
  <c r="I21" i="4" s="1"/>
  <c r="X18" i="16" s="1"/>
  <c r="G22" i="4"/>
  <c r="L22" i="4" s="1"/>
  <c r="AA19" i="16" s="1"/>
  <c r="E24" i="4"/>
  <c r="J24" i="4" s="1"/>
  <c r="Y21" i="16" s="1"/>
  <c r="C26" i="4"/>
  <c r="H26" i="4" s="1"/>
  <c r="W23" i="16" s="1"/>
  <c r="F27" i="4"/>
  <c r="K27" i="4" s="1"/>
  <c r="Z24" i="16" s="1"/>
  <c r="D29" i="4"/>
  <c r="I29" i="4" s="1"/>
  <c r="X26" i="16" s="1"/>
  <c r="G30" i="4"/>
  <c r="L30" i="4" s="1"/>
  <c r="AA27" i="16" s="1"/>
  <c r="E32" i="4"/>
  <c r="J32" i="4" s="1"/>
  <c r="Y29" i="16" s="1"/>
  <c r="C34" i="4"/>
  <c r="H34" i="4" s="1"/>
  <c r="W31" i="16" s="1"/>
  <c r="F35" i="4"/>
  <c r="K35" i="4" s="1"/>
  <c r="Z32" i="16" s="1"/>
  <c r="D37" i="4"/>
  <c r="I37" i="4" s="1"/>
  <c r="X34" i="16" s="1"/>
  <c r="G38" i="4"/>
  <c r="L38" i="4" s="1"/>
  <c r="AA35" i="16" s="1"/>
  <c r="E40" i="4"/>
  <c r="J40" i="4" s="1"/>
  <c r="Y37" i="16" s="1"/>
  <c r="C7" i="4"/>
  <c r="H7" i="4" s="1"/>
  <c r="W4" i="16" s="1"/>
  <c r="F8" i="4"/>
  <c r="K8" i="4" s="1"/>
  <c r="Z5" i="16" s="1"/>
  <c r="D10" i="4"/>
  <c r="I10" i="4" s="1"/>
  <c r="X7" i="16" s="1"/>
  <c r="G11" i="4"/>
  <c r="L11" i="4" s="1"/>
  <c r="AA8" i="16" s="1"/>
  <c r="E13" i="4"/>
  <c r="J13" i="4" s="1"/>
  <c r="Y10" i="16" s="1"/>
  <c r="C15" i="4"/>
  <c r="H15" i="4" s="1"/>
  <c r="W12" i="16" s="1"/>
  <c r="F16" i="4"/>
  <c r="K16" i="4" s="1"/>
  <c r="Z13" i="16" s="1"/>
  <c r="D18" i="4"/>
  <c r="I18" i="4" s="1"/>
  <c r="X15" i="16" s="1"/>
  <c r="G19" i="4"/>
  <c r="L19" i="4" s="1"/>
  <c r="AA16" i="16" s="1"/>
  <c r="E21" i="4"/>
  <c r="J21" i="4" s="1"/>
  <c r="Y18" i="16" s="1"/>
  <c r="C23" i="4"/>
  <c r="H23" i="4" s="1"/>
  <c r="W20" i="16" s="1"/>
  <c r="F24" i="4"/>
  <c r="K24" i="4" s="1"/>
  <c r="Z21" i="16" s="1"/>
  <c r="D26" i="4"/>
  <c r="I26" i="4" s="1"/>
  <c r="X23" i="16" s="1"/>
  <c r="G27" i="4"/>
  <c r="L27" i="4" s="1"/>
  <c r="AA24" i="16" s="1"/>
  <c r="E29" i="4"/>
  <c r="J29" i="4" s="1"/>
  <c r="Y26" i="16" s="1"/>
  <c r="C31" i="4"/>
  <c r="H31" i="4" s="1"/>
  <c r="W28" i="16" s="1"/>
  <c r="F32" i="4"/>
  <c r="K32" i="4" s="1"/>
  <c r="Z29" i="16" s="1"/>
  <c r="D34" i="4"/>
  <c r="I34" i="4" s="1"/>
  <c r="X31" i="16" s="1"/>
  <c r="G35" i="4"/>
  <c r="L35" i="4" s="1"/>
  <c r="AA32" i="16" s="1"/>
  <c r="E37" i="4"/>
  <c r="J37" i="4" s="1"/>
  <c r="Y34" i="16" s="1"/>
  <c r="C39" i="4"/>
  <c r="H39" i="4" s="1"/>
  <c r="W36" i="16" s="1"/>
  <c r="F40" i="4"/>
  <c r="K40" i="4" s="1"/>
  <c r="Z37" i="16" s="1"/>
  <c r="G15" i="4"/>
  <c r="L15" i="4" s="1"/>
  <c r="AA12" i="16" s="1"/>
  <c r="C19" i="4"/>
  <c r="H19" i="4" s="1"/>
  <c r="W16" i="16" s="1"/>
  <c r="F28" i="4"/>
  <c r="K28" i="4" s="1"/>
  <c r="Z25" i="16" s="1"/>
  <c r="C35" i="4"/>
  <c r="H35" i="4" s="1"/>
  <c r="W32" i="16" s="1"/>
  <c r="E5" i="4"/>
  <c r="J5" i="4" s="1"/>
  <c r="Y2" i="16" s="1"/>
  <c r="C16" i="4"/>
  <c r="H16" i="4" s="1"/>
  <c r="W13" i="16" s="1"/>
  <c r="G28" i="4"/>
  <c r="L28" i="4" s="1"/>
  <c r="AA25" i="16" s="1"/>
  <c r="D35" i="4"/>
  <c r="I35" i="4" s="1"/>
  <c r="X32" i="16" s="1"/>
  <c r="C40" i="4"/>
  <c r="H40" i="4" s="1"/>
  <c r="W37" i="16" s="1"/>
  <c r="A5" i="4"/>
  <c r="A54" i="4" s="1"/>
  <c r="A5" i="2"/>
  <c r="A57" i="2" s="1"/>
  <c r="A4" i="1"/>
  <c r="AK2" i="16" l="1"/>
  <c r="AM2" i="16"/>
  <c r="C83" i="4" a="1"/>
  <c r="C83" i="4" s="1"/>
  <c r="D83" i="4" a="1"/>
  <c r="D83" i="4" s="1"/>
  <c r="G83" i="4" a="1"/>
  <c r="G83" i="4" s="1"/>
  <c r="E83" i="4" a="1"/>
  <c r="E83" i="4" s="1"/>
  <c r="F83" i="4" a="1"/>
  <c r="F83" i="4" s="1"/>
  <c r="F75" i="4" a="1"/>
  <c r="F75" i="4" s="1"/>
  <c r="D75" i="4" a="1"/>
  <c r="D75" i="4" s="1"/>
  <c r="G75" i="4" a="1"/>
  <c r="G75" i="4" s="1"/>
  <c r="C75" i="4" a="1"/>
  <c r="C75" i="4" s="1"/>
  <c r="E75" i="4" a="1"/>
  <c r="E75" i="4" s="1"/>
  <c r="D67" i="4" a="1"/>
  <c r="D67" i="4" s="1"/>
  <c r="E67" i="4" a="1"/>
  <c r="E67" i="4" s="1"/>
  <c r="F67" i="4" a="1"/>
  <c r="F67" i="4" s="1"/>
  <c r="G67" i="4" a="1"/>
  <c r="G67" i="4" s="1"/>
  <c r="C67" i="4" a="1"/>
  <c r="C67" i="4" s="1"/>
  <c r="C59" i="4" a="1"/>
  <c r="C59" i="4" s="1"/>
  <c r="D59" i="4" a="1"/>
  <c r="D59" i="4" s="1"/>
  <c r="G59" i="4" a="1"/>
  <c r="G59" i="4" s="1"/>
  <c r="E59" i="4" a="1"/>
  <c r="E59" i="4" s="1"/>
  <c r="F59" i="4" a="1"/>
  <c r="F59" i="4" s="1"/>
  <c r="D84" i="4" a="1"/>
  <c r="D84" i="4" s="1"/>
  <c r="E84" i="4" a="1"/>
  <c r="E84" i="4" s="1"/>
  <c r="F84" i="4" a="1"/>
  <c r="F84" i="4" s="1"/>
  <c r="G84" i="4" a="1"/>
  <c r="G84" i="4" s="1"/>
  <c r="C84" i="4" a="1"/>
  <c r="C84" i="4" s="1"/>
  <c r="C90" i="12" a="1"/>
  <c r="C90" i="12" s="1"/>
  <c r="D90" i="12" a="1"/>
  <c r="D90" i="12" s="1"/>
  <c r="F90" i="12" a="1"/>
  <c r="F90" i="12" s="1"/>
  <c r="E90" i="12" a="1"/>
  <c r="E90" i="12" s="1"/>
  <c r="G90" i="12" a="1"/>
  <c r="G90" i="12" s="1"/>
  <c r="D68" i="12" a="1"/>
  <c r="D68" i="12" s="1"/>
  <c r="E68" i="12" a="1"/>
  <c r="E68" i="12" s="1"/>
  <c r="F68" i="12" a="1"/>
  <c r="F68" i="12" s="1"/>
  <c r="C68" i="12" a="1"/>
  <c r="C68" i="12" s="1"/>
  <c r="G68" i="12" a="1"/>
  <c r="G68" i="12" s="1"/>
  <c r="F75" i="12" a="1"/>
  <c r="F75" i="12" s="1"/>
  <c r="G75" i="12" a="1"/>
  <c r="G75" i="12" s="1"/>
  <c r="D75" i="12" a="1"/>
  <c r="D75" i="12" s="1"/>
  <c r="C75" i="12" a="1"/>
  <c r="C75" i="12" s="1"/>
  <c r="E75" i="12" a="1"/>
  <c r="E75" i="12" s="1"/>
  <c r="G89" i="12" a="1"/>
  <c r="G89" i="12" s="1"/>
  <c r="E89" i="12" a="1"/>
  <c r="E89" i="12" s="1"/>
  <c r="C89" i="12" a="1"/>
  <c r="C89" i="12" s="1"/>
  <c r="D89" i="12" a="1"/>
  <c r="D89" i="12" s="1"/>
  <c r="F89" i="12" a="1"/>
  <c r="F89" i="12" s="1"/>
  <c r="C91" i="12" a="1"/>
  <c r="C91" i="12" s="1"/>
  <c r="D91" i="12" a="1"/>
  <c r="D91" i="12" s="1"/>
  <c r="E91" i="12" a="1"/>
  <c r="E91" i="12" s="1"/>
  <c r="F91" i="12" a="1"/>
  <c r="F91" i="12" s="1"/>
  <c r="G91" i="12" a="1"/>
  <c r="G91" i="12" s="1"/>
  <c r="C79" i="2" a="1"/>
  <c r="C79" i="2" s="1"/>
  <c r="D79" i="2" a="1"/>
  <c r="D79" i="2" s="1"/>
  <c r="E79" i="2" a="1"/>
  <c r="E79" i="2" s="1"/>
  <c r="D68" i="2" a="1"/>
  <c r="D68" i="2" s="1"/>
  <c r="E68" i="2" a="1"/>
  <c r="E68" i="2" s="1"/>
  <c r="C68" i="2" a="1"/>
  <c r="C68" i="2" s="1"/>
  <c r="D90" i="2" a="1"/>
  <c r="D90" i="2" s="1"/>
  <c r="C90" i="2" a="1"/>
  <c r="C90" i="2" s="1"/>
  <c r="E90" i="2" a="1"/>
  <c r="E90" i="2" s="1"/>
  <c r="E103" i="9" a="1"/>
  <c r="E103" i="9" s="1"/>
  <c r="C103" i="9" a="1"/>
  <c r="C103" i="9" s="1"/>
  <c r="D103" i="9" a="1"/>
  <c r="D103" i="9" s="1"/>
  <c r="E99" i="9" a="1"/>
  <c r="E99" i="9" s="1"/>
  <c r="C99" i="9" a="1"/>
  <c r="C99" i="9" s="1"/>
  <c r="D99" i="9" a="1"/>
  <c r="D99" i="9" s="1"/>
  <c r="E90" i="9" a="1"/>
  <c r="E90" i="9" s="1"/>
  <c r="C90" i="9" a="1"/>
  <c r="C90" i="9" s="1"/>
  <c r="D90" i="9" a="1"/>
  <c r="D90" i="9" s="1"/>
  <c r="D88" i="9" a="1"/>
  <c r="D88" i="9" s="1"/>
  <c r="E88" i="9" a="1"/>
  <c r="E88" i="9" s="1"/>
  <c r="C88" i="9" a="1"/>
  <c r="C88" i="9" s="1"/>
  <c r="C80" i="9" a="1"/>
  <c r="C80" i="9" s="1"/>
  <c r="D80" i="9" a="1"/>
  <c r="D80" i="9" s="1"/>
  <c r="E80" i="9" a="1"/>
  <c r="E80" i="9" s="1"/>
  <c r="C77" i="9" a="1"/>
  <c r="C77" i="9" s="1"/>
  <c r="D77" i="9" a="1"/>
  <c r="D77" i="9" s="1"/>
  <c r="E77" i="9" a="1"/>
  <c r="E77" i="9" s="1"/>
  <c r="F107" i="8" a="1"/>
  <c r="F107" i="8" s="1"/>
  <c r="D107" i="8" a="1"/>
  <c r="D107" i="8" s="1"/>
  <c r="C107" i="8" a="1"/>
  <c r="C107" i="8" s="1"/>
  <c r="E107" i="8" a="1"/>
  <c r="E107" i="8" s="1"/>
  <c r="C103" i="8" a="1"/>
  <c r="C103" i="8" s="1"/>
  <c r="D103" i="8" a="1"/>
  <c r="D103" i="8" s="1"/>
  <c r="E103" i="8" a="1"/>
  <c r="E103" i="8" s="1"/>
  <c r="F103" i="8" a="1"/>
  <c r="F103" i="8" s="1"/>
  <c r="C98" i="8" a="1"/>
  <c r="C98" i="8" s="1"/>
  <c r="D98" i="8" a="1"/>
  <c r="D98" i="8" s="1"/>
  <c r="E98" i="8" a="1"/>
  <c r="E98" i="8" s="1"/>
  <c r="F98" i="8" a="1"/>
  <c r="F98" i="8" s="1"/>
  <c r="F97" i="8" a="1"/>
  <c r="F97" i="8" s="1"/>
  <c r="E97" i="8" a="1"/>
  <c r="E97" i="8" s="1"/>
  <c r="D97" i="8" a="1"/>
  <c r="D97" i="8" s="1"/>
  <c r="C97" i="8" a="1"/>
  <c r="C97" i="8" s="1"/>
  <c r="D70" i="3" a="1"/>
  <c r="D70" i="3" s="1"/>
  <c r="E70" i="3" a="1"/>
  <c r="E70" i="3" s="1"/>
  <c r="F70" i="3" a="1"/>
  <c r="F70" i="3" s="1"/>
  <c r="I70" i="3" a="1"/>
  <c r="I70" i="3" s="1"/>
  <c r="G70" i="3" a="1"/>
  <c r="G70" i="3" s="1"/>
  <c r="H70" i="3" a="1"/>
  <c r="H70" i="3" s="1"/>
  <c r="J70" i="3" a="1"/>
  <c r="J70" i="3" s="1"/>
  <c r="C70" i="3" a="1"/>
  <c r="C70" i="3" s="1"/>
  <c r="D92" i="3" a="1"/>
  <c r="D92" i="3" s="1"/>
  <c r="I92" i="3" a="1"/>
  <c r="I92" i="3" s="1"/>
  <c r="E92" i="3" a="1"/>
  <c r="E92" i="3" s="1"/>
  <c r="J92" i="3" a="1"/>
  <c r="J92" i="3" s="1"/>
  <c r="C92" i="3" a="1"/>
  <c r="C92" i="3" s="1"/>
  <c r="G92" i="3" a="1"/>
  <c r="G92" i="3" s="1"/>
  <c r="F92" i="3" a="1"/>
  <c r="F92" i="3" s="1"/>
  <c r="H92" i="3" a="1"/>
  <c r="H92" i="3" s="1"/>
  <c r="D85" i="3" a="1"/>
  <c r="D85" i="3" s="1"/>
  <c r="E85" i="3" a="1"/>
  <c r="E85" i="3" s="1"/>
  <c r="F85" i="3" a="1"/>
  <c r="F85" i="3" s="1"/>
  <c r="J85" i="3" a="1"/>
  <c r="J85" i="3" s="1"/>
  <c r="G85" i="3" a="1"/>
  <c r="G85" i="3" s="1"/>
  <c r="H85" i="3" a="1"/>
  <c r="H85" i="3" s="1"/>
  <c r="I85" i="3" a="1"/>
  <c r="I85" i="3" s="1"/>
  <c r="C85" i="3" a="1"/>
  <c r="C85" i="3" s="1"/>
  <c r="G83" i="3" a="1"/>
  <c r="G83" i="3" s="1"/>
  <c r="H83" i="3" a="1"/>
  <c r="H83" i="3" s="1"/>
  <c r="I83" i="3" a="1"/>
  <c r="I83" i="3" s="1"/>
  <c r="E83" i="3" a="1"/>
  <c r="E83" i="3" s="1"/>
  <c r="J83" i="3" a="1"/>
  <c r="J83" i="3" s="1"/>
  <c r="D83" i="3" a="1"/>
  <c r="D83" i="3" s="1"/>
  <c r="C83" i="3" a="1"/>
  <c r="C83" i="3" s="1"/>
  <c r="F83" i="3" a="1"/>
  <c r="F83" i="3" s="1"/>
  <c r="E85" i="4" a="1"/>
  <c r="E85" i="4" s="1"/>
  <c r="F85" i="4" a="1"/>
  <c r="F85" i="4" s="1"/>
  <c r="C85" i="4" a="1"/>
  <c r="C85" i="4" s="1"/>
  <c r="G85" i="4" a="1"/>
  <c r="G85" i="4" s="1"/>
  <c r="D85" i="4" a="1"/>
  <c r="D85" i="4" s="1"/>
  <c r="G82" i="4" a="1"/>
  <c r="G82" i="4" s="1"/>
  <c r="E82" i="4" a="1"/>
  <c r="E82" i="4" s="1"/>
  <c r="C82" i="4" a="1"/>
  <c r="C82" i="4" s="1"/>
  <c r="D82" i="4" a="1"/>
  <c r="D82" i="4" s="1"/>
  <c r="F82" i="4" a="1"/>
  <c r="F82" i="4" s="1"/>
  <c r="C74" i="4" a="1"/>
  <c r="C74" i="4" s="1"/>
  <c r="D74" i="4" a="1"/>
  <c r="D74" i="4" s="1"/>
  <c r="E74" i="4" a="1"/>
  <c r="E74" i="4" s="1"/>
  <c r="G74" i="4" a="1"/>
  <c r="G74" i="4" s="1"/>
  <c r="F74" i="4" a="1"/>
  <c r="F74" i="4" s="1"/>
  <c r="C66" i="4" a="1"/>
  <c r="C66" i="4" s="1"/>
  <c r="G66" i="4" a="1"/>
  <c r="G66" i="4" s="1"/>
  <c r="F66" i="4" a="1"/>
  <c r="F66" i="4" s="1"/>
  <c r="D66" i="4" a="1"/>
  <c r="D66" i="4" s="1"/>
  <c r="E66" i="4" a="1"/>
  <c r="E66" i="4" s="1"/>
  <c r="G58" i="4" a="1"/>
  <c r="G58" i="4" s="1"/>
  <c r="E58" i="4" a="1"/>
  <c r="E58" i="4" s="1"/>
  <c r="D58" i="4" a="1"/>
  <c r="D58" i="4" s="1"/>
  <c r="C58" i="4" a="1"/>
  <c r="C58" i="4" s="1"/>
  <c r="F58" i="4" a="1"/>
  <c r="F58" i="4" s="1"/>
  <c r="C86" i="12" a="1"/>
  <c r="C86" i="12" s="1"/>
  <c r="D86" i="12" a="1"/>
  <c r="D86" i="12" s="1"/>
  <c r="G86" i="12" a="1"/>
  <c r="G86" i="12" s="1"/>
  <c r="E86" i="12" a="1"/>
  <c r="E86" i="12" s="1"/>
  <c r="F86" i="12" a="1"/>
  <c r="F86" i="12" s="1"/>
  <c r="G65" i="12" a="1"/>
  <c r="G65" i="12" s="1"/>
  <c r="E65" i="12" a="1"/>
  <c r="E65" i="12" s="1"/>
  <c r="C65" i="12" a="1"/>
  <c r="C65" i="12" s="1"/>
  <c r="D65" i="12" a="1"/>
  <c r="D65" i="12" s="1"/>
  <c r="F65" i="12" a="1"/>
  <c r="F65" i="12" s="1"/>
  <c r="C71" i="12" a="1"/>
  <c r="C71" i="12" s="1"/>
  <c r="D71" i="12" a="1"/>
  <c r="D71" i="12" s="1"/>
  <c r="E71" i="12" a="1"/>
  <c r="E71" i="12" s="1"/>
  <c r="F71" i="12" a="1"/>
  <c r="F71" i="12" s="1"/>
  <c r="G71" i="12" a="1"/>
  <c r="G71" i="12" s="1"/>
  <c r="G85" i="12" a="1"/>
  <c r="G85" i="12" s="1"/>
  <c r="E85" i="12" a="1"/>
  <c r="E85" i="12" s="1"/>
  <c r="D85" i="12" a="1"/>
  <c r="D85" i="12" s="1"/>
  <c r="C85" i="12" a="1"/>
  <c r="C85" i="12" s="1"/>
  <c r="F85" i="12" a="1"/>
  <c r="F85" i="12" s="1"/>
  <c r="D87" i="12" a="1"/>
  <c r="D87" i="12" s="1"/>
  <c r="E87" i="12" a="1"/>
  <c r="E87" i="12" s="1"/>
  <c r="F87" i="12" a="1"/>
  <c r="F87" i="12" s="1"/>
  <c r="C87" i="12" a="1"/>
  <c r="C87" i="12" s="1"/>
  <c r="G87" i="12" a="1"/>
  <c r="G87" i="12" s="1"/>
  <c r="C71" i="2" a="1"/>
  <c r="C71" i="2" s="1"/>
  <c r="D71" i="2" a="1"/>
  <c r="D71" i="2" s="1"/>
  <c r="E71" i="2" a="1"/>
  <c r="E71" i="2" s="1"/>
  <c r="D75" i="2" a="1"/>
  <c r="D75" i="2" s="1"/>
  <c r="C75" i="2" a="1"/>
  <c r="C75" i="2" s="1"/>
  <c r="E75" i="2" a="1"/>
  <c r="E75" i="2" s="1"/>
  <c r="D64" i="2" a="1"/>
  <c r="D64" i="2" s="1"/>
  <c r="E64" i="2" a="1"/>
  <c r="E64" i="2" s="1"/>
  <c r="C64" i="2" a="1"/>
  <c r="C64" i="2" s="1"/>
  <c r="E78" i="2" a="1"/>
  <c r="E78" i="2" s="1"/>
  <c r="C78" i="2" a="1"/>
  <c r="C78" i="2" s="1"/>
  <c r="D78" i="2" a="1"/>
  <c r="D78" i="2" s="1"/>
  <c r="D94" i="9" a="1"/>
  <c r="D94" i="9" s="1"/>
  <c r="C94" i="9" a="1"/>
  <c r="C94" i="9" s="1"/>
  <c r="E94" i="9" a="1"/>
  <c r="E94" i="9" s="1"/>
  <c r="E81" i="9" a="1"/>
  <c r="E81" i="9" s="1"/>
  <c r="C81" i="9" a="1"/>
  <c r="C81" i="9" s="1"/>
  <c r="D81" i="9" a="1"/>
  <c r="D81" i="9" s="1"/>
  <c r="C75" i="9" a="1"/>
  <c r="C75" i="9" s="1"/>
  <c r="D75" i="9" a="1"/>
  <c r="D75" i="9" s="1"/>
  <c r="E75" i="9" a="1"/>
  <c r="E75" i="9" s="1"/>
  <c r="E78" i="9" a="1"/>
  <c r="E78" i="9" s="1"/>
  <c r="D78" i="9" a="1"/>
  <c r="D78" i="9" s="1"/>
  <c r="C78" i="9" a="1"/>
  <c r="C78" i="9" s="1"/>
  <c r="E109" i="9" a="1"/>
  <c r="E109" i="9" s="1"/>
  <c r="D109" i="9" a="1"/>
  <c r="D109" i="9" s="1"/>
  <c r="C109" i="9" a="1"/>
  <c r="C109" i="9" s="1"/>
  <c r="E99" i="8" a="1"/>
  <c r="E99" i="8" s="1"/>
  <c r="F99" i="8" a="1"/>
  <c r="F99" i="8" s="1"/>
  <c r="C99" i="8" a="1"/>
  <c r="C99" i="8" s="1"/>
  <c r="D99" i="8" a="1"/>
  <c r="D99" i="8" s="1"/>
  <c r="D91" i="8" a="1"/>
  <c r="D91" i="8" s="1"/>
  <c r="E91" i="8" a="1"/>
  <c r="E91" i="8" s="1"/>
  <c r="F91" i="8" a="1"/>
  <c r="F91" i="8" s="1"/>
  <c r="C91" i="8" a="1"/>
  <c r="C91" i="8" s="1"/>
  <c r="E94" i="8" a="1"/>
  <c r="E94" i="8" s="1"/>
  <c r="F94" i="8" a="1"/>
  <c r="F94" i="8" s="1"/>
  <c r="D94" i="8" a="1"/>
  <c r="D94" i="8" s="1"/>
  <c r="C94" i="8" a="1"/>
  <c r="C94" i="8" s="1"/>
  <c r="C93" i="8" a="1"/>
  <c r="C93" i="8" s="1"/>
  <c r="D93" i="8" a="1"/>
  <c r="D93" i="8" s="1"/>
  <c r="F93" i="8" a="1"/>
  <c r="F93" i="8" s="1"/>
  <c r="E93" i="8" a="1"/>
  <c r="E93" i="8" s="1"/>
  <c r="G98" i="3" a="1"/>
  <c r="G98" i="3" s="1"/>
  <c r="H98" i="3" a="1"/>
  <c r="H98" i="3" s="1"/>
  <c r="E98" i="3" a="1"/>
  <c r="E98" i="3" s="1"/>
  <c r="C98" i="3" a="1"/>
  <c r="C98" i="3" s="1"/>
  <c r="D98" i="3" a="1"/>
  <c r="D98" i="3" s="1"/>
  <c r="I98" i="3" a="1"/>
  <c r="I98" i="3" s="1"/>
  <c r="F98" i="3" a="1"/>
  <c r="F98" i="3" s="1"/>
  <c r="J98" i="3" a="1"/>
  <c r="J98" i="3" s="1"/>
  <c r="F84" i="3" a="1"/>
  <c r="F84" i="3" s="1"/>
  <c r="G84" i="3" a="1"/>
  <c r="G84" i="3" s="1"/>
  <c r="D84" i="3" a="1"/>
  <c r="D84" i="3" s="1"/>
  <c r="J84" i="3" a="1"/>
  <c r="J84" i="3" s="1"/>
  <c r="C84" i="3" a="1"/>
  <c r="C84" i="3" s="1"/>
  <c r="I84" i="3" a="1"/>
  <c r="I84" i="3" s="1"/>
  <c r="E84" i="3" a="1"/>
  <c r="E84" i="3" s="1"/>
  <c r="H84" i="3" a="1"/>
  <c r="H84" i="3" s="1"/>
  <c r="I81" i="3" a="1"/>
  <c r="I81" i="3" s="1"/>
  <c r="C81" i="3" a="1"/>
  <c r="C81" i="3" s="1"/>
  <c r="J81" i="3" a="1"/>
  <c r="J81" i="3" s="1"/>
  <c r="D81" i="3" a="1"/>
  <c r="D81" i="3" s="1"/>
  <c r="G81" i="3" a="1"/>
  <c r="G81" i="3" s="1"/>
  <c r="F81" i="3" a="1"/>
  <c r="F81" i="3" s="1"/>
  <c r="E81" i="3" a="1"/>
  <c r="E81" i="3" s="1"/>
  <c r="H81" i="3" a="1"/>
  <c r="H81" i="3" s="1"/>
  <c r="F79" i="3" a="1"/>
  <c r="F79" i="3" s="1"/>
  <c r="G79" i="3" a="1"/>
  <c r="G79" i="3" s="1"/>
  <c r="H79" i="3" a="1"/>
  <c r="H79" i="3" s="1"/>
  <c r="D79" i="3" a="1"/>
  <c r="D79" i="3" s="1"/>
  <c r="C79" i="3" a="1"/>
  <c r="C79" i="3" s="1"/>
  <c r="I79" i="3" a="1"/>
  <c r="I79" i="3" s="1"/>
  <c r="E79" i="3" a="1"/>
  <c r="E79" i="3" s="1"/>
  <c r="J79" i="3" a="1"/>
  <c r="J79" i="3" s="1"/>
  <c r="C87" i="4" a="1"/>
  <c r="C87" i="4" s="1"/>
  <c r="D87" i="4" a="1"/>
  <c r="D87" i="4" s="1"/>
  <c r="G87" i="4" a="1"/>
  <c r="G87" i="4" s="1"/>
  <c r="E87" i="4" a="1"/>
  <c r="E87" i="4" s="1"/>
  <c r="F87" i="4" a="1"/>
  <c r="F87" i="4" s="1"/>
  <c r="C81" i="4" a="1"/>
  <c r="C81" i="4" s="1"/>
  <c r="D81" i="4" a="1"/>
  <c r="D81" i="4" s="1"/>
  <c r="E81" i="4" a="1"/>
  <c r="E81" i="4" s="1"/>
  <c r="F81" i="4" a="1"/>
  <c r="F81" i="4" s="1"/>
  <c r="G81" i="4" a="1"/>
  <c r="G81" i="4" s="1"/>
  <c r="F73" i="4" a="1"/>
  <c r="F73" i="4" s="1"/>
  <c r="C73" i="4" a="1"/>
  <c r="C73" i="4" s="1"/>
  <c r="D73" i="4" a="1"/>
  <c r="D73" i="4" s="1"/>
  <c r="E73" i="4" a="1"/>
  <c r="E73" i="4" s="1"/>
  <c r="G73" i="4" a="1"/>
  <c r="G73" i="4" s="1"/>
  <c r="F65" i="4" a="1"/>
  <c r="F65" i="4" s="1"/>
  <c r="G65" i="4" a="1"/>
  <c r="G65" i="4" s="1"/>
  <c r="E65" i="4" a="1"/>
  <c r="E65" i="4" s="1"/>
  <c r="C65" i="4" a="1"/>
  <c r="C65" i="4" s="1"/>
  <c r="D65" i="4" a="1"/>
  <c r="D65" i="4" s="1"/>
  <c r="C82" i="12" a="1"/>
  <c r="C82" i="12" s="1"/>
  <c r="D82" i="12" a="1"/>
  <c r="D82" i="12" s="1"/>
  <c r="G82" i="12" a="1"/>
  <c r="G82" i="12" s="1"/>
  <c r="E82" i="12" a="1"/>
  <c r="E82" i="12" s="1"/>
  <c r="F82" i="12" a="1"/>
  <c r="F82" i="12" s="1"/>
  <c r="D96" i="12" a="1"/>
  <c r="D96" i="12" s="1"/>
  <c r="E96" i="12" a="1"/>
  <c r="E96" i="12" s="1"/>
  <c r="F96" i="12" a="1"/>
  <c r="F96" i="12" s="1"/>
  <c r="G96" i="12" a="1"/>
  <c r="G96" i="12" s="1"/>
  <c r="C96" i="12" a="1"/>
  <c r="C96" i="12" s="1"/>
  <c r="C81" i="12" a="1"/>
  <c r="C81" i="12" s="1"/>
  <c r="F81" i="12" a="1"/>
  <c r="F81" i="12" s="1"/>
  <c r="D81" i="12" a="1"/>
  <c r="D81" i="12" s="1"/>
  <c r="E81" i="12" a="1"/>
  <c r="E81" i="12" s="1"/>
  <c r="G81" i="12" a="1"/>
  <c r="G81" i="12" s="1"/>
  <c r="C73" i="2" a="1"/>
  <c r="C73" i="2" s="1"/>
  <c r="D73" i="2" a="1"/>
  <c r="D73" i="2" s="1"/>
  <c r="E73" i="2" a="1"/>
  <c r="E73" i="2" s="1"/>
  <c r="E63" i="2" a="1"/>
  <c r="E63" i="2" s="1"/>
  <c r="C63" i="2" a="1"/>
  <c r="C63" i="2" s="1"/>
  <c r="D63" i="2" a="1"/>
  <c r="D63" i="2" s="1"/>
  <c r="C91" i="2" a="1"/>
  <c r="C91" i="2" s="1"/>
  <c r="D91" i="2" a="1"/>
  <c r="D91" i="2" s="1"/>
  <c r="E91" i="2" a="1"/>
  <c r="E91" i="2" s="1"/>
  <c r="C67" i="2" a="1"/>
  <c r="C67" i="2" s="1"/>
  <c r="D67" i="2" a="1"/>
  <c r="D67" i="2" s="1"/>
  <c r="E67" i="2" a="1"/>
  <c r="E67" i="2" s="1"/>
  <c r="C60" i="2" a="1"/>
  <c r="C60" i="2" s="1"/>
  <c r="D60" i="2" a="1"/>
  <c r="D60" i="2" s="1"/>
  <c r="E60" i="2" a="1"/>
  <c r="E60" i="2" s="1"/>
  <c r="C74" i="2" a="1"/>
  <c r="C74" i="2" s="1"/>
  <c r="D74" i="2" a="1"/>
  <c r="D74" i="2" s="1"/>
  <c r="E74" i="2" a="1"/>
  <c r="E74" i="2" s="1"/>
  <c r="E85" i="9" a="1"/>
  <c r="E85" i="9" s="1"/>
  <c r="C85" i="9" a="1"/>
  <c r="C85" i="9" s="1"/>
  <c r="D85" i="9" a="1"/>
  <c r="D85" i="9" s="1"/>
  <c r="C108" i="9" a="1"/>
  <c r="C108" i="9" s="1"/>
  <c r="D108" i="9" a="1"/>
  <c r="D108" i="9" s="1"/>
  <c r="E108" i="9" a="1"/>
  <c r="E108" i="9" s="1"/>
  <c r="E107" i="9" a="1"/>
  <c r="E107" i="9" s="1"/>
  <c r="C107" i="9" a="1"/>
  <c r="C107" i="9" s="1"/>
  <c r="D107" i="9" a="1"/>
  <c r="D107" i="9" s="1"/>
  <c r="D74" i="9" a="1"/>
  <c r="D74" i="9" s="1"/>
  <c r="E74" i="9" a="1"/>
  <c r="E74" i="9" s="1"/>
  <c r="C74" i="9" a="1"/>
  <c r="C74" i="9" s="1"/>
  <c r="E105" i="9" a="1"/>
  <c r="E105" i="9" s="1"/>
  <c r="D105" i="9" a="1"/>
  <c r="D105" i="9" s="1"/>
  <c r="C105" i="9" a="1"/>
  <c r="C105" i="9" s="1"/>
  <c r="D109" i="8" a="1"/>
  <c r="D109" i="8" s="1"/>
  <c r="E109" i="8" a="1"/>
  <c r="E109" i="8" s="1"/>
  <c r="F109" i="8" a="1"/>
  <c r="F109" i="8" s="1"/>
  <c r="C109" i="8" a="1"/>
  <c r="C109" i="8" s="1"/>
  <c r="D96" i="8" a="1"/>
  <c r="D96" i="8" s="1"/>
  <c r="E96" i="8" a="1"/>
  <c r="E96" i="8" s="1"/>
  <c r="C96" i="8" a="1"/>
  <c r="C96" i="8" s="1"/>
  <c r="F96" i="8" a="1"/>
  <c r="F96" i="8" s="1"/>
  <c r="F85" i="8" a="1"/>
  <c r="F85" i="8" s="1"/>
  <c r="C85" i="8" a="1"/>
  <c r="C85" i="8" s="1"/>
  <c r="D85" i="8" a="1"/>
  <c r="D85" i="8" s="1"/>
  <c r="E85" i="8" a="1"/>
  <c r="E85" i="8" s="1"/>
  <c r="E89" i="8" a="1"/>
  <c r="E89" i="8" s="1"/>
  <c r="F89" i="8" a="1"/>
  <c r="F89" i="8" s="1"/>
  <c r="C89" i="8" a="1"/>
  <c r="C89" i="8" s="1"/>
  <c r="D89" i="8" a="1"/>
  <c r="D89" i="8" s="1"/>
  <c r="C88" i="8" a="1"/>
  <c r="C88" i="8" s="1"/>
  <c r="D88" i="8" a="1"/>
  <c r="D88" i="8" s="1"/>
  <c r="E88" i="8" a="1"/>
  <c r="E88" i="8" s="1"/>
  <c r="F88" i="8" a="1"/>
  <c r="F88" i="8" s="1"/>
  <c r="G90" i="3" a="1"/>
  <c r="G90" i="3" s="1"/>
  <c r="H90" i="3" a="1"/>
  <c r="H90" i="3" s="1"/>
  <c r="C90" i="3" a="1"/>
  <c r="C90" i="3" s="1"/>
  <c r="I90" i="3" a="1"/>
  <c r="I90" i="3" s="1"/>
  <c r="D90" i="3" a="1"/>
  <c r="D90" i="3" s="1"/>
  <c r="E90" i="3" a="1"/>
  <c r="E90" i="3" s="1"/>
  <c r="F90" i="3" a="1"/>
  <c r="F90" i="3" s="1"/>
  <c r="J90" i="3" a="1"/>
  <c r="J90" i="3" s="1"/>
  <c r="F96" i="3" a="1"/>
  <c r="F96" i="3" s="1"/>
  <c r="G96" i="3" a="1"/>
  <c r="G96" i="3" s="1"/>
  <c r="J96" i="3" a="1"/>
  <c r="J96" i="3" s="1"/>
  <c r="H96" i="3" a="1"/>
  <c r="H96" i="3" s="1"/>
  <c r="I96" i="3" a="1"/>
  <c r="I96" i="3" s="1"/>
  <c r="C96" i="3" a="1"/>
  <c r="C96" i="3" s="1"/>
  <c r="D96" i="3" a="1"/>
  <c r="D96" i="3" s="1"/>
  <c r="E96" i="3" a="1"/>
  <c r="E96" i="3" s="1"/>
  <c r="D76" i="3" a="1"/>
  <c r="D76" i="3" s="1"/>
  <c r="J76" i="3" a="1"/>
  <c r="J76" i="3" s="1"/>
  <c r="E76" i="3" a="1"/>
  <c r="E76" i="3" s="1"/>
  <c r="F76" i="3" a="1"/>
  <c r="F76" i="3" s="1"/>
  <c r="C76" i="3" a="1"/>
  <c r="C76" i="3" s="1"/>
  <c r="I76" i="3" a="1"/>
  <c r="I76" i="3" s="1"/>
  <c r="G76" i="3" a="1"/>
  <c r="G76" i="3" s="1"/>
  <c r="H76" i="3" a="1"/>
  <c r="H76" i="3" s="1"/>
  <c r="I77" i="3" a="1"/>
  <c r="I77" i="3" s="1"/>
  <c r="C77" i="3" a="1"/>
  <c r="C77" i="3" s="1"/>
  <c r="J77" i="3" a="1"/>
  <c r="J77" i="3" s="1"/>
  <c r="D77" i="3" a="1"/>
  <c r="D77" i="3" s="1"/>
  <c r="G77" i="3" a="1"/>
  <c r="G77" i="3" s="1"/>
  <c r="E77" i="3" a="1"/>
  <c r="E77" i="3" s="1"/>
  <c r="F77" i="3" a="1"/>
  <c r="F77" i="3" s="1"/>
  <c r="H77" i="3" a="1"/>
  <c r="H77" i="3" s="1"/>
  <c r="E75" i="3" a="1"/>
  <c r="E75" i="3" s="1"/>
  <c r="F75" i="3" a="1"/>
  <c r="F75" i="3" s="1"/>
  <c r="G75" i="3" a="1"/>
  <c r="G75" i="3" s="1"/>
  <c r="C75" i="3" a="1"/>
  <c r="C75" i="3" s="1"/>
  <c r="H75" i="3" a="1"/>
  <c r="H75" i="3" s="1"/>
  <c r="I75" i="3" a="1"/>
  <c r="I75" i="3" s="1"/>
  <c r="J75" i="3" a="1"/>
  <c r="J75" i="3" s="1"/>
  <c r="D75" i="3" a="1"/>
  <c r="D75" i="3" s="1"/>
  <c r="F80" i="4" a="1"/>
  <c r="F80" i="4" s="1"/>
  <c r="E80" i="4" a="1"/>
  <c r="E80" i="4" s="1"/>
  <c r="D80" i="4" a="1"/>
  <c r="D80" i="4" s="1"/>
  <c r="C80" i="4" a="1"/>
  <c r="C80" i="4" s="1"/>
  <c r="G80" i="4" a="1"/>
  <c r="G80" i="4" s="1"/>
  <c r="E72" i="4" a="1"/>
  <c r="E72" i="4" s="1"/>
  <c r="F72" i="4" a="1"/>
  <c r="F72" i="4" s="1"/>
  <c r="G72" i="4" a="1"/>
  <c r="G72" i="4" s="1"/>
  <c r="C72" i="4" a="1"/>
  <c r="C72" i="4" s="1"/>
  <c r="D72" i="4" a="1"/>
  <c r="D72" i="4" s="1"/>
  <c r="D64" i="4" a="1"/>
  <c r="D64" i="4" s="1"/>
  <c r="E64" i="4" a="1"/>
  <c r="E64" i="4" s="1"/>
  <c r="F64" i="4" a="1"/>
  <c r="F64" i="4" s="1"/>
  <c r="C64" i="4" a="1"/>
  <c r="C64" i="4" s="1"/>
  <c r="G64" i="4" a="1"/>
  <c r="G64" i="4" s="1"/>
  <c r="D78" i="12" a="1"/>
  <c r="D78" i="12" s="1"/>
  <c r="E78" i="12" a="1"/>
  <c r="E78" i="12" s="1"/>
  <c r="F78" i="12" a="1"/>
  <c r="F78" i="12" s="1"/>
  <c r="G78" i="12" a="1"/>
  <c r="G78" i="12" s="1"/>
  <c r="C78" i="12" a="1"/>
  <c r="C78" i="12" s="1"/>
  <c r="F92" i="12" a="1"/>
  <c r="F92" i="12" s="1"/>
  <c r="G92" i="12" a="1"/>
  <c r="G92" i="12" s="1"/>
  <c r="D92" i="12" a="1"/>
  <c r="D92" i="12" s="1"/>
  <c r="C92" i="12" a="1"/>
  <c r="C92" i="12" s="1"/>
  <c r="E92" i="12" a="1"/>
  <c r="E92" i="12" s="1"/>
  <c r="C77" i="12" a="1"/>
  <c r="C77" i="12" s="1"/>
  <c r="G77" i="12" a="1"/>
  <c r="G77" i="12" s="1"/>
  <c r="F77" i="12" a="1"/>
  <c r="F77" i="12" s="1"/>
  <c r="D77" i="12" a="1"/>
  <c r="D77" i="12" s="1"/>
  <c r="E77" i="12" a="1"/>
  <c r="E77" i="12" s="1"/>
  <c r="E65" i="2" a="1"/>
  <c r="E65" i="2" s="1"/>
  <c r="C65" i="2" a="1"/>
  <c r="C65" i="2" s="1"/>
  <c r="D65" i="2" a="1"/>
  <c r="D65" i="2" s="1"/>
  <c r="E86" i="2" a="1"/>
  <c r="E86" i="2" s="1"/>
  <c r="D86" i="2" a="1"/>
  <c r="D86" i="2" s="1"/>
  <c r="C86" i="2" a="1"/>
  <c r="C86" i="2" s="1"/>
  <c r="D77" i="2" a="1"/>
  <c r="D77" i="2" s="1"/>
  <c r="C77" i="2" a="1"/>
  <c r="C77" i="2" s="1"/>
  <c r="E77" i="2" a="1"/>
  <c r="E77" i="2" s="1"/>
  <c r="C59" i="2" a="1"/>
  <c r="C59" i="2" s="1"/>
  <c r="D59" i="2" a="1"/>
  <c r="D59" i="2" s="1"/>
  <c r="E59" i="2" a="1"/>
  <c r="E59" i="2" s="1"/>
  <c r="C87" i="2" a="1"/>
  <c r="C87" i="2" s="1"/>
  <c r="D87" i="2" a="1"/>
  <c r="D87" i="2" s="1"/>
  <c r="E87" i="2" a="1"/>
  <c r="E87" i="2" s="1"/>
  <c r="E70" i="2" a="1"/>
  <c r="E70" i="2" s="1"/>
  <c r="C70" i="2" a="1"/>
  <c r="C70" i="2" s="1"/>
  <c r="D70" i="2" a="1"/>
  <c r="D70" i="2" s="1"/>
  <c r="C93" i="9" a="1"/>
  <c r="C93" i="9" s="1"/>
  <c r="D93" i="9" a="1"/>
  <c r="D93" i="9" s="1"/>
  <c r="E93" i="9" a="1"/>
  <c r="E93" i="9" s="1"/>
  <c r="E76" i="9" a="1"/>
  <c r="E76" i="9" s="1"/>
  <c r="C76" i="9" a="1"/>
  <c r="C76" i="9" s="1"/>
  <c r="D76" i="9" a="1"/>
  <c r="D76" i="9" s="1"/>
  <c r="E100" i="9" a="1"/>
  <c r="E100" i="9" s="1"/>
  <c r="D100" i="9" a="1"/>
  <c r="D100" i="9" s="1"/>
  <c r="C100" i="9" a="1"/>
  <c r="C100" i="9" s="1"/>
  <c r="C101" i="8" a="1"/>
  <c r="C101" i="8" s="1"/>
  <c r="D101" i="8" a="1"/>
  <c r="D101" i="8" s="1"/>
  <c r="E101" i="8" a="1"/>
  <c r="E101" i="8" s="1"/>
  <c r="F101" i="8" a="1"/>
  <c r="F101" i="8" s="1"/>
  <c r="E80" i="8" a="1"/>
  <c r="E80" i="8" s="1"/>
  <c r="F80" i="8" a="1"/>
  <c r="F80" i="8" s="1"/>
  <c r="D80" i="8" a="1"/>
  <c r="D80" i="8" s="1"/>
  <c r="C80" i="8" a="1"/>
  <c r="C80" i="8" s="1"/>
  <c r="D82" i="8" a="1"/>
  <c r="D82" i="8" s="1"/>
  <c r="E82" i="8" a="1"/>
  <c r="E82" i="8" s="1"/>
  <c r="F82" i="8" a="1"/>
  <c r="F82" i="8" s="1"/>
  <c r="C82" i="8" a="1"/>
  <c r="C82" i="8" s="1"/>
  <c r="D84" i="8" a="1"/>
  <c r="D84" i="8" s="1"/>
  <c r="E84" i="8" a="1"/>
  <c r="E84" i="8" s="1"/>
  <c r="F84" i="8" a="1"/>
  <c r="F84" i="8" s="1"/>
  <c r="C84" i="8" a="1"/>
  <c r="C84" i="8" s="1"/>
  <c r="H82" i="3" a="1"/>
  <c r="H82" i="3" s="1"/>
  <c r="I82" i="3" a="1"/>
  <c r="I82" i="3" s="1"/>
  <c r="C82" i="3" a="1"/>
  <c r="C82" i="3" s="1"/>
  <c r="J82" i="3" a="1"/>
  <c r="J82" i="3" s="1"/>
  <c r="F82" i="3" a="1"/>
  <c r="F82" i="3" s="1"/>
  <c r="D82" i="3" a="1"/>
  <c r="D82" i="3" s="1"/>
  <c r="E82" i="3" a="1"/>
  <c r="E82" i="3" s="1"/>
  <c r="G82" i="3" a="1"/>
  <c r="G82" i="3" s="1"/>
  <c r="F88" i="3" a="1"/>
  <c r="F88" i="3" s="1"/>
  <c r="G88" i="3" a="1"/>
  <c r="G88" i="3" s="1"/>
  <c r="D88" i="3" a="1"/>
  <c r="D88" i="3" s="1"/>
  <c r="H88" i="3" a="1"/>
  <c r="H88" i="3" s="1"/>
  <c r="I88" i="3" a="1"/>
  <c r="I88" i="3" s="1"/>
  <c r="C88" i="3" a="1"/>
  <c r="C88" i="3" s="1"/>
  <c r="E88" i="3" a="1"/>
  <c r="E88" i="3" s="1"/>
  <c r="J88" i="3" a="1"/>
  <c r="J88" i="3" s="1"/>
  <c r="F68" i="3" a="1"/>
  <c r="F68" i="3" s="1"/>
  <c r="G68" i="3" a="1"/>
  <c r="G68" i="3" s="1"/>
  <c r="D68" i="3" a="1"/>
  <c r="D68" i="3" s="1"/>
  <c r="H68" i="3" a="1"/>
  <c r="H68" i="3" s="1"/>
  <c r="I68" i="3" a="1"/>
  <c r="I68" i="3" s="1"/>
  <c r="J68" i="3" a="1"/>
  <c r="J68" i="3" s="1"/>
  <c r="C68" i="3" a="1"/>
  <c r="C68" i="3" s="1"/>
  <c r="E68" i="3" a="1"/>
  <c r="E68" i="3" s="1"/>
  <c r="G73" i="3" a="1"/>
  <c r="G73" i="3" s="1"/>
  <c r="H73" i="3" a="1"/>
  <c r="H73" i="3" s="1"/>
  <c r="I73" i="3" a="1"/>
  <c r="I73" i="3" s="1"/>
  <c r="E73" i="3" a="1"/>
  <c r="E73" i="3" s="1"/>
  <c r="J73" i="3" a="1"/>
  <c r="J73" i="3" s="1"/>
  <c r="D73" i="3" a="1"/>
  <c r="D73" i="3" s="1"/>
  <c r="C73" i="3" a="1"/>
  <c r="C73" i="3" s="1"/>
  <c r="F73" i="3" a="1"/>
  <c r="F73" i="3" s="1"/>
  <c r="J71" i="3" a="1"/>
  <c r="J71" i="3" s="1"/>
  <c r="C71" i="3" a="1"/>
  <c r="C71" i="3" s="1"/>
  <c r="D71" i="3" a="1"/>
  <c r="D71" i="3" s="1"/>
  <c r="H71" i="3" a="1"/>
  <c r="H71" i="3" s="1"/>
  <c r="G71" i="3" a="1"/>
  <c r="G71" i="3" s="1"/>
  <c r="E71" i="3" a="1"/>
  <c r="E71" i="3" s="1"/>
  <c r="F71" i="3" a="1"/>
  <c r="F71" i="3" s="1"/>
  <c r="I71" i="3" a="1"/>
  <c r="I71" i="3" s="1"/>
  <c r="E57" i="4" a="1"/>
  <c r="E57" i="4" s="1"/>
  <c r="F57" i="4" a="1"/>
  <c r="F57" i="4" s="1"/>
  <c r="D57" i="4" a="1"/>
  <c r="D57" i="4" s="1"/>
  <c r="C57" i="4" a="1"/>
  <c r="C57" i="4" s="1"/>
  <c r="G57" i="4" a="1"/>
  <c r="G57" i="4" s="1"/>
  <c r="F79" i="4" a="1"/>
  <c r="F79" i="4" s="1"/>
  <c r="G79" i="4" a="1"/>
  <c r="G79" i="4" s="1"/>
  <c r="D79" i="4" a="1"/>
  <c r="D79" i="4" s="1"/>
  <c r="C79" i="4" a="1"/>
  <c r="C79" i="4" s="1"/>
  <c r="E79" i="4" a="1"/>
  <c r="E79" i="4" s="1"/>
  <c r="D71" i="4" a="1"/>
  <c r="D71" i="4" s="1"/>
  <c r="E71" i="4" a="1"/>
  <c r="E71" i="4" s="1"/>
  <c r="F71" i="4" a="1"/>
  <c r="F71" i="4" s="1"/>
  <c r="C71" i="4" a="1"/>
  <c r="C71" i="4" s="1"/>
  <c r="G71" i="4" a="1"/>
  <c r="G71" i="4" s="1"/>
  <c r="C63" i="4" a="1"/>
  <c r="C63" i="4" s="1"/>
  <c r="D63" i="4" a="1"/>
  <c r="D63" i="4" s="1"/>
  <c r="G63" i="4" a="1"/>
  <c r="G63" i="4" s="1"/>
  <c r="F63" i="4" a="1"/>
  <c r="F63" i="4" s="1"/>
  <c r="E63" i="4" a="1"/>
  <c r="E63" i="4" s="1"/>
  <c r="C74" i="12" a="1"/>
  <c r="C74" i="12" s="1"/>
  <c r="D74" i="12" a="1"/>
  <c r="D74" i="12" s="1"/>
  <c r="E74" i="12" a="1"/>
  <c r="E74" i="12" s="1"/>
  <c r="G74" i="12" a="1"/>
  <c r="G74" i="12" s="1"/>
  <c r="F74" i="12" a="1"/>
  <c r="F74" i="12" s="1"/>
  <c r="F84" i="12" a="1"/>
  <c r="F84" i="12" s="1"/>
  <c r="G84" i="12" a="1"/>
  <c r="G84" i="12" s="1"/>
  <c r="D84" i="12" a="1"/>
  <c r="D84" i="12" s="1"/>
  <c r="C84" i="12" a="1"/>
  <c r="C84" i="12" s="1"/>
  <c r="E84" i="12" a="1"/>
  <c r="E84" i="12" s="1"/>
  <c r="E100" i="12" a="1"/>
  <c r="E100" i="12" s="1"/>
  <c r="F100" i="12" a="1"/>
  <c r="F100" i="12" s="1"/>
  <c r="G100" i="12" a="1"/>
  <c r="G100" i="12" s="1"/>
  <c r="C100" i="12" a="1"/>
  <c r="C100" i="12" s="1"/>
  <c r="D100" i="12" a="1"/>
  <c r="D100" i="12" s="1"/>
  <c r="F73" i="12" a="1"/>
  <c r="F73" i="12" s="1"/>
  <c r="C73" i="12" a="1"/>
  <c r="C73" i="12" s="1"/>
  <c r="D73" i="12" a="1"/>
  <c r="D73" i="12" s="1"/>
  <c r="E73" i="12" a="1"/>
  <c r="E73" i="12" s="1"/>
  <c r="G73" i="12" a="1"/>
  <c r="G73" i="12" s="1"/>
  <c r="E88" i="2" a="1"/>
  <c r="E88" i="2" s="1"/>
  <c r="C88" i="2" a="1"/>
  <c r="C88" i="2" s="1"/>
  <c r="D88" i="2" a="1"/>
  <c r="D88" i="2" s="1"/>
  <c r="E69" i="2" a="1"/>
  <c r="E69" i="2" s="1"/>
  <c r="C69" i="2" a="1"/>
  <c r="C69" i="2" s="1"/>
  <c r="D69" i="2" a="1"/>
  <c r="D69" i="2" s="1"/>
  <c r="E82" i="2" a="1"/>
  <c r="E82" i="2" s="1"/>
  <c r="C82" i="2" a="1"/>
  <c r="C82" i="2" s="1"/>
  <c r="D82" i="2" a="1"/>
  <c r="D82" i="2" s="1"/>
  <c r="E83" i="2" a="1"/>
  <c r="E83" i="2" s="1"/>
  <c r="C83" i="2" a="1"/>
  <c r="C83" i="2" s="1"/>
  <c r="D83" i="2" a="1"/>
  <c r="D83" i="2" s="1"/>
  <c r="D66" i="2" a="1"/>
  <c r="D66" i="2" s="1"/>
  <c r="C66" i="2" a="1"/>
  <c r="C66" i="2" s="1"/>
  <c r="E66" i="2" a="1"/>
  <c r="E66" i="2" s="1"/>
  <c r="C104" i="9" a="1"/>
  <c r="C104" i="9" s="1"/>
  <c r="D104" i="9" a="1"/>
  <c r="D104" i="9" s="1"/>
  <c r="E104" i="9" a="1"/>
  <c r="E104" i="9" s="1"/>
  <c r="C84" i="9" a="1"/>
  <c r="C84" i="9" s="1"/>
  <c r="D84" i="9" a="1"/>
  <c r="D84" i="9" s="1"/>
  <c r="E84" i="9" a="1"/>
  <c r="E84" i="9" s="1"/>
  <c r="D79" i="9" a="1"/>
  <c r="D79" i="9" s="1"/>
  <c r="E79" i="9" a="1"/>
  <c r="E79" i="9" s="1"/>
  <c r="C79" i="9" a="1"/>
  <c r="C79" i="9" s="1"/>
  <c r="C98" i="9" a="1"/>
  <c r="C98" i="9" s="1"/>
  <c r="D98" i="9" a="1"/>
  <c r="D98" i="9" s="1"/>
  <c r="E98" i="9" a="1"/>
  <c r="E98" i="9" s="1"/>
  <c r="D101" i="9" a="1"/>
  <c r="D101" i="9" s="1"/>
  <c r="E101" i="9" a="1"/>
  <c r="E101" i="9" s="1"/>
  <c r="C101" i="9" a="1"/>
  <c r="C101" i="9" s="1"/>
  <c r="E96" i="9" a="1"/>
  <c r="E96" i="9" s="1"/>
  <c r="D96" i="9" a="1"/>
  <c r="D96" i="9" s="1"/>
  <c r="C96" i="9" a="1"/>
  <c r="C96" i="9" s="1"/>
  <c r="C95" i="9" a="1"/>
  <c r="C95" i="9" s="1"/>
  <c r="D95" i="9" a="1"/>
  <c r="D95" i="9" s="1"/>
  <c r="E95" i="9" a="1"/>
  <c r="E95" i="9" s="1"/>
  <c r="E92" i="8" a="1"/>
  <c r="E92" i="8" s="1"/>
  <c r="C92" i="8" a="1"/>
  <c r="C92" i="8" s="1"/>
  <c r="D92" i="8" a="1"/>
  <c r="D92" i="8" s="1"/>
  <c r="F92" i="8" a="1"/>
  <c r="F92" i="8" s="1"/>
  <c r="E87" i="8" a="1"/>
  <c r="E87" i="8" s="1"/>
  <c r="D87" i="8" a="1"/>
  <c r="D87" i="8" s="1"/>
  <c r="C87" i="8" a="1"/>
  <c r="C87" i="8" s="1"/>
  <c r="F87" i="8" a="1"/>
  <c r="F87" i="8" s="1"/>
  <c r="E112" i="8" a="1"/>
  <c r="E112" i="8" s="1"/>
  <c r="C112" i="8" a="1"/>
  <c r="C112" i="8" s="1"/>
  <c r="D112" i="8" a="1"/>
  <c r="D112" i="8" s="1"/>
  <c r="F112" i="8" a="1"/>
  <c r="F112" i="8" s="1"/>
  <c r="E114" i="8" a="1"/>
  <c r="E114" i="8" s="1"/>
  <c r="D114" i="8" a="1"/>
  <c r="D114" i="8" s="1"/>
  <c r="C114" i="8" a="1"/>
  <c r="C114" i="8" s="1"/>
  <c r="F114" i="8" a="1"/>
  <c r="F114" i="8" s="1"/>
  <c r="F74" i="3" a="1"/>
  <c r="F74" i="3" s="1"/>
  <c r="G74" i="3" a="1"/>
  <c r="G74" i="3" s="1"/>
  <c r="C74" i="3" a="1"/>
  <c r="C74" i="3" s="1"/>
  <c r="D74" i="3" a="1"/>
  <c r="D74" i="3" s="1"/>
  <c r="J74" i="3" a="1"/>
  <c r="J74" i="3" s="1"/>
  <c r="E74" i="3" a="1"/>
  <c r="E74" i="3" s="1"/>
  <c r="H74" i="3" a="1"/>
  <c r="H74" i="3" s="1"/>
  <c r="I74" i="3" a="1"/>
  <c r="I74" i="3" s="1"/>
  <c r="J80" i="3" a="1"/>
  <c r="J80" i="3" s="1"/>
  <c r="F80" i="3" a="1"/>
  <c r="F80" i="3" s="1"/>
  <c r="D80" i="3" a="1"/>
  <c r="D80" i="3" s="1"/>
  <c r="I80" i="3" a="1"/>
  <c r="I80" i="3" s="1"/>
  <c r="G80" i="3" a="1"/>
  <c r="G80" i="3" s="1"/>
  <c r="H80" i="3" a="1"/>
  <c r="H80" i="3" s="1"/>
  <c r="C80" i="3" a="1"/>
  <c r="C80" i="3" s="1"/>
  <c r="E80" i="3" a="1"/>
  <c r="E80" i="3" s="1"/>
  <c r="F65" i="3" a="1"/>
  <c r="F65" i="3" s="1"/>
  <c r="G65" i="3" a="1"/>
  <c r="G65" i="3" s="1"/>
  <c r="C65" i="3" a="1"/>
  <c r="C65" i="3" s="1"/>
  <c r="D65" i="3" a="1"/>
  <c r="D65" i="3" s="1"/>
  <c r="E65" i="3" a="1"/>
  <c r="E65" i="3" s="1"/>
  <c r="H65" i="3" a="1"/>
  <c r="H65" i="3" s="1"/>
  <c r="I65" i="3" a="1"/>
  <c r="I65" i="3" s="1"/>
  <c r="J65" i="3" a="1"/>
  <c r="J65" i="3" s="1"/>
  <c r="E69" i="3" a="1"/>
  <c r="E69" i="3" s="1"/>
  <c r="F69" i="3" a="1"/>
  <c r="F69" i="3" s="1"/>
  <c r="C69" i="3" a="1"/>
  <c r="C69" i="3" s="1"/>
  <c r="J69" i="3" a="1"/>
  <c r="J69" i="3" s="1"/>
  <c r="I69" i="3" a="1"/>
  <c r="I69" i="3" s="1"/>
  <c r="G69" i="3" a="1"/>
  <c r="G69" i="3" s="1"/>
  <c r="D69" i="3" a="1"/>
  <c r="D69" i="3" s="1"/>
  <c r="H69" i="3" a="1"/>
  <c r="H69" i="3" s="1"/>
  <c r="D99" i="3" a="1"/>
  <c r="D99" i="3" s="1"/>
  <c r="E99" i="3" a="1"/>
  <c r="E99" i="3" s="1"/>
  <c r="F99" i="3" a="1"/>
  <c r="F99" i="3" s="1"/>
  <c r="I99" i="3" a="1"/>
  <c r="I99" i="3" s="1"/>
  <c r="G99" i="3" a="1"/>
  <c r="G99" i="3" s="1"/>
  <c r="H99" i="3" a="1"/>
  <c r="H99" i="3" s="1"/>
  <c r="J99" i="3" a="1"/>
  <c r="J99" i="3" s="1"/>
  <c r="C99" i="3" a="1"/>
  <c r="C99" i="3" s="1"/>
  <c r="G67" i="3" a="1"/>
  <c r="G67" i="3" s="1"/>
  <c r="H67" i="3" a="1"/>
  <c r="H67" i="3" s="1"/>
  <c r="I67" i="3" a="1"/>
  <c r="I67" i="3" s="1"/>
  <c r="E67" i="3" a="1"/>
  <c r="E67" i="3" s="1"/>
  <c r="C67" i="3" a="1"/>
  <c r="C67" i="3" s="1"/>
  <c r="D67" i="3" a="1"/>
  <c r="D67" i="3" s="1"/>
  <c r="F67" i="3" a="1"/>
  <c r="F67" i="3" s="1"/>
  <c r="J67" i="3" a="1"/>
  <c r="J67" i="3" s="1"/>
  <c r="C56" i="4" a="1"/>
  <c r="C56" i="4" s="1"/>
  <c r="D56" i="4" a="1"/>
  <c r="D56" i="4" s="1"/>
  <c r="E56" i="4" a="1"/>
  <c r="E56" i="4" s="1"/>
  <c r="F56" i="4" a="1"/>
  <c r="F56" i="4" s="1"/>
  <c r="G56" i="4" a="1"/>
  <c r="G56" i="4" s="1"/>
  <c r="C62" i="4" a="1"/>
  <c r="C62" i="4" s="1"/>
  <c r="D62" i="4" a="1"/>
  <c r="D62" i="4" s="1"/>
  <c r="E62" i="4" a="1"/>
  <c r="E62" i="4" s="1"/>
  <c r="F62" i="4" a="1"/>
  <c r="F62" i="4" s="1"/>
  <c r="G62" i="4" a="1"/>
  <c r="G62" i="4" s="1"/>
  <c r="C95" i="12" a="1"/>
  <c r="C95" i="12" s="1"/>
  <c r="D95" i="12" a="1"/>
  <c r="D95" i="12" s="1"/>
  <c r="G95" i="12" a="1"/>
  <c r="G95" i="12" s="1"/>
  <c r="F95" i="12" a="1"/>
  <c r="F95" i="12" s="1"/>
  <c r="E95" i="12" a="1"/>
  <c r="E95" i="12" s="1"/>
  <c r="F69" i="12" a="1"/>
  <c r="F69" i="12" s="1"/>
  <c r="G69" i="12" a="1"/>
  <c r="G69" i="12" s="1"/>
  <c r="D69" i="12" a="1"/>
  <c r="D69" i="12" s="1"/>
  <c r="C69" i="12" a="1"/>
  <c r="C69" i="12" s="1"/>
  <c r="E69" i="12" a="1"/>
  <c r="E69" i="12" s="1"/>
  <c r="C57" i="2" a="1"/>
  <c r="C57" i="2" s="1"/>
  <c r="D57" i="2" a="1"/>
  <c r="D57" i="2" s="1"/>
  <c r="E57" i="2" a="1"/>
  <c r="E57" i="2" s="1"/>
  <c r="F83" i="8" a="1"/>
  <c r="F83" i="8" s="1"/>
  <c r="E83" i="8" a="1"/>
  <c r="E83" i="8" s="1"/>
  <c r="C83" i="8" a="1"/>
  <c r="C83" i="8" s="1"/>
  <c r="D83" i="8" a="1"/>
  <c r="D83" i="8" s="1"/>
  <c r="C90" i="8" a="1"/>
  <c r="C90" i="8" s="1"/>
  <c r="F90" i="8" a="1"/>
  <c r="F90" i="8" s="1"/>
  <c r="D90" i="8" a="1"/>
  <c r="D90" i="8" s="1"/>
  <c r="E90" i="8" a="1"/>
  <c r="E90" i="8" s="1"/>
  <c r="C95" i="8" a="1"/>
  <c r="C95" i="8" s="1"/>
  <c r="D95" i="8" a="1"/>
  <c r="D95" i="8" s="1"/>
  <c r="E95" i="8" a="1"/>
  <c r="E95" i="8" s="1"/>
  <c r="F95" i="8" a="1"/>
  <c r="F95" i="8" s="1"/>
  <c r="C108" i="8" a="1"/>
  <c r="C108" i="8" s="1"/>
  <c r="D108" i="8" a="1"/>
  <c r="D108" i="8" s="1"/>
  <c r="E108" i="8" a="1"/>
  <c r="E108" i="8" s="1"/>
  <c r="F108" i="8" a="1"/>
  <c r="F108" i="8" s="1"/>
  <c r="F110" i="8" a="1"/>
  <c r="F110" i="8" s="1"/>
  <c r="E110" i="8" a="1"/>
  <c r="E110" i="8" s="1"/>
  <c r="C110" i="8" a="1"/>
  <c r="C110" i="8" s="1"/>
  <c r="D110" i="8" a="1"/>
  <c r="D110" i="8" s="1"/>
  <c r="H66" i="3" a="1"/>
  <c r="H66" i="3" s="1"/>
  <c r="I66" i="3" a="1"/>
  <c r="I66" i="3" s="1"/>
  <c r="C66" i="3" a="1"/>
  <c r="C66" i="3" s="1"/>
  <c r="J66" i="3" a="1"/>
  <c r="J66" i="3" s="1"/>
  <c r="F66" i="3" a="1"/>
  <c r="F66" i="3" s="1"/>
  <c r="E66" i="3" a="1"/>
  <c r="E66" i="3" s="1"/>
  <c r="D66" i="3" a="1"/>
  <c r="D66" i="3" s="1"/>
  <c r="G66" i="3" a="1"/>
  <c r="G66" i="3" s="1"/>
  <c r="H72" i="3" a="1"/>
  <c r="H72" i="3" s="1"/>
  <c r="C72" i="3" a="1"/>
  <c r="C72" i="3" s="1"/>
  <c r="I72" i="3" a="1"/>
  <c r="I72" i="3" s="1"/>
  <c r="D72" i="3" a="1"/>
  <c r="D72" i="3" s="1"/>
  <c r="E72" i="3" a="1"/>
  <c r="E72" i="3" s="1"/>
  <c r="F72" i="3" a="1"/>
  <c r="F72" i="3" s="1"/>
  <c r="J72" i="3" a="1"/>
  <c r="J72" i="3" s="1"/>
  <c r="G72" i="3" a="1"/>
  <c r="G72" i="3" s="1"/>
  <c r="E94" i="3" a="1"/>
  <c r="E94" i="3" s="1"/>
  <c r="D94" i="3" a="1"/>
  <c r="D94" i="3" s="1"/>
  <c r="F94" i="3" a="1"/>
  <c r="F94" i="3" s="1"/>
  <c r="I94" i="3" a="1"/>
  <c r="I94" i="3" s="1"/>
  <c r="C94" i="3" a="1"/>
  <c r="C94" i="3" s="1"/>
  <c r="G94" i="3" a="1"/>
  <c r="G94" i="3" s="1"/>
  <c r="H94" i="3" a="1"/>
  <c r="H94" i="3" s="1"/>
  <c r="J94" i="3" a="1"/>
  <c r="J94" i="3" s="1"/>
  <c r="C97" i="3" a="1"/>
  <c r="C97" i="3" s="1"/>
  <c r="I97" i="3" a="1"/>
  <c r="I97" i="3" s="1"/>
  <c r="D97" i="3" a="1"/>
  <c r="D97" i="3" s="1"/>
  <c r="J97" i="3" a="1"/>
  <c r="J97" i="3" s="1"/>
  <c r="G97" i="3" a="1"/>
  <c r="G97" i="3" s="1"/>
  <c r="E97" i="3" a="1"/>
  <c r="E97" i="3" s="1"/>
  <c r="F97" i="3" a="1"/>
  <c r="F97" i="3" s="1"/>
  <c r="H97" i="3" a="1"/>
  <c r="H97" i="3" s="1"/>
  <c r="I95" i="3" a="1"/>
  <c r="I95" i="3" s="1"/>
  <c r="C95" i="3" a="1"/>
  <c r="C95" i="3" s="1"/>
  <c r="D95" i="3" a="1"/>
  <c r="D95" i="3" s="1"/>
  <c r="J95" i="3" a="1"/>
  <c r="J95" i="3" s="1"/>
  <c r="G95" i="3" a="1"/>
  <c r="G95" i="3" s="1"/>
  <c r="E95" i="3" a="1"/>
  <c r="E95" i="3" s="1"/>
  <c r="F95" i="3" a="1"/>
  <c r="F95" i="3" s="1"/>
  <c r="H95" i="3" a="1"/>
  <c r="H95" i="3" s="1"/>
  <c r="C70" i="4" a="1"/>
  <c r="C70" i="4" s="1"/>
  <c r="D70" i="4" a="1"/>
  <c r="D70" i="4" s="1"/>
  <c r="E70" i="4" a="1"/>
  <c r="E70" i="4" s="1"/>
  <c r="F70" i="4" a="1"/>
  <c r="F70" i="4" s="1"/>
  <c r="G70" i="4" a="1"/>
  <c r="G70" i="4" s="1"/>
  <c r="G86" i="4" a="1"/>
  <c r="G86" i="4" s="1"/>
  <c r="E86" i="4" a="1"/>
  <c r="E86" i="4" s="1"/>
  <c r="D86" i="4" a="1"/>
  <c r="D86" i="4" s="1"/>
  <c r="C86" i="4" a="1"/>
  <c r="C86" i="4" s="1"/>
  <c r="F86" i="4" a="1"/>
  <c r="F86" i="4" s="1"/>
  <c r="C55" i="4" a="1"/>
  <c r="C55" i="4" s="1"/>
  <c r="G55" i="4" a="1"/>
  <c r="G55" i="4" s="1"/>
  <c r="F55" i="4" a="1"/>
  <c r="F55" i="4" s="1"/>
  <c r="D55" i="4" a="1"/>
  <c r="D55" i="4" s="1"/>
  <c r="E55" i="4" a="1"/>
  <c r="E55" i="4" s="1"/>
  <c r="C77" i="4" a="1"/>
  <c r="C77" i="4" s="1"/>
  <c r="F77" i="4" a="1"/>
  <c r="F77" i="4" s="1"/>
  <c r="D77" i="4" a="1"/>
  <c r="D77" i="4" s="1"/>
  <c r="E77" i="4" a="1"/>
  <c r="E77" i="4" s="1"/>
  <c r="G77" i="4" a="1"/>
  <c r="G77" i="4" s="1"/>
  <c r="C69" i="4" a="1"/>
  <c r="C69" i="4" s="1"/>
  <c r="F69" i="4" a="1"/>
  <c r="F69" i="4" s="1"/>
  <c r="E69" i="4" a="1"/>
  <c r="E69" i="4" s="1"/>
  <c r="D69" i="4" a="1"/>
  <c r="D69" i="4" s="1"/>
  <c r="G69" i="4" a="1"/>
  <c r="G69" i="4" s="1"/>
  <c r="G61" i="4" a="1"/>
  <c r="G61" i="4" s="1"/>
  <c r="E61" i="4" a="1"/>
  <c r="E61" i="4" s="1"/>
  <c r="D61" i="4" a="1"/>
  <c r="D61" i="4" s="1"/>
  <c r="C61" i="4" a="1"/>
  <c r="C61" i="4" s="1"/>
  <c r="F61" i="4" a="1"/>
  <c r="F61" i="4" s="1"/>
  <c r="E98" i="12" a="1"/>
  <c r="E98" i="12" s="1"/>
  <c r="F98" i="12" a="1"/>
  <c r="F98" i="12" s="1"/>
  <c r="D98" i="12" a="1"/>
  <c r="D98" i="12" s="1"/>
  <c r="G98" i="12" a="1"/>
  <c r="G98" i="12" s="1"/>
  <c r="C98" i="12" a="1"/>
  <c r="C98" i="12" s="1"/>
  <c r="C66" i="12" a="1"/>
  <c r="C66" i="12" s="1"/>
  <c r="F66" i="12" a="1"/>
  <c r="F66" i="12" s="1"/>
  <c r="D66" i="12" a="1"/>
  <c r="D66" i="12" s="1"/>
  <c r="E66" i="12" a="1"/>
  <c r="E66" i="12" s="1"/>
  <c r="G66" i="12" a="1"/>
  <c r="G66" i="12" s="1"/>
  <c r="G76" i="12" a="1"/>
  <c r="G76" i="12" s="1"/>
  <c r="C76" i="12" a="1"/>
  <c r="C76" i="12" s="1"/>
  <c r="D76" i="12" a="1"/>
  <c r="D76" i="12" s="1"/>
  <c r="E76" i="12" a="1"/>
  <c r="E76" i="12" s="1"/>
  <c r="F76" i="12" a="1"/>
  <c r="F76" i="12" s="1"/>
  <c r="D83" i="12" a="1"/>
  <c r="D83" i="12" s="1"/>
  <c r="E83" i="12" a="1"/>
  <c r="E83" i="12" s="1"/>
  <c r="F83" i="12" a="1"/>
  <c r="F83" i="12" s="1"/>
  <c r="G83" i="12" a="1"/>
  <c r="G83" i="12" s="1"/>
  <c r="C83" i="12" a="1"/>
  <c r="C83" i="12" s="1"/>
  <c r="E97" i="12" a="1"/>
  <c r="E97" i="12" s="1"/>
  <c r="F97" i="12" a="1"/>
  <c r="F97" i="12" s="1"/>
  <c r="C97" i="12" a="1"/>
  <c r="C97" i="12" s="1"/>
  <c r="D97" i="12" a="1"/>
  <c r="D97" i="12" s="1"/>
  <c r="G97" i="12" a="1"/>
  <c r="G97" i="12" s="1"/>
  <c r="E84" i="2" a="1"/>
  <c r="E84" i="2" s="1"/>
  <c r="C84" i="2" a="1"/>
  <c r="C84" i="2" s="1"/>
  <c r="D84" i="2" a="1"/>
  <c r="D84" i="2" s="1"/>
  <c r="D76" i="2" a="1"/>
  <c r="D76" i="2" s="1"/>
  <c r="E76" i="2" a="1"/>
  <c r="E76" i="2" s="1"/>
  <c r="C76" i="2" a="1"/>
  <c r="C76" i="2" s="1"/>
  <c r="C58" i="2" a="1"/>
  <c r="C58" i="2" s="1"/>
  <c r="D58" i="2" a="1"/>
  <c r="D58" i="2" s="1"/>
  <c r="E58" i="2" a="1"/>
  <c r="E58" i="2" s="1"/>
  <c r="C102" i="9" a="1"/>
  <c r="C102" i="9" s="1"/>
  <c r="D102" i="9" a="1"/>
  <c r="D102" i="9" s="1"/>
  <c r="E102" i="9" a="1"/>
  <c r="E102" i="9" s="1"/>
  <c r="C106" i="9" a="1"/>
  <c r="C106" i="9" s="1"/>
  <c r="D106" i="9" a="1"/>
  <c r="D106" i="9" s="1"/>
  <c r="E106" i="9" a="1"/>
  <c r="E106" i="9" s="1"/>
  <c r="C89" i="9" a="1"/>
  <c r="C89" i="9" s="1"/>
  <c r="D89" i="9" a="1"/>
  <c r="D89" i="9" s="1"/>
  <c r="E89" i="9" a="1"/>
  <c r="E89" i="9" s="1"/>
  <c r="E92" i="9" a="1"/>
  <c r="E92" i="9" s="1"/>
  <c r="C92" i="9" a="1"/>
  <c r="C92" i="9" s="1"/>
  <c r="D92" i="9" a="1"/>
  <c r="D92" i="9" s="1"/>
  <c r="C86" i="9" a="1"/>
  <c r="C86" i="9" s="1"/>
  <c r="D86" i="9" a="1"/>
  <c r="D86" i="9" s="1"/>
  <c r="E86" i="9" a="1"/>
  <c r="E86" i="9" s="1"/>
  <c r="F81" i="8" a="1"/>
  <c r="F81" i="8" s="1"/>
  <c r="C81" i="8" a="1"/>
  <c r="C81" i="8" s="1"/>
  <c r="D81" i="8" a="1"/>
  <c r="D81" i="8" s="1"/>
  <c r="E81" i="8" a="1"/>
  <c r="E81" i="8" s="1"/>
  <c r="C113" i="8" a="1"/>
  <c r="C113" i="8" s="1"/>
  <c r="D113" i="8" a="1"/>
  <c r="D113" i="8" s="1"/>
  <c r="E113" i="8" a="1"/>
  <c r="E113" i="8" s="1"/>
  <c r="F113" i="8" a="1"/>
  <c r="F113" i="8" s="1"/>
  <c r="D86" i="8" a="1"/>
  <c r="D86" i="8" s="1"/>
  <c r="E86" i="8" a="1"/>
  <c r="E86" i="8" s="1"/>
  <c r="C86" i="8" a="1"/>
  <c r="C86" i="8" s="1"/>
  <c r="F86" i="8" a="1"/>
  <c r="F86" i="8" s="1"/>
  <c r="E104" i="8" a="1"/>
  <c r="E104" i="8" s="1"/>
  <c r="F104" i="8" a="1"/>
  <c r="F104" i="8" s="1"/>
  <c r="D104" i="8" a="1"/>
  <c r="D104" i="8" s="1"/>
  <c r="C104" i="8" a="1"/>
  <c r="C104" i="8" s="1"/>
  <c r="D106" i="8" a="1"/>
  <c r="D106" i="8" s="1"/>
  <c r="E106" i="8" a="1"/>
  <c r="E106" i="8" s="1"/>
  <c r="C106" i="8" a="1"/>
  <c r="C106" i="8" s="1"/>
  <c r="F106" i="8" a="1"/>
  <c r="F106" i="8" s="1"/>
  <c r="I86" i="3" a="1"/>
  <c r="I86" i="3" s="1"/>
  <c r="D86" i="3" a="1"/>
  <c r="D86" i="3" s="1"/>
  <c r="J86" i="3" a="1"/>
  <c r="J86" i="3" s="1"/>
  <c r="E86" i="3" a="1"/>
  <c r="E86" i="3" s="1"/>
  <c r="G86" i="3" a="1"/>
  <c r="G86" i="3" s="1"/>
  <c r="F86" i="3" a="1"/>
  <c r="F86" i="3" s="1"/>
  <c r="C86" i="3" a="1"/>
  <c r="C86" i="3" s="1"/>
  <c r="H86" i="3" a="1"/>
  <c r="H86" i="3" s="1"/>
  <c r="G93" i="3" a="1"/>
  <c r="G93" i="3" s="1"/>
  <c r="F93" i="3" a="1"/>
  <c r="F93" i="3" s="1"/>
  <c r="C93" i="3" a="1"/>
  <c r="C93" i="3" s="1"/>
  <c r="D93" i="3" a="1"/>
  <c r="D93" i="3" s="1"/>
  <c r="E93" i="3" a="1"/>
  <c r="E93" i="3" s="1"/>
  <c r="J93" i="3" a="1"/>
  <c r="J93" i="3" s="1"/>
  <c r="H93" i="3" a="1"/>
  <c r="H93" i="3" s="1"/>
  <c r="I93" i="3" a="1"/>
  <c r="I93" i="3" s="1"/>
  <c r="E91" i="3" a="1"/>
  <c r="E91" i="3" s="1"/>
  <c r="F91" i="3" a="1"/>
  <c r="F91" i="3" s="1"/>
  <c r="G91" i="3" a="1"/>
  <c r="G91" i="3" s="1"/>
  <c r="H91" i="3" a="1"/>
  <c r="H91" i="3" s="1"/>
  <c r="I91" i="3" a="1"/>
  <c r="I91" i="3" s="1"/>
  <c r="J91" i="3" a="1"/>
  <c r="J91" i="3" s="1"/>
  <c r="C91" i="3" a="1"/>
  <c r="C91" i="3" s="1"/>
  <c r="D91" i="3" a="1"/>
  <c r="D91" i="3" s="1"/>
  <c r="G54" i="4" a="1"/>
  <c r="G54" i="4" s="1"/>
  <c r="E54" i="4" a="1"/>
  <c r="E54" i="4" s="1"/>
  <c r="C54" i="4" a="1"/>
  <c r="C54" i="4" s="1"/>
  <c r="D54" i="4" a="1"/>
  <c r="D54" i="4" s="1"/>
  <c r="F54" i="4" a="1"/>
  <c r="F54" i="4" s="1"/>
  <c r="C78" i="4" a="1"/>
  <c r="C78" i="4" s="1"/>
  <c r="D78" i="4" a="1"/>
  <c r="D78" i="4" s="1"/>
  <c r="E78" i="4" a="1"/>
  <c r="E78" i="4" s="1"/>
  <c r="F78" i="4" a="1"/>
  <c r="F78" i="4" s="1"/>
  <c r="G78" i="4" a="1"/>
  <c r="G78" i="4" s="1"/>
  <c r="C70" i="12" a="1"/>
  <c r="C70" i="12" s="1"/>
  <c r="F70" i="12" a="1"/>
  <c r="F70" i="12" s="1"/>
  <c r="D70" i="12" a="1"/>
  <c r="D70" i="12" s="1"/>
  <c r="E70" i="12" a="1"/>
  <c r="E70" i="12" s="1"/>
  <c r="G70" i="12" a="1"/>
  <c r="G70" i="12" s="1"/>
  <c r="G80" i="12" a="1"/>
  <c r="G80" i="12" s="1"/>
  <c r="C80" i="12" a="1"/>
  <c r="C80" i="12" s="1"/>
  <c r="E80" i="12" a="1"/>
  <c r="E80" i="12" s="1"/>
  <c r="D80" i="12" a="1"/>
  <c r="D80" i="12" s="1"/>
  <c r="F80" i="12" a="1"/>
  <c r="F80" i="12" s="1"/>
  <c r="E99" i="12" a="1"/>
  <c r="E99" i="12" s="1"/>
  <c r="F99" i="12" a="1"/>
  <c r="F99" i="12" s="1"/>
  <c r="C99" i="12" a="1"/>
  <c r="C99" i="12" s="1"/>
  <c r="D99" i="12" a="1"/>
  <c r="D99" i="12" s="1"/>
  <c r="G99" i="12" a="1"/>
  <c r="G99" i="12" s="1"/>
  <c r="F88" i="12" a="1"/>
  <c r="F88" i="12" s="1"/>
  <c r="G88" i="12" a="1"/>
  <c r="G88" i="12" s="1"/>
  <c r="D88" i="12" a="1"/>
  <c r="D88" i="12" s="1"/>
  <c r="C88" i="12" a="1"/>
  <c r="C88" i="12" s="1"/>
  <c r="E88" i="12" a="1"/>
  <c r="E88" i="12" s="1"/>
  <c r="E80" i="2" a="1"/>
  <c r="E80" i="2" s="1"/>
  <c r="D80" i="2" a="1"/>
  <c r="D80" i="2" s="1"/>
  <c r="C80" i="2" a="1"/>
  <c r="C80" i="2" s="1"/>
  <c r="D61" i="2" a="1"/>
  <c r="D61" i="2" s="1"/>
  <c r="C61" i="2" a="1"/>
  <c r="C61" i="2" s="1"/>
  <c r="E61" i="2" a="1"/>
  <c r="E61" i="2" s="1"/>
  <c r="E92" i="2" a="1"/>
  <c r="E92" i="2" s="1"/>
  <c r="C92" i="2" a="1"/>
  <c r="C92" i="2" s="1"/>
  <c r="D92" i="2" a="1"/>
  <c r="D92" i="2" s="1"/>
  <c r="C62" i="2" a="1"/>
  <c r="C62" i="2" s="1"/>
  <c r="D62" i="2" a="1"/>
  <c r="D62" i="2" s="1"/>
  <c r="E62" i="2" a="1"/>
  <c r="E62" i="2" s="1"/>
  <c r="C91" i="9" a="1"/>
  <c r="C91" i="9" s="1"/>
  <c r="D91" i="9" a="1"/>
  <c r="D91" i="9" s="1"/>
  <c r="E91" i="9" a="1"/>
  <c r="E91" i="9" s="1"/>
  <c r="F89" i="4" a="1"/>
  <c r="F89" i="4" s="1"/>
  <c r="G89" i="4" a="1"/>
  <c r="G89" i="4" s="1"/>
  <c r="D89" i="4" a="1"/>
  <c r="D89" i="4" s="1"/>
  <c r="C89" i="4" a="1"/>
  <c r="C89" i="4" s="1"/>
  <c r="E89" i="4" a="1"/>
  <c r="E89" i="4" s="1"/>
  <c r="F76" i="4" a="1"/>
  <c r="F76" i="4" s="1"/>
  <c r="G76" i="4" a="1"/>
  <c r="G76" i="4" s="1"/>
  <c r="E76" i="4" a="1"/>
  <c r="E76" i="4" s="1"/>
  <c r="C76" i="4" a="1"/>
  <c r="C76" i="4" s="1"/>
  <c r="D76" i="4" a="1"/>
  <c r="D76" i="4" s="1"/>
  <c r="F68" i="4" a="1"/>
  <c r="F68" i="4" s="1"/>
  <c r="G68" i="4" a="1"/>
  <c r="G68" i="4" s="1"/>
  <c r="E68" i="4" a="1"/>
  <c r="E68" i="4" s="1"/>
  <c r="C68" i="4" a="1"/>
  <c r="C68" i="4" s="1"/>
  <c r="D68" i="4" a="1"/>
  <c r="D68" i="4" s="1"/>
  <c r="D60" i="4" a="1"/>
  <c r="D60" i="4" s="1"/>
  <c r="E60" i="4" a="1"/>
  <c r="E60" i="4" s="1"/>
  <c r="F60" i="4" a="1"/>
  <c r="F60" i="4" s="1"/>
  <c r="C60" i="4" a="1"/>
  <c r="C60" i="4" s="1"/>
  <c r="G60" i="4" a="1"/>
  <c r="G60" i="4" s="1"/>
  <c r="C88" i="4" a="1"/>
  <c r="C88" i="4" s="1"/>
  <c r="D88" i="4" a="1"/>
  <c r="D88" i="4" s="1"/>
  <c r="E88" i="4" a="1"/>
  <c r="E88" i="4" s="1"/>
  <c r="F88" i="4" a="1"/>
  <c r="F88" i="4" s="1"/>
  <c r="G88" i="4" a="1"/>
  <c r="G88" i="4" s="1"/>
  <c r="G94" i="12" a="1"/>
  <c r="G94" i="12" s="1"/>
  <c r="E94" i="12" a="1"/>
  <c r="E94" i="12" s="1"/>
  <c r="C94" i="12" a="1"/>
  <c r="C94" i="12" s="1"/>
  <c r="D94" i="12" a="1"/>
  <c r="D94" i="12" s="1"/>
  <c r="F94" i="12" a="1"/>
  <c r="F94" i="12" s="1"/>
  <c r="C67" i="12" a="1"/>
  <c r="C67" i="12" s="1"/>
  <c r="D67" i="12" a="1"/>
  <c r="D67" i="12" s="1"/>
  <c r="E67" i="12" a="1"/>
  <c r="E67" i="12" s="1"/>
  <c r="F67" i="12" a="1"/>
  <c r="F67" i="12" s="1"/>
  <c r="G67" i="12" a="1"/>
  <c r="G67" i="12" s="1"/>
  <c r="F72" i="12" a="1"/>
  <c r="F72" i="12" s="1"/>
  <c r="G72" i="12" a="1"/>
  <c r="G72" i="12" s="1"/>
  <c r="D72" i="12" a="1"/>
  <c r="D72" i="12" s="1"/>
  <c r="C72" i="12" a="1"/>
  <c r="C72" i="12" s="1"/>
  <c r="E72" i="12" a="1"/>
  <c r="E72" i="12" s="1"/>
  <c r="F79" i="12" a="1"/>
  <c r="F79" i="12" s="1"/>
  <c r="G79" i="12" a="1"/>
  <c r="G79" i="12" s="1"/>
  <c r="D79" i="12" a="1"/>
  <c r="D79" i="12" s="1"/>
  <c r="C79" i="12" a="1"/>
  <c r="C79" i="12" s="1"/>
  <c r="E79" i="12" a="1"/>
  <c r="E79" i="12" s="1"/>
  <c r="E93" i="12" a="1"/>
  <c r="E93" i="12" s="1"/>
  <c r="F93" i="12" a="1"/>
  <c r="F93" i="12" s="1"/>
  <c r="G93" i="12" a="1"/>
  <c r="G93" i="12" s="1"/>
  <c r="D93" i="12" a="1"/>
  <c r="D93" i="12" s="1"/>
  <c r="C93" i="12" a="1"/>
  <c r="C93" i="12" s="1"/>
  <c r="C89" i="2" a="1"/>
  <c r="C89" i="2" s="1"/>
  <c r="D89" i="2" a="1"/>
  <c r="D89" i="2" s="1"/>
  <c r="E89" i="2" a="1"/>
  <c r="E89" i="2" s="1"/>
  <c r="E72" i="2" a="1"/>
  <c r="E72" i="2" s="1"/>
  <c r="C72" i="2" a="1"/>
  <c r="C72" i="2" s="1"/>
  <c r="D72" i="2" a="1"/>
  <c r="D72" i="2" s="1"/>
  <c r="D85" i="2" a="1"/>
  <c r="D85" i="2" s="1"/>
  <c r="C85" i="2" a="1"/>
  <c r="C85" i="2" s="1"/>
  <c r="E85" i="2" a="1"/>
  <c r="E85" i="2" s="1"/>
  <c r="C81" i="2" a="1"/>
  <c r="C81" i="2" s="1"/>
  <c r="D81" i="2" a="1"/>
  <c r="D81" i="2" s="1"/>
  <c r="E81" i="2" a="1"/>
  <c r="E81" i="2" s="1"/>
  <c r="D83" i="9" a="1"/>
  <c r="D83" i="9" s="1"/>
  <c r="C83" i="9" a="1"/>
  <c r="C83" i="9" s="1"/>
  <c r="E83" i="9" a="1"/>
  <c r="E83" i="9" s="1"/>
  <c r="D97" i="9" a="1"/>
  <c r="D97" i="9" s="1"/>
  <c r="E97" i="9" a="1"/>
  <c r="E97" i="9" s="1"/>
  <c r="C97" i="9" a="1"/>
  <c r="C97" i="9" s="1"/>
  <c r="E87" i="9" a="1"/>
  <c r="E87" i="9" s="1"/>
  <c r="D87" i="9" a="1"/>
  <c r="D87" i="9" s="1"/>
  <c r="C87" i="9" a="1"/>
  <c r="C87" i="9" s="1"/>
  <c r="C82" i="9" a="1"/>
  <c r="C82" i="9" s="1"/>
  <c r="D82" i="9" a="1"/>
  <c r="D82" i="9" s="1"/>
  <c r="E82" i="9" a="1"/>
  <c r="E82" i="9" s="1"/>
  <c r="C115" i="8" a="1"/>
  <c r="C115" i="8" s="1"/>
  <c r="D115" i="8" a="1"/>
  <c r="D115" i="8" s="1"/>
  <c r="E115" i="8" a="1"/>
  <c r="E115" i="8" s="1"/>
  <c r="F115" i="8" a="1"/>
  <c r="F115" i="8" s="1"/>
  <c r="F105" i="8" a="1"/>
  <c r="F105" i="8" s="1"/>
  <c r="C105" i="8" a="1"/>
  <c r="C105" i="8" s="1"/>
  <c r="D105" i="8" a="1"/>
  <c r="D105" i="8" s="1"/>
  <c r="E105" i="8" a="1"/>
  <c r="E105" i="8" s="1"/>
  <c r="D111" i="8" a="1"/>
  <c r="D111" i="8" s="1"/>
  <c r="E111" i="8" a="1"/>
  <c r="E111" i="8" s="1"/>
  <c r="F111" i="8" a="1"/>
  <c r="F111" i="8" s="1"/>
  <c r="C111" i="8" a="1"/>
  <c r="C111" i="8" s="1"/>
  <c r="E100" i="8" a="1"/>
  <c r="E100" i="8" s="1"/>
  <c r="D100" i="8" a="1"/>
  <c r="D100" i="8" s="1"/>
  <c r="C100" i="8" a="1"/>
  <c r="C100" i="8" s="1"/>
  <c r="F100" i="8" a="1"/>
  <c r="F100" i="8" s="1"/>
  <c r="F102" i="8" a="1"/>
  <c r="F102" i="8" s="1"/>
  <c r="D102" i="8" a="1"/>
  <c r="D102" i="8" s="1"/>
  <c r="C102" i="8" a="1"/>
  <c r="C102" i="8" s="1"/>
  <c r="E102" i="8" a="1"/>
  <c r="E102" i="8" s="1"/>
  <c r="H78" i="3" a="1"/>
  <c r="H78" i="3" s="1"/>
  <c r="C78" i="3" a="1"/>
  <c r="C78" i="3" s="1"/>
  <c r="I78" i="3" a="1"/>
  <c r="I78" i="3" s="1"/>
  <c r="F78" i="3" a="1"/>
  <c r="F78" i="3" s="1"/>
  <c r="J78" i="3" a="1"/>
  <c r="J78" i="3" s="1"/>
  <c r="E78" i="3" a="1"/>
  <c r="E78" i="3" s="1"/>
  <c r="D78" i="3" a="1"/>
  <c r="D78" i="3" s="1"/>
  <c r="G78" i="3" a="1"/>
  <c r="G78" i="3" s="1"/>
  <c r="C100" i="3" a="1"/>
  <c r="C100" i="3" s="1"/>
  <c r="H100" i="3" a="1"/>
  <c r="H100" i="3" s="1"/>
  <c r="I100" i="3" a="1"/>
  <c r="I100" i="3" s="1"/>
  <c r="D100" i="3" a="1"/>
  <c r="D100" i="3" s="1"/>
  <c r="G100" i="3" a="1"/>
  <c r="G100" i="3" s="1"/>
  <c r="J100" i="3" a="1"/>
  <c r="J100" i="3" s="1"/>
  <c r="E100" i="3" a="1"/>
  <c r="E100" i="3" s="1"/>
  <c r="F100" i="3" a="1"/>
  <c r="F100" i="3" s="1"/>
  <c r="I89" i="3" a="1"/>
  <c r="I89" i="3" s="1"/>
  <c r="C89" i="3" a="1"/>
  <c r="C89" i="3" s="1"/>
  <c r="J89" i="3" a="1"/>
  <c r="J89" i="3" s="1"/>
  <c r="D89" i="3" a="1"/>
  <c r="D89" i="3" s="1"/>
  <c r="G89" i="3" a="1"/>
  <c r="G89" i="3" s="1"/>
  <c r="F89" i="3" a="1"/>
  <c r="F89" i="3" s="1"/>
  <c r="E89" i="3" a="1"/>
  <c r="E89" i="3" s="1"/>
  <c r="H89" i="3" a="1"/>
  <c r="H89" i="3" s="1"/>
  <c r="G87" i="3" a="1"/>
  <c r="G87" i="3" s="1"/>
  <c r="H87" i="3" a="1"/>
  <c r="H87" i="3" s="1"/>
  <c r="I87" i="3" a="1"/>
  <c r="I87" i="3" s="1"/>
  <c r="C87" i="3" a="1"/>
  <c r="C87" i="3" s="1"/>
  <c r="D87" i="3" a="1"/>
  <c r="D87" i="3" s="1"/>
  <c r="E87" i="3" a="1"/>
  <c r="E87" i="3" s="1"/>
  <c r="F87" i="3" a="1"/>
  <c r="F87" i="3" s="1"/>
  <c r="J87" i="3" a="1"/>
  <c r="J87" i="3" s="1"/>
  <c r="O24" i="9"/>
  <c r="H23" i="1" s="1"/>
  <c r="O25" i="9"/>
  <c r="H24" i="1" s="1"/>
  <c r="O7" i="9"/>
  <c r="H6" i="1" s="1"/>
  <c r="O18" i="9"/>
  <c r="H17" i="1" s="1"/>
  <c r="O40" i="9"/>
  <c r="H39" i="1" s="1"/>
  <c r="O17" i="9"/>
  <c r="H16" i="1" s="1"/>
  <c r="O38" i="9"/>
  <c r="H37" i="1" s="1"/>
  <c r="O8" i="9"/>
  <c r="H7" i="1" s="1"/>
  <c r="O28" i="9"/>
  <c r="H27" i="1" s="1"/>
  <c r="O36" i="9"/>
  <c r="H35" i="1" s="1"/>
  <c r="O33" i="9"/>
  <c r="H32" i="1" s="1"/>
  <c r="O11" i="9"/>
  <c r="H10" i="1" s="1"/>
  <c r="G106" i="14" a="1"/>
  <c r="G106" i="14" s="1"/>
  <c r="N36" i="9" s="1"/>
  <c r="O31" i="9"/>
  <c r="H30" i="1" s="1"/>
  <c r="O21" i="9"/>
  <c r="H20" i="1" s="1"/>
  <c r="O15" i="9"/>
  <c r="H14" i="1" s="1"/>
  <c r="O34" i="9"/>
  <c r="H33" i="1" s="1"/>
  <c r="O16" i="9"/>
  <c r="H15" i="1" s="1"/>
  <c r="O20" i="9"/>
  <c r="H19" i="1" s="1"/>
  <c r="O13" i="9"/>
  <c r="H12" i="1" s="1"/>
  <c r="O39" i="9"/>
  <c r="H38" i="1" s="1"/>
  <c r="O37" i="9"/>
  <c r="H36" i="1" s="1"/>
  <c r="O14" i="9"/>
  <c r="H13" i="1" s="1"/>
  <c r="O23" i="9"/>
  <c r="H22" i="1" s="1"/>
  <c r="O30" i="9"/>
  <c r="H29" i="1" s="1"/>
  <c r="O27" i="9"/>
  <c r="H26" i="1" s="1"/>
  <c r="O22" i="9"/>
  <c r="H21" i="1" s="1"/>
  <c r="O5" i="9"/>
  <c r="H4" i="1" s="1"/>
  <c r="O10" i="9"/>
  <c r="H9" i="1" s="1"/>
  <c r="O26" i="9"/>
  <c r="H25" i="1" s="1"/>
  <c r="O12" i="9"/>
  <c r="H11" i="1" s="1"/>
  <c r="O6" i="9"/>
  <c r="H5" i="1" s="1"/>
  <c r="O29" i="9"/>
  <c r="H28" i="1" s="1"/>
  <c r="O9" i="9"/>
  <c r="H8" i="1" s="1"/>
  <c r="O19" i="9"/>
  <c r="H18" i="1" s="1"/>
  <c r="O35" i="9"/>
  <c r="H34" i="1" s="1"/>
  <c r="O32" i="9"/>
  <c r="H31" i="1" s="1"/>
  <c r="Q5" i="12"/>
  <c r="M31" i="4"/>
  <c r="E30" i="1" s="1"/>
  <c r="M32" i="4"/>
  <c r="E31" i="1" s="1"/>
  <c r="M38" i="4"/>
  <c r="E37" i="1" s="1"/>
  <c r="M19" i="4"/>
  <c r="E18" i="1" s="1"/>
  <c r="M21" i="4"/>
  <c r="E20" i="1" s="1"/>
  <c r="M40" i="4"/>
  <c r="E39" i="1" s="1"/>
  <c r="M15" i="4"/>
  <c r="E14" i="1" s="1"/>
  <c r="M39" i="4"/>
  <c r="E38" i="1" s="1"/>
  <c r="M10" i="4"/>
  <c r="E9" i="1" s="1"/>
  <c r="M27" i="4"/>
  <c r="E26" i="1" s="1"/>
  <c r="M33" i="4"/>
  <c r="E32" i="1" s="1"/>
  <c r="M7" i="4"/>
  <c r="E6" i="1" s="1"/>
  <c r="M14" i="4"/>
  <c r="E13" i="1" s="1"/>
  <c r="M24" i="4"/>
  <c r="E23" i="1" s="1"/>
  <c r="M28" i="4"/>
  <c r="E27" i="1" s="1"/>
  <c r="M8" i="4"/>
  <c r="E7" i="1" s="1"/>
  <c r="G17" i="14" a="1"/>
  <c r="G17" i="14" s="1"/>
  <c r="M22" i="3" s="1"/>
  <c r="Q19" i="16" s="1"/>
  <c r="M25" i="4"/>
  <c r="E24" i="1" s="1"/>
  <c r="G16" i="14" a="1"/>
  <c r="G16" i="14" s="1"/>
  <c r="L15" i="3" s="1"/>
  <c r="P12" i="16" s="1"/>
  <c r="M16" i="4"/>
  <c r="E15" i="1" s="1"/>
  <c r="M34" i="4"/>
  <c r="E33" i="1" s="1"/>
  <c r="M6" i="4"/>
  <c r="E5" i="1" s="1"/>
  <c r="M20" i="4"/>
  <c r="E19" i="1" s="1"/>
  <c r="M12" i="4"/>
  <c r="E11" i="1" s="1"/>
  <c r="M22" i="4"/>
  <c r="E21" i="1" s="1"/>
  <c r="M9" i="4"/>
  <c r="E8" i="1" s="1"/>
  <c r="M36" i="4"/>
  <c r="E35" i="1" s="1"/>
  <c r="M23" i="4"/>
  <c r="E22" i="1" s="1"/>
  <c r="M13" i="4"/>
  <c r="E12" i="1" s="1"/>
  <c r="M11" i="4"/>
  <c r="E10" i="1" s="1"/>
  <c r="M30" i="4"/>
  <c r="E29" i="1" s="1"/>
  <c r="M17" i="4"/>
  <c r="E16" i="1" s="1"/>
  <c r="G90" i="14" a="1"/>
  <c r="G90" i="14" s="1"/>
  <c r="G91" i="14" a="1"/>
  <c r="G91" i="14" s="1"/>
  <c r="M26" i="4"/>
  <c r="E25" i="1" s="1"/>
  <c r="M29" i="4"/>
  <c r="E28" i="1" s="1"/>
  <c r="M35" i="4"/>
  <c r="E34" i="1" s="1"/>
  <c r="M18" i="4"/>
  <c r="E17" i="1" s="1"/>
  <c r="M37" i="4"/>
  <c r="E36" i="1" s="1"/>
  <c r="M5" i="4"/>
  <c r="E4" i="1" s="1"/>
  <c r="I33" i="3"/>
  <c r="Q33" i="3" s="1"/>
  <c r="U30" i="16" s="1"/>
  <c r="I30" i="3"/>
  <c r="Q30" i="3" s="1"/>
  <c r="U27" i="16" s="1"/>
  <c r="I27" i="3"/>
  <c r="Q27" i="3" s="1"/>
  <c r="U24" i="16" s="1"/>
  <c r="I16" i="3"/>
  <c r="Q16" i="3" s="1"/>
  <c r="U13" i="16" s="1"/>
  <c r="I20" i="3"/>
  <c r="Q20" i="3" s="1"/>
  <c r="U17" i="16" s="1"/>
  <c r="I5" i="3"/>
  <c r="Q5" i="3" s="1"/>
  <c r="V2" i="16" s="1"/>
  <c r="I17" i="3"/>
  <c r="Q17" i="3" s="1"/>
  <c r="U14" i="16" s="1"/>
  <c r="I26" i="3"/>
  <c r="Q26" i="3" s="1"/>
  <c r="U23" i="16" s="1"/>
  <c r="I29" i="3"/>
  <c r="Q29" i="3" s="1"/>
  <c r="U26" i="16" s="1"/>
  <c r="I36" i="3"/>
  <c r="Q36" i="3" s="1"/>
  <c r="U33" i="16" s="1"/>
  <c r="I35" i="3"/>
  <c r="Q35" i="3" s="1"/>
  <c r="U32" i="16" s="1"/>
  <c r="I11" i="3"/>
  <c r="Q11" i="3" s="1"/>
  <c r="U8" i="16" s="1"/>
  <c r="I32" i="3"/>
  <c r="Q32" i="3" s="1"/>
  <c r="U29" i="16" s="1"/>
  <c r="I13" i="3"/>
  <c r="Q13" i="3" s="1"/>
  <c r="U10" i="16" s="1"/>
  <c r="I6" i="3"/>
  <c r="Q6" i="3" s="1"/>
  <c r="U3" i="16" s="1"/>
  <c r="I25" i="3"/>
  <c r="Q25" i="3" s="1"/>
  <c r="U22" i="16" s="1"/>
  <c r="I22" i="3"/>
  <c r="Q22" i="3" s="1"/>
  <c r="U19" i="16" s="1"/>
  <c r="I38" i="3"/>
  <c r="Q38" i="3" s="1"/>
  <c r="U35" i="16" s="1"/>
  <c r="I28" i="3"/>
  <c r="Q28" i="3" s="1"/>
  <c r="U25" i="16" s="1"/>
  <c r="I15" i="3"/>
  <c r="Q15" i="3" s="1"/>
  <c r="U12" i="16" s="1"/>
  <c r="I8" i="3"/>
  <c r="Q8" i="3" s="1"/>
  <c r="U5" i="16" s="1"/>
  <c r="I12" i="3"/>
  <c r="Q12" i="3" s="1"/>
  <c r="U9" i="16" s="1"/>
  <c r="I14" i="3"/>
  <c r="Q14" i="3" s="1"/>
  <c r="U11" i="16" s="1"/>
  <c r="H83" i="12" l="1"/>
  <c r="G101" i="8"/>
  <c r="F84" i="9"/>
  <c r="F91" i="9"/>
  <c r="F80" i="2"/>
  <c r="F91" i="2"/>
  <c r="H96" i="12"/>
  <c r="H68" i="4"/>
  <c r="G85" i="8"/>
  <c r="F68" i="2"/>
  <c r="K76" i="3"/>
  <c r="G88" i="8"/>
  <c r="F67" i="2"/>
  <c r="F86" i="2"/>
  <c r="H78" i="12"/>
  <c r="F105" i="9"/>
  <c r="G115" i="8"/>
  <c r="F95" i="9"/>
  <c r="F88" i="2"/>
  <c r="H100" i="12"/>
  <c r="K71" i="3"/>
  <c r="F74" i="2"/>
  <c r="F94" i="9"/>
  <c r="F98" i="9"/>
  <c r="H76" i="12"/>
  <c r="G89" i="14" a="1"/>
  <c r="G89" i="14" s="1"/>
  <c r="L8" i="8" s="1"/>
  <c r="AJ5" i="16" s="1"/>
  <c r="F57" i="2"/>
  <c r="F92" i="2"/>
  <c r="G81" i="8"/>
  <c r="F102" i="9"/>
  <c r="H86" i="4"/>
  <c r="H70" i="4"/>
  <c r="K97" i="3"/>
  <c r="G108" i="8"/>
  <c r="G90" i="8"/>
  <c r="F79" i="9"/>
  <c r="F104" i="9"/>
  <c r="G84" i="8"/>
  <c r="G80" i="8"/>
  <c r="F100" i="9"/>
  <c r="F108" i="9"/>
  <c r="F77" i="9"/>
  <c r="F90" i="9"/>
  <c r="F79" i="2"/>
  <c r="G91" i="8"/>
  <c r="F109" i="9"/>
  <c r="H90" i="12"/>
  <c r="G104" i="8"/>
  <c r="F89" i="9"/>
  <c r="F101" i="9"/>
  <c r="H85" i="12"/>
  <c r="H71" i="12"/>
  <c r="H84" i="4"/>
  <c r="H75" i="4"/>
  <c r="H88" i="4"/>
  <c r="H54" i="4"/>
  <c r="G102" i="8"/>
  <c r="F97" i="9"/>
  <c r="F72" i="2"/>
  <c r="H72" i="12"/>
  <c r="H67" i="12"/>
  <c r="H88" i="12"/>
  <c r="H98" i="12"/>
  <c r="H55" i="4"/>
  <c r="K66" i="3"/>
  <c r="H62" i="4"/>
  <c r="H57" i="4"/>
  <c r="G82" i="8"/>
  <c r="F76" i="9"/>
  <c r="F59" i="2"/>
  <c r="F65" i="2"/>
  <c r="H92" i="12"/>
  <c r="G109" i="8"/>
  <c r="F73" i="2"/>
  <c r="H73" i="4"/>
  <c r="K98" i="3"/>
  <c r="G94" i="8"/>
  <c r="F78" i="2"/>
  <c r="K92" i="3"/>
  <c r="G103" i="8"/>
  <c r="K95" i="3"/>
  <c r="K72" i="3"/>
  <c r="K67" i="3"/>
  <c r="F96" i="9"/>
  <c r="F83" i="2"/>
  <c r="K82" i="3"/>
  <c r="F70" i="2"/>
  <c r="F85" i="9"/>
  <c r="H65" i="4"/>
  <c r="G99" i="8"/>
  <c r="F77" i="2"/>
  <c r="H64" i="4"/>
  <c r="K96" i="3"/>
  <c r="K81" i="3"/>
  <c r="F64" i="2"/>
  <c r="F71" i="2"/>
  <c r="H74" i="4"/>
  <c r="H85" i="4"/>
  <c r="G107" i="8"/>
  <c r="F80" i="9"/>
  <c r="F99" i="9"/>
  <c r="H89" i="12"/>
  <c r="K87" i="3"/>
  <c r="F61" i="2"/>
  <c r="F84" i="2"/>
  <c r="G100" i="8"/>
  <c r="H94" i="12"/>
  <c r="H95" i="12"/>
  <c r="K69" i="3"/>
  <c r="K65" i="3"/>
  <c r="K74" i="3"/>
  <c r="H79" i="4"/>
  <c r="F107" i="9"/>
  <c r="H87" i="4"/>
  <c r="H86" i="12"/>
  <c r="F88" i="9"/>
  <c r="F90" i="2"/>
  <c r="H68" i="12"/>
  <c r="H70" i="12"/>
  <c r="K93" i="3"/>
  <c r="H79" i="12"/>
  <c r="F86" i="9"/>
  <c r="H77" i="4"/>
  <c r="G110" i="8"/>
  <c r="G83" i="8"/>
  <c r="H69" i="12"/>
  <c r="G112" i="8"/>
  <c r="G92" i="8"/>
  <c r="F82" i="2"/>
  <c r="H63" i="4"/>
  <c r="F93" i="9"/>
  <c r="H80" i="4"/>
  <c r="K75" i="3"/>
  <c r="F60" i="2"/>
  <c r="F63" i="2"/>
  <c r="F75" i="9"/>
  <c r="H87" i="12"/>
  <c r="H65" i="12"/>
  <c r="G98" i="8"/>
  <c r="H83" i="4"/>
  <c r="F82" i="9"/>
  <c r="F81" i="2"/>
  <c r="H89" i="4"/>
  <c r="K89" i="3"/>
  <c r="K78" i="3"/>
  <c r="G105" i="8"/>
  <c r="F83" i="9"/>
  <c r="F89" i="2"/>
  <c r="H60" i="4"/>
  <c r="H80" i="12"/>
  <c r="G113" i="8"/>
  <c r="F106" i="9"/>
  <c r="K100" i="3"/>
  <c r="F87" i="9"/>
  <c r="F85" i="2"/>
  <c r="H93" i="12"/>
  <c r="F62" i="2"/>
  <c r="F92" i="9"/>
  <c r="F58" i="2"/>
  <c r="H56" i="4"/>
  <c r="K73" i="3"/>
  <c r="K68" i="3"/>
  <c r="F87" i="2"/>
  <c r="K90" i="3"/>
  <c r="G89" i="8"/>
  <c r="G96" i="8"/>
  <c r="H81" i="12"/>
  <c r="H58" i="4"/>
  <c r="H66" i="4"/>
  <c r="H82" i="4"/>
  <c r="K85" i="3"/>
  <c r="K70" i="3"/>
  <c r="G97" i="8"/>
  <c r="F103" i="9"/>
  <c r="H59" i="4"/>
  <c r="G111" i="8"/>
  <c r="H76" i="4"/>
  <c r="H99" i="12"/>
  <c r="K91" i="3"/>
  <c r="K86" i="3"/>
  <c r="G106" i="8"/>
  <c r="G86" i="8"/>
  <c r="F76" i="2"/>
  <c r="H97" i="12"/>
  <c r="H61" i="4"/>
  <c r="H69" i="4"/>
  <c r="K94" i="3"/>
  <c r="G95" i="8"/>
  <c r="K99" i="3"/>
  <c r="F66" i="2"/>
  <c r="H71" i="4"/>
  <c r="K88" i="3"/>
  <c r="H77" i="12"/>
  <c r="K77" i="3"/>
  <c r="H81" i="4"/>
  <c r="F81" i="9"/>
  <c r="F75" i="2"/>
  <c r="K83" i="3"/>
  <c r="H75" i="12"/>
  <c r="H67" i="4"/>
  <c r="H78" i="4"/>
  <c r="H66" i="12"/>
  <c r="K80" i="3"/>
  <c r="G114" i="8"/>
  <c r="G87" i="8"/>
  <c r="F69" i="2"/>
  <c r="H73" i="12"/>
  <c r="H84" i="12"/>
  <c r="H74" i="12"/>
  <c r="H72" i="4"/>
  <c r="F74" i="9"/>
  <c r="H82" i="12"/>
  <c r="K79" i="3"/>
  <c r="K84" i="3"/>
  <c r="G93" i="8"/>
  <c r="F78" i="9"/>
  <c r="H91" i="12"/>
  <c r="N10" i="9"/>
  <c r="N18" i="9"/>
  <c r="N26" i="9"/>
  <c r="N34" i="9"/>
  <c r="N11" i="9"/>
  <c r="N19" i="9"/>
  <c r="N27" i="9"/>
  <c r="N35" i="9"/>
  <c r="N12" i="9"/>
  <c r="N20" i="9"/>
  <c r="N28" i="9"/>
  <c r="N13" i="9"/>
  <c r="N21" i="9"/>
  <c r="N29" i="9"/>
  <c r="N37" i="9"/>
  <c r="N6" i="9"/>
  <c r="N14" i="9"/>
  <c r="N22" i="9"/>
  <c r="N30" i="9"/>
  <c r="N38" i="9"/>
  <c r="N7" i="9"/>
  <c r="N15" i="9"/>
  <c r="N23" i="9"/>
  <c r="N31" i="9"/>
  <c r="N39" i="9"/>
  <c r="N8" i="9"/>
  <c r="N16" i="9"/>
  <c r="N24" i="9"/>
  <c r="N32" i="9"/>
  <c r="N40" i="9"/>
  <c r="N9" i="9"/>
  <c r="N17" i="9"/>
  <c r="N25" i="9"/>
  <c r="N33" i="9"/>
  <c r="N5" i="9"/>
  <c r="L35" i="8"/>
  <c r="AJ32" i="16" s="1"/>
  <c r="L27" i="8"/>
  <c r="AJ24" i="16" s="1"/>
  <c r="L13" i="8"/>
  <c r="AJ10" i="16" s="1"/>
  <c r="N38" i="8"/>
  <c r="N36" i="8"/>
  <c r="M18" i="8"/>
  <c r="M27" i="8"/>
  <c r="L10" i="8"/>
  <c r="AJ7" i="16" s="1"/>
  <c r="L11" i="8"/>
  <c r="AJ8" i="16" s="1"/>
  <c r="L37" i="8"/>
  <c r="L38" i="8"/>
  <c r="AJ35" i="16" s="1"/>
  <c r="L20" i="8"/>
  <c r="AJ17" i="16" s="1"/>
  <c r="L14" i="8"/>
  <c r="L40" i="8"/>
  <c r="AJ37" i="16" s="1"/>
  <c r="L15" i="8"/>
  <c r="AJ12" i="16" s="1"/>
  <c r="L18" i="8"/>
  <c r="AJ15" i="16" s="1"/>
  <c r="L26" i="8"/>
  <c r="AJ23" i="16" s="1"/>
  <c r="L21" i="8"/>
  <c r="AJ18" i="16" s="1"/>
  <c r="L30" i="8"/>
  <c r="AJ27" i="16" s="1"/>
  <c r="L25" i="8"/>
  <c r="AJ22" i="16" s="1"/>
  <c r="L24" i="8"/>
  <c r="L19" i="8"/>
  <c r="AJ16" i="16" s="1"/>
  <c r="L23" i="8"/>
  <c r="AJ20" i="16" s="1"/>
  <c r="L39" i="8"/>
  <c r="AJ36" i="16" s="1"/>
  <c r="L22" i="8"/>
  <c r="AJ19" i="16" s="1"/>
  <c r="L16" i="8"/>
  <c r="AJ13" i="16" s="1"/>
  <c r="L5" i="8"/>
  <c r="AJ2" i="16" s="1"/>
  <c r="L34" i="8"/>
  <c r="AJ31" i="16" s="1"/>
  <c r="M31" i="3"/>
  <c r="Q28" i="16" s="1"/>
  <c r="M33" i="3"/>
  <c r="Q30" i="16" s="1"/>
  <c r="M38" i="3"/>
  <c r="Q35" i="16" s="1"/>
  <c r="M27" i="3"/>
  <c r="Q24" i="16" s="1"/>
  <c r="M8" i="3"/>
  <c r="Q5" i="16" s="1"/>
  <c r="M40" i="3"/>
  <c r="Q37" i="16" s="1"/>
  <c r="M6" i="3"/>
  <c r="Q3" i="16" s="1"/>
  <c r="N39" i="8"/>
  <c r="N27" i="8"/>
  <c r="M19" i="3"/>
  <c r="Q16" i="16" s="1"/>
  <c r="L30" i="3"/>
  <c r="P27" i="16" s="1"/>
  <c r="L24" i="3"/>
  <c r="P21" i="16" s="1"/>
  <c r="M23" i="3"/>
  <c r="Q20" i="16" s="1"/>
  <c r="M35" i="3"/>
  <c r="Q32" i="16" s="1"/>
  <c r="M17" i="3"/>
  <c r="Q14" i="16" s="1"/>
  <c r="L40" i="3"/>
  <c r="P37" i="16" s="1"/>
  <c r="L26" i="3"/>
  <c r="P23" i="16" s="1"/>
  <c r="L11" i="3"/>
  <c r="P8" i="16" s="1"/>
  <c r="L36" i="3"/>
  <c r="P33" i="16" s="1"/>
  <c r="M18" i="3"/>
  <c r="Q15" i="16" s="1"/>
  <c r="M24" i="3"/>
  <c r="Q21" i="16" s="1"/>
  <c r="L17" i="3"/>
  <c r="P14" i="16" s="1"/>
  <c r="L19" i="3"/>
  <c r="P16" i="16" s="1"/>
  <c r="L37" i="3"/>
  <c r="P34" i="16" s="1"/>
  <c r="M14" i="3"/>
  <c r="Q11" i="16" s="1"/>
  <c r="M21" i="3"/>
  <c r="Q18" i="16" s="1"/>
  <c r="L39" i="3"/>
  <c r="P36" i="16" s="1"/>
  <c r="L18" i="3"/>
  <c r="P15" i="16" s="1"/>
  <c r="M9" i="3"/>
  <c r="Q6" i="16" s="1"/>
  <c r="L6" i="3"/>
  <c r="P3" i="16" s="1"/>
  <c r="N17" i="8"/>
  <c r="L32" i="3"/>
  <c r="P29" i="16" s="1"/>
  <c r="N28" i="8"/>
  <c r="N35" i="8"/>
  <c r="N32" i="8"/>
  <c r="L16" i="3"/>
  <c r="P13" i="16" s="1"/>
  <c r="M5" i="3"/>
  <c r="N9" i="8"/>
  <c r="N33" i="8"/>
  <c r="M15" i="3"/>
  <c r="Q12" i="16" s="1"/>
  <c r="N20" i="8"/>
  <c r="N37" i="8"/>
  <c r="L38" i="3"/>
  <c r="P35" i="16" s="1"/>
  <c r="M7" i="3"/>
  <c r="Q4" i="16" s="1"/>
  <c r="N23" i="8"/>
  <c r="N5" i="8"/>
  <c r="M30" i="3"/>
  <c r="Q27" i="16" s="1"/>
  <c r="L35" i="3"/>
  <c r="P32" i="16" s="1"/>
  <c r="L34" i="3"/>
  <c r="P31" i="16" s="1"/>
  <c r="M34" i="3"/>
  <c r="Q31" i="16" s="1"/>
  <c r="L10" i="3"/>
  <c r="P7" i="16" s="1"/>
  <c r="L29" i="3"/>
  <c r="P26" i="16" s="1"/>
  <c r="M13" i="3"/>
  <c r="Q10" i="16" s="1"/>
  <c r="M29" i="3"/>
  <c r="Q26" i="16" s="1"/>
  <c r="M39" i="3"/>
  <c r="Q36" i="16" s="1"/>
  <c r="M11" i="3"/>
  <c r="Q8" i="16" s="1"/>
  <c r="M32" i="3"/>
  <c r="Q29" i="16" s="1"/>
  <c r="M25" i="3"/>
  <c r="Q22" i="16" s="1"/>
  <c r="M20" i="3"/>
  <c r="Q17" i="16" s="1"/>
  <c r="N21" i="8"/>
  <c r="M16" i="3"/>
  <c r="Q13" i="16" s="1"/>
  <c r="L23" i="3"/>
  <c r="P20" i="16" s="1"/>
  <c r="M16" i="8"/>
  <c r="M37" i="8"/>
  <c r="N14" i="8"/>
  <c r="M12" i="8"/>
  <c r="M5" i="8"/>
  <c r="N40" i="8"/>
  <c r="M10" i="3"/>
  <c r="Q7" i="16" s="1"/>
  <c r="L31" i="3"/>
  <c r="P28" i="16" s="1"/>
  <c r="L13" i="3"/>
  <c r="P10" i="16" s="1"/>
  <c r="M11" i="8"/>
  <c r="L9" i="3"/>
  <c r="P6" i="16" s="1"/>
  <c r="M36" i="3"/>
  <c r="Q33" i="16" s="1"/>
  <c r="M37" i="3"/>
  <c r="Q34" i="16" s="1"/>
  <c r="L28" i="3"/>
  <c r="P25" i="16" s="1"/>
  <c r="N26" i="8"/>
  <c r="M31" i="8"/>
  <c r="M22" i="8"/>
  <c r="M29" i="8"/>
  <c r="M9" i="8"/>
  <c r="M10" i="8"/>
  <c r="N11" i="8"/>
  <c r="M28" i="8"/>
  <c r="N34" i="8"/>
  <c r="L14" i="3"/>
  <c r="P11" i="16" s="1"/>
  <c r="M39" i="8"/>
  <c r="M30" i="8"/>
  <c r="M26" i="8"/>
  <c r="L5" i="3"/>
  <c r="M33" i="8"/>
  <c r="N30" i="8"/>
  <c r="L8" i="3"/>
  <c r="P5" i="16" s="1"/>
  <c r="M28" i="3"/>
  <c r="Q25" i="16" s="1"/>
  <c r="N13" i="8"/>
  <c r="M8" i="8"/>
  <c r="M35" i="8"/>
  <c r="N18" i="8"/>
  <c r="N8" i="8"/>
  <c r="M38" i="8"/>
  <c r="N12" i="8"/>
  <c r="L25" i="3"/>
  <c r="P22" i="16" s="1"/>
  <c r="N10" i="8"/>
  <c r="M21" i="8"/>
  <c r="M7" i="8"/>
  <c r="I39" i="3"/>
  <c r="Q39" i="3" s="1"/>
  <c r="U36" i="16" s="1"/>
  <c r="M20" i="8"/>
  <c r="N7" i="8"/>
  <c r="N16" i="8"/>
  <c r="M17" i="8"/>
  <c r="L20" i="3"/>
  <c r="P17" i="16" s="1"/>
  <c r="N6" i="8"/>
  <c r="L12" i="3"/>
  <c r="P9" i="16" s="1"/>
  <c r="N22" i="8"/>
  <c r="M23" i="8"/>
  <c r="L21" i="3"/>
  <c r="P18" i="16" s="1"/>
  <c r="N25" i="8"/>
  <c r="L27" i="3"/>
  <c r="P24" i="16" s="1"/>
  <c r="N29" i="8"/>
  <c r="N24" i="8"/>
  <c r="M6" i="8"/>
  <c r="M36" i="8"/>
  <c r="M14" i="8"/>
  <c r="M24" i="8"/>
  <c r="N15" i="8"/>
  <c r="N19" i="8"/>
  <c r="M12" i="3"/>
  <c r="Q9" i="16" s="1"/>
  <c r="M34" i="8"/>
  <c r="L22" i="3"/>
  <c r="P19" i="16" s="1"/>
  <c r="N31" i="8"/>
  <c r="M26" i="3"/>
  <c r="Q23" i="16" s="1"/>
  <c r="M25" i="8"/>
  <c r="M40" i="8"/>
  <c r="M13" i="8"/>
  <c r="M32" i="8"/>
  <c r="L7" i="3"/>
  <c r="P4" i="16" s="1"/>
  <c r="M19" i="8"/>
  <c r="L33" i="3"/>
  <c r="P30" i="16" s="1"/>
  <c r="M15" i="8"/>
  <c r="I24" i="3"/>
  <c r="Q24" i="3" s="1"/>
  <c r="U21" i="16" s="1"/>
  <c r="I23" i="3"/>
  <c r="Q23" i="3" s="1"/>
  <c r="U20" i="16" s="1"/>
  <c r="I21" i="3"/>
  <c r="Q21" i="3" s="1"/>
  <c r="U18" i="16" s="1"/>
  <c r="I18" i="3"/>
  <c r="Q18" i="3" s="1"/>
  <c r="U15" i="16" s="1"/>
  <c r="I9" i="3"/>
  <c r="Q9" i="3" s="1"/>
  <c r="U6" i="16" s="1"/>
  <c r="I31" i="3"/>
  <c r="Q31" i="3" s="1"/>
  <c r="U28" i="16" s="1"/>
  <c r="I10" i="3"/>
  <c r="Q10" i="3" s="1"/>
  <c r="U7" i="16" s="1"/>
  <c r="I40" i="3"/>
  <c r="Q40" i="3" s="1"/>
  <c r="U37" i="16" s="1"/>
  <c r="I19" i="3"/>
  <c r="Q19" i="3" s="1"/>
  <c r="U16" i="16" s="1"/>
  <c r="I34" i="3"/>
  <c r="Q34" i="3" s="1"/>
  <c r="U31" i="16" s="1"/>
  <c r="I7" i="3"/>
  <c r="Q7" i="3" s="1"/>
  <c r="U4" i="16" s="1"/>
  <c r="I37" i="3"/>
  <c r="Q37" i="3" s="1"/>
  <c r="U34" i="16" s="1"/>
  <c r="C5" i="3"/>
  <c r="K5" i="3" s="1"/>
  <c r="C6" i="3"/>
  <c r="K6" i="3" s="1"/>
  <c r="O3" i="16" s="1"/>
  <c r="C7" i="3"/>
  <c r="K7" i="3" s="1"/>
  <c r="O4" i="16" s="1"/>
  <c r="C8" i="3"/>
  <c r="K8" i="3" s="1"/>
  <c r="O5" i="16" s="1"/>
  <c r="C10" i="3"/>
  <c r="K10" i="3" s="1"/>
  <c r="O7" i="16" s="1"/>
  <c r="C12" i="3"/>
  <c r="K12" i="3" s="1"/>
  <c r="O9" i="16" s="1"/>
  <c r="C13" i="3"/>
  <c r="K13" i="3" s="1"/>
  <c r="O10" i="16" s="1"/>
  <c r="C14" i="3"/>
  <c r="K14" i="3" s="1"/>
  <c r="O11" i="16" s="1"/>
  <c r="C15" i="3"/>
  <c r="K15" i="3" s="1"/>
  <c r="O12" i="16" s="1"/>
  <c r="C16" i="3"/>
  <c r="K16" i="3" s="1"/>
  <c r="O13" i="16" s="1"/>
  <c r="C18" i="3"/>
  <c r="K18" i="3" s="1"/>
  <c r="O15" i="16" s="1"/>
  <c r="C19" i="3"/>
  <c r="K19" i="3" s="1"/>
  <c r="O16" i="16" s="1"/>
  <c r="C20" i="3"/>
  <c r="K20" i="3" s="1"/>
  <c r="O17" i="16" s="1"/>
  <c r="C21" i="3"/>
  <c r="K21" i="3" s="1"/>
  <c r="O18" i="16" s="1"/>
  <c r="C22" i="3"/>
  <c r="K22" i="3" s="1"/>
  <c r="O19" i="16" s="1"/>
  <c r="C23" i="3"/>
  <c r="K23" i="3" s="1"/>
  <c r="O20" i="16" s="1"/>
  <c r="C24" i="3"/>
  <c r="K24" i="3" s="1"/>
  <c r="O21" i="16" s="1"/>
  <c r="C25" i="3"/>
  <c r="K25" i="3" s="1"/>
  <c r="O22" i="16" s="1"/>
  <c r="C26" i="3"/>
  <c r="K26" i="3" s="1"/>
  <c r="O23" i="16" s="1"/>
  <c r="C28" i="3"/>
  <c r="K28" i="3" s="1"/>
  <c r="O25" i="16" s="1"/>
  <c r="C29" i="3"/>
  <c r="K29" i="3" s="1"/>
  <c r="O26" i="16" s="1"/>
  <c r="C30" i="3"/>
  <c r="K30" i="3" s="1"/>
  <c r="O27" i="16" s="1"/>
  <c r="C31" i="3"/>
  <c r="K31" i="3" s="1"/>
  <c r="O28" i="16" s="1"/>
  <c r="C32" i="3"/>
  <c r="K32" i="3" s="1"/>
  <c r="O29" i="16" s="1"/>
  <c r="C33" i="3"/>
  <c r="K33" i="3" s="1"/>
  <c r="O30" i="16" s="1"/>
  <c r="C34" i="3"/>
  <c r="K34" i="3" s="1"/>
  <c r="O31" i="16" s="1"/>
  <c r="C35" i="3"/>
  <c r="K35" i="3" s="1"/>
  <c r="O32" i="16" s="1"/>
  <c r="C37" i="3"/>
  <c r="K37" i="3" s="1"/>
  <c r="O34" i="16" s="1"/>
  <c r="C38" i="3"/>
  <c r="K38" i="3" s="1"/>
  <c r="O35" i="16" s="1"/>
  <c r="C39" i="3"/>
  <c r="K39" i="3" s="1"/>
  <c r="O36" i="16" s="1"/>
  <c r="C5" i="12"/>
  <c r="D5" i="12"/>
  <c r="E5" i="12"/>
  <c r="C6" i="12"/>
  <c r="D6" i="12"/>
  <c r="E6" i="12"/>
  <c r="C7" i="12"/>
  <c r="D7" i="12"/>
  <c r="E7" i="12"/>
  <c r="C8" i="12"/>
  <c r="D8" i="12"/>
  <c r="E8" i="12"/>
  <c r="C9" i="12"/>
  <c r="D9" i="12"/>
  <c r="E9" i="12"/>
  <c r="C10" i="12"/>
  <c r="D10" i="12"/>
  <c r="E10" i="12"/>
  <c r="C11" i="12"/>
  <c r="D11" i="12"/>
  <c r="E11" i="12"/>
  <c r="C12" i="12"/>
  <c r="D12" i="12"/>
  <c r="E12" i="12"/>
  <c r="C13" i="12"/>
  <c r="D13" i="12"/>
  <c r="E13" i="12"/>
  <c r="C14" i="12"/>
  <c r="D14" i="12"/>
  <c r="E14" i="12"/>
  <c r="C15" i="12"/>
  <c r="D15" i="12"/>
  <c r="E15" i="12"/>
  <c r="C16" i="12"/>
  <c r="D16" i="12"/>
  <c r="E16" i="12"/>
  <c r="C17" i="12"/>
  <c r="D17" i="12"/>
  <c r="E17" i="12"/>
  <c r="C18" i="12"/>
  <c r="D18" i="12"/>
  <c r="E18" i="12"/>
  <c r="C19" i="12"/>
  <c r="D19" i="12"/>
  <c r="E19" i="12"/>
  <c r="C20" i="12"/>
  <c r="D20" i="12"/>
  <c r="E20" i="12"/>
  <c r="C21" i="12"/>
  <c r="D21" i="12"/>
  <c r="E21" i="12"/>
  <c r="C22" i="12"/>
  <c r="D22" i="12"/>
  <c r="E22" i="12"/>
  <c r="C23" i="12"/>
  <c r="D23" i="12"/>
  <c r="E23" i="12"/>
  <c r="C24" i="12"/>
  <c r="D24" i="12"/>
  <c r="E24" i="12"/>
  <c r="C25" i="12"/>
  <c r="D25" i="12"/>
  <c r="E25" i="12"/>
  <c r="C26" i="12"/>
  <c r="D26" i="12"/>
  <c r="E26" i="12"/>
  <c r="C27" i="12"/>
  <c r="D27" i="12"/>
  <c r="E27" i="12"/>
  <c r="C28" i="12"/>
  <c r="D28" i="12"/>
  <c r="E28" i="12"/>
  <c r="C29" i="12"/>
  <c r="D29" i="12"/>
  <c r="E29" i="12"/>
  <c r="C30" i="12"/>
  <c r="D30" i="12"/>
  <c r="E30" i="12"/>
  <c r="C31" i="12"/>
  <c r="D31" i="12"/>
  <c r="E31" i="12"/>
  <c r="C32" i="12"/>
  <c r="D32" i="12"/>
  <c r="E32" i="12"/>
  <c r="C33" i="12"/>
  <c r="D33" i="12"/>
  <c r="E33" i="12"/>
  <c r="C34" i="12"/>
  <c r="D34" i="12"/>
  <c r="E34" i="12"/>
  <c r="C35" i="12"/>
  <c r="D35" i="12"/>
  <c r="E35" i="12"/>
  <c r="C36" i="12"/>
  <c r="D36" i="12"/>
  <c r="E36" i="12"/>
  <c r="C37" i="12"/>
  <c r="D37" i="12"/>
  <c r="E37" i="12"/>
  <c r="C38" i="12"/>
  <c r="D38" i="12"/>
  <c r="E38" i="12"/>
  <c r="C39" i="12"/>
  <c r="D39" i="12"/>
  <c r="E39" i="12"/>
  <c r="C40" i="12"/>
  <c r="D40" i="12"/>
  <c r="E40" i="12"/>
  <c r="I5" i="8"/>
  <c r="AG2" i="16" s="1"/>
  <c r="I6" i="8"/>
  <c r="AG3" i="16" s="1"/>
  <c r="I7" i="8"/>
  <c r="AG4" i="16" s="1"/>
  <c r="I8" i="8"/>
  <c r="AG5" i="16" s="1"/>
  <c r="I9" i="8"/>
  <c r="AG6" i="16" s="1"/>
  <c r="I10" i="8"/>
  <c r="AG7" i="16" s="1"/>
  <c r="I11" i="8"/>
  <c r="AG8" i="16" s="1"/>
  <c r="I12" i="8"/>
  <c r="AG9" i="16" s="1"/>
  <c r="I13" i="8"/>
  <c r="AG10" i="16" s="1"/>
  <c r="I15" i="8"/>
  <c r="AG12" i="16" s="1"/>
  <c r="I16" i="8"/>
  <c r="AG13" i="16" s="1"/>
  <c r="I17" i="8"/>
  <c r="AG14" i="16" s="1"/>
  <c r="I18" i="8"/>
  <c r="AG15" i="16" s="1"/>
  <c r="I19" i="8"/>
  <c r="AG16" i="16" s="1"/>
  <c r="I20" i="8"/>
  <c r="AG17" i="16" s="1"/>
  <c r="I21" i="8"/>
  <c r="AG18" i="16" s="1"/>
  <c r="I22" i="8"/>
  <c r="AG19" i="16" s="1"/>
  <c r="I23" i="8"/>
  <c r="AG20" i="16" s="1"/>
  <c r="I25" i="8"/>
  <c r="AG22" i="16" s="1"/>
  <c r="I26" i="8"/>
  <c r="AG23" i="16" s="1"/>
  <c r="I27" i="8"/>
  <c r="AG24" i="16" s="1"/>
  <c r="I28" i="8"/>
  <c r="AG25" i="16" s="1"/>
  <c r="I29" i="8"/>
  <c r="AG26" i="16" s="1"/>
  <c r="I30" i="8"/>
  <c r="AG27" i="16" s="1"/>
  <c r="I31" i="8"/>
  <c r="AG28" i="16" s="1"/>
  <c r="I32" i="8"/>
  <c r="AG29" i="16" s="1"/>
  <c r="I33" i="8"/>
  <c r="AG30" i="16" s="1"/>
  <c r="I34" i="8"/>
  <c r="AG31" i="16" s="1"/>
  <c r="I35" i="8"/>
  <c r="AG32" i="16" s="1"/>
  <c r="I36" i="8"/>
  <c r="AG33" i="16" s="1"/>
  <c r="I38" i="8"/>
  <c r="AG35" i="16" s="1"/>
  <c r="I39" i="8"/>
  <c r="AG36" i="16" s="1"/>
  <c r="I40" i="8"/>
  <c r="AG37" i="16" s="1"/>
  <c r="I6" i="12"/>
  <c r="Q6" i="12" s="1"/>
  <c r="I7" i="12"/>
  <c r="Q7" i="12" s="1"/>
  <c r="I8" i="12"/>
  <c r="Q8" i="12" s="1"/>
  <c r="I9" i="12"/>
  <c r="Q9" i="12" s="1"/>
  <c r="I10" i="12"/>
  <c r="Q10" i="12" s="1"/>
  <c r="I11" i="12"/>
  <c r="Q11" i="12" s="1"/>
  <c r="I12" i="12"/>
  <c r="Q12" i="12" s="1"/>
  <c r="I13" i="12"/>
  <c r="Q13" i="12" s="1"/>
  <c r="I14" i="12"/>
  <c r="Q14" i="12" s="1"/>
  <c r="I15" i="12"/>
  <c r="Q15" i="12" s="1"/>
  <c r="I16" i="12"/>
  <c r="Q16" i="12" s="1"/>
  <c r="I17" i="12"/>
  <c r="Q17" i="12" s="1"/>
  <c r="I18" i="12"/>
  <c r="Q18" i="12" s="1"/>
  <c r="I19" i="12"/>
  <c r="Q19" i="12" s="1"/>
  <c r="I20" i="12"/>
  <c r="Q20" i="12" s="1"/>
  <c r="I21" i="12"/>
  <c r="Q21" i="12" s="1"/>
  <c r="I22" i="12"/>
  <c r="Q22" i="12" s="1"/>
  <c r="I23" i="12"/>
  <c r="Q23" i="12" s="1"/>
  <c r="I24" i="12"/>
  <c r="Q24" i="12" s="1"/>
  <c r="I25" i="12"/>
  <c r="Q25" i="12" s="1"/>
  <c r="I26" i="12"/>
  <c r="Q26" i="12" s="1"/>
  <c r="I27" i="12"/>
  <c r="Q27" i="12" s="1"/>
  <c r="I28" i="12"/>
  <c r="Q28" i="12" s="1"/>
  <c r="I29" i="12"/>
  <c r="Q29" i="12" s="1"/>
  <c r="I30" i="12"/>
  <c r="Q30" i="12" s="1"/>
  <c r="I31" i="12"/>
  <c r="Q31" i="12" s="1"/>
  <c r="I32" i="12"/>
  <c r="Q32" i="12" s="1"/>
  <c r="I33" i="12"/>
  <c r="Q33" i="12" s="1"/>
  <c r="I34" i="12"/>
  <c r="Q34" i="12" s="1"/>
  <c r="I35" i="12"/>
  <c r="Q35" i="12" s="1"/>
  <c r="I36" i="12"/>
  <c r="Q36" i="12" s="1"/>
  <c r="I37" i="12"/>
  <c r="Q37" i="12" s="1"/>
  <c r="I38" i="12"/>
  <c r="Q38" i="12" s="1"/>
  <c r="I39" i="12"/>
  <c r="Q39" i="12" s="1"/>
  <c r="I40" i="12"/>
  <c r="Q40" i="12" s="1"/>
  <c r="O37" i="8" l="1"/>
  <c r="G36" i="1" s="1"/>
  <c r="AJ34" i="16"/>
  <c r="O24" i="8"/>
  <c r="G23" i="1" s="1"/>
  <c r="AJ21" i="16"/>
  <c r="O14" i="8"/>
  <c r="G13" i="1" s="1"/>
  <c r="AJ11" i="16"/>
  <c r="Q2" i="16"/>
  <c r="P2" i="16"/>
  <c r="O2" i="16"/>
  <c r="L7" i="8"/>
  <c r="AJ4" i="16" s="1"/>
  <c r="L32" i="8"/>
  <c r="AJ29" i="16" s="1"/>
  <c r="L29" i="8"/>
  <c r="AJ26" i="16" s="1"/>
  <c r="O39" i="8"/>
  <c r="G38" i="1" s="1"/>
  <c r="O30" i="8"/>
  <c r="G29" i="1" s="1"/>
  <c r="L6" i="8"/>
  <c r="AJ3" i="16" s="1"/>
  <c r="L17" i="8"/>
  <c r="L31" i="8"/>
  <c r="L9" i="8"/>
  <c r="L36" i="8"/>
  <c r="L12" i="8"/>
  <c r="L28" i="8"/>
  <c r="L33" i="8"/>
  <c r="L39" i="1"/>
  <c r="M39" i="1" s="1"/>
  <c r="L22" i="1"/>
  <c r="M22" i="1" s="1"/>
  <c r="L15" i="1"/>
  <c r="M15" i="1" s="1"/>
  <c r="L35" i="1"/>
  <c r="M35" i="1" s="1"/>
  <c r="L21" i="1"/>
  <c r="M21" i="1" s="1"/>
  <c r="L6" i="1"/>
  <c r="M6" i="1" s="1"/>
  <c r="L38" i="1"/>
  <c r="M38" i="1" s="1"/>
  <c r="L14" i="1"/>
  <c r="M14" i="1" s="1"/>
  <c r="L37" i="1"/>
  <c r="M37" i="1" s="1"/>
  <c r="L36" i="1"/>
  <c r="M36" i="1" s="1"/>
  <c r="L4" i="1"/>
  <c r="M4" i="1" s="1"/>
  <c r="L23" i="1"/>
  <c r="M23" i="1" s="1"/>
  <c r="L27" i="1"/>
  <c r="M27" i="1" s="1"/>
  <c r="L16" i="1"/>
  <c r="M16" i="1" s="1"/>
  <c r="L5" i="1"/>
  <c r="M5" i="1" s="1"/>
  <c r="L10" i="1"/>
  <c r="M10" i="1" s="1"/>
  <c r="L26" i="1"/>
  <c r="M26" i="1" s="1"/>
  <c r="L11" i="1"/>
  <c r="M11" i="1" s="1"/>
  <c r="L13" i="1"/>
  <c r="M13" i="1" s="1"/>
  <c r="L28" i="1"/>
  <c r="M28" i="1" s="1"/>
  <c r="L7" i="1"/>
  <c r="M7" i="1" s="1"/>
  <c r="L17" i="1"/>
  <c r="M17" i="1" s="1"/>
  <c r="L9" i="1"/>
  <c r="M9" i="1" s="1"/>
  <c r="L12" i="1"/>
  <c r="M12" i="1" s="1"/>
  <c r="L30" i="1"/>
  <c r="M30" i="1" s="1"/>
  <c r="L25" i="1"/>
  <c r="M25" i="1" s="1"/>
  <c r="L33" i="1"/>
  <c r="M33" i="1" s="1"/>
  <c r="L34" i="1"/>
  <c r="M34" i="1" s="1"/>
  <c r="L32" i="1"/>
  <c r="M32" i="1" s="1"/>
  <c r="L24" i="1"/>
  <c r="M24" i="1" s="1"/>
  <c r="L29" i="1"/>
  <c r="M29" i="1" s="1"/>
  <c r="L31" i="1"/>
  <c r="M31" i="1" s="1"/>
  <c r="L19" i="1"/>
  <c r="M19" i="1" s="1"/>
  <c r="L8" i="1"/>
  <c r="M8" i="1" s="1"/>
  <c r="L18" i="1"/>
  <c r="M18" i="1" s="1"/>
  <c r="L20" i="1"/>
  <c r="M20" i="1" s="1"/>
  <c r="O34" i="8"/>
  <c r="G33" i="1" s="1"/>
  <c r="O26" i="8"/>
  <c r="G25" i="1" s="1"/>
  <c r="O5" i="8"/>
  <c r="G4" i="1" s="1"/>
  <c r="O20" i="8"/>
  <c r="G19" i="1" s="1"/>
  <c r="O32" i="8"/>
  <c r="G31" i="1" s="1"/>
  <c r="O35" i="8"/>
  <c r="G34" i="1" s="1"/>
  <c r="O13" i="8"/>
  <c r="G12" i="1" s="1"/>
  <c r="O25" i="8"/>
  <c r="G24" i="1" s="1"/>
  <c r="O16" i="8"/>
  <c r="G15" i="1" s="1"/>
  <c r="O27" i="8"/>
  <c r="G26" i="1" s="1"/>
  <c r="O38" i="8"/>
  <c r="G37" i="1" s="1"/>
  <c r="O21" i="8"/>
  <c r="G20" i="1" s="1"/>
  <c r="O19" i="8"/>
  <c r="G18" i="1" s="1"/>
  <c r="O7" i="8"/>
  <c r="G6" i="1" s="1"/>
  <c r="O18" i="8"/>
  <c r="G17" i="1" s="1"/>
  <c r="O29" i="8"/>
  <c r="G28" i="1" s="1"/>
  <c r="O23" i="8"/>
  <c r="G22" i="1" s="1"/>
  <c r="O8" i="8"/>
  <c r="G7" i="1" s="1"/>
  <c r="O11" i="8"/>
  <c r="G10" i="1" s="1"/>
  <c r="O40" i="8"/>
  <c r="G39" i="1" s="1"/>
  <c r="O22" i="8"/>
  <c r="G21" i="1" s="1"/>
  <c r="O15" i="8"/>
  <c r="G14" i="1" s="1"/>
  <c r="O10" i="8"/>
  <c r="G9" i="1" s="1"/>
  <c r="G71" i="14" a="1"/>
  <c r="G71" i="14" s="1"/>
  <c r="M25" i="12" s="1"/>
  <c r="AD22" i="16" s="1"/>
  <c r="G69" i="14" a="1"/>
  <c r="G69" i="14" s="1"/>
  <c r="K20" i="12" s="1"/>
  <c r="AB17" i="16" s="1"/>
  <c r="G70" i="14" a="1"/>
  <c r="G70" i="14" s="1"/>
  <c r="L35" i="12" s="1"/>
  <c r="AC32" i="16" s="1"/>
  <c r="O6" i="8" l="1"/>
  <c r="G5" i="1" s="1"/>
  <c r="O17" i="8"/>
  <c r="G16" i="1" s="1"/>
  <c r="AJ14" i="16"/>
  <c r="O33" i="8"/>
  <c r="G32" i="1" s="1"/>
  <c r="AJ30" i="16"/>
  <c r="O28" i="8"/>
  <c r="G27" i="1" s="1"/>
  <c r="AJ25" i="16"/>
  <c r="O12" i="8"/>
  <c r="G11" i="1" s="1"/>
  <c r="AJ9" i="16"/>
  <c r="O36" i="8"/>
  <c r="G35" i="1" s="1"/>
  <c r="AJ33" i="16"/>
  <c r="O9" i="8"/>
  <c r="G8" i="1" s="1"/>
  <c r="AJ6" i="16"/>
  <c r="O31" i="8"/>
  <c r="G30" i="1" s="1"/>
  <c r="AJ28" i="16"/>
  <c r="C133" i="15"/>
  <c r="C132" i="15"/>
  <c r="C131" i="15"/>
  <c r="L39" i="12"/>
  <c r="AC36" i="16" s="1"/>
  <c r="L5" i="12"/>
  <c r="AC2" i="16" s="1"/>
  <c r="M35" i="12"/>
  <c r="AD32" i="16" s="1"/>
  <c r="M29" i="12"/>
  <c r="AD26" i="16" s="1"/>
  <c r="M9" i="12"/>
  <c r="AD6" i="16" s="1"/>
  <c r="L25" i="12"/>
  <c r="AC22" i="16" s="1"/>
  <c r="M31" i="12"/>
  <c r="AD28" i="16" s="1"/>
  <c r="K11" i="12"/>
  <c r="AB8" i="16" s="1"/>
  <c r="M7" i="12"/>
  <c r="AD4" i="16" s="1"/>
  <c r="K18" i="12"/>
  <c r="AB15" i="16" s="1"/>
  <c r="K29" i="12"/>
  <c r="AB26" i="16" s="1"/>
  <c r="M26" i="12"/>
  <c r="AD23" i="16" s="1"/>
  <c r="L8" i="12"/>
  <c r="AC5" i="16" s="1"/>
  <c r="L22" i="12"/>
  <c r="AC19" i="16" s="1"/>
  <c r="M16" i="12"/>
  <c r="AD13" i="16" s="1"/>
  <c r="K38" i="12"/>
  <c r="AB35" i="16" s="1"/>
  <c r="M20" i="12"/>
  <c r="AD17" i="16" s="1"/>
  <c r="K8" i="12"/>
  <c r="AB5" i="16" s="1"/>
  <c r="M38" i="12"/>
  <c r="AD35" i="16" s="1"/>
  <c r="L30" i="12"/>
  <c r="AC27" i="16" s="1"/>
  <c r="L19" i="12"/>
  <c r="AC16" i="16" s="1"/>
  <c r="K37" i="12"/>
  <c r="AB34" i="16" s="1"/>
  <c r="K32" i="12"/>
  <c r="AB29" i="16" s="1"/>
  <c r="M13" i="12"/>
  <c r="AD10" i="16" s="1"/>
  <c r="L38" i="12"/>
  <c r="AC35" i="16" s="1"/>
  <c r="K22" i="12"/>
  <c r="AB19" i="16" s="1"/>
  <c r="L36" i="12"/>
  <c r="AC33" i="16" s="1"/>
  <c r="L10" i="12"/>
  <c r="AC7" i="16" s="1"/>
  <c r="M34" i="12"/>
  <c r="AD31" i="16" s="1"/>
  <c r="M37" i="12"/>
  <c r="AD34" i="16" s="1"/>
  <c r="M19" i="12"/>
  <c r="AD16" i="16" s="1"/>
  <c r="M28" i="12"/>
  <c r="AD25" i="16" s="1"/>
  <c r="K16" i="12"/>
  <c r="AB13" i="16" s="1"/>
  <c r="K19" i="12"/>
  <c r="AB16" i="16" s="1"/>
  <c r="K12" i="12"/>
  <c r="AB9" i="16" s="1"/>
  <c r="L27" i="12"/>
  <c r="AC24" i="16" s="1"/>
  <c r="L18" i="12"/>
  <c r="AC15" i="16" s="1"/>
  <c r="K40" i="12"/>
  <c r="AB37" i="16" s="1"/>
  <c r="M21" i="12"/>
  <c r="AD18" i="16" s="1"/>
  <c r="L6" i="12"/>
  <c r="AC3" i="16" s="1"/>
  <c r="L17" i="12"/>
  <c r="AC14" i="16" s="1"/>
  <c r="M8" i="12"/>
  <c r="AD5" i="16" s="1"/>
  <c r="K30" i="12"/>
  <c r="AB27" i="16" s="1"/>
  <c r="K33" i="12"/>
  <c r="AB30" i="16" s="1"/>
  <c r="K28" i="12"/>
  <c r="AB25" i="16" s="1"/>
  <c r="L13" i="12"/>
  <c r="AC10" i="16" s="1"/>
  <c r="L16" i="12"/>
  <c r="AC13" i="16" s="1"/>
  <c r="K31" i="12"/>
  <c r="AB28" i="16" s="1"/>
  <c r="M24" i="12"/>
  <c r="AD21" i="16" s="1"/>
  <c r="L7" i="12"/>
  <c r="AC4" i="16" s="1"/>
  <c r="M33" i="12"/>
  <c r="AD30" i="16" s="1"/>
  <c r="L37" i="12"/>
  <c r="AC34" i="16" s="1"/>
  <c r="L40" i="12"/>
  <c r="AC37" i="16" s="1"/>
  <c r="K6" i="12"/>
  <c r="AB3" i="16" s="1"/>
  <c r="K25" i="12"/>
  <c r="AB22" i="16" s="1"/>
  <c r="K10" i="12"/>
  <c r="AB7" i="16" s="1"/>
  <c r="M15" i="12"/>
  <c r="AD12" i="16" s="1"/>
  <c r="L28" i="12"/>
  <c r="AC25" i="16" s="1"/>
  <c r="M12" i="12"/>
  <c r="AD9" i="16" s="1"/>
  <c r="K34" i="12"/>
  <c r="AB31" i="16" s="1"/>
  <c r="K21" i="12"/>
  <c r="AB18" i="16" s="1"/>
  <c r="L26" i="12"/>
  <c r="AC23" i="16" s="1"/>
  <c r="L21" i="12"/>
  <c r="AC18" i="16" s="1"/>
  <c r="K17" i="12"/>
  <c r="AB14" i="16" s="1"/>
  <c r="K39" i="12"/>
  <c r="AB36" i="16" s="1"/>
  <c r="L24" i="12"/>
  <c r="AC21" i="16" s="1"/>
  <c r="M11" i="12"/>
  <c r="AD8" i="16" s="1"/>
  <c r="M22" i="12"/>
  <c r="AD19" i="16" s="1"/>
  <c r="L11" i="12"/>
  <c r="AC8" i="16" s="1"/>
  <c r="M32" i="12"/>
  <c r="AD29" i="16" s="1"/>
  <c r="L9" i="12"/>
  <c r="AC6" i="16" s="1"/>
  <c r="L12" i="12"/>
  <c r="AC9" i="16" s="1"/>
  <c r="K5" i="12"/>
  <c r="AB2" i="16" s="1"/>
  <c r="L29" i="12"/>
  <c r="AC26" i="16" s="1"/>
  <c r="L32" i="12"/>
  <c r="AC29" i="16" s="1"/>
  <c r="M17" i="12"/>
  <c r="AD14" i="16" s="1"/>
  <c r="M40" i="12"/>
  <c r="AD37" i="16" s="1"/>
  <c r="L33" i="12"/>
  <c r="AC30" i="16" s="1"/>
  <c r="L23" i="12"/>
  <c r="AC20" i="16" s="1"/>
  <c r="M10" i="12"/>
  <c r="AD7" i="16" s="1"/>
  <c r="K7" i="12"/>
  <c r="AB4" i="16" s="1"/>
  <c r="K35" i="12"/>
  <c r="AB32" i="16" s="1"/>
  <c r="K23" i="12"/>
  <c r="AB20" i="16" s="1"/>
  <c r="K9" i="12"/>
  <c r="AB6" i="16" s="1"/>
  <c r="K26" i="12"/>
  <c r="AB23" i="16" s="1"/>
  <c r="M39" i="12"/>
  <c r="AD36" i="16" s="1"/>
  <c r="K15" i="12"/>
  <c r="AB12" i="16" s="1"/>
  <c r="M6" i="12"/>
  <c r="AD3" i="16" s="1"/>
  <c r="M14" i="12"/>
  <c r="AD11" i="16" s="1"/>
  <c r="K13" i="12"/>
  <c r="AB10" i="16" s="1"/>
  <c r="L20" i="12"/>
  <c r="AC17" i="16" s="1"/>
  <c r="K36" i="12"/>
  <c r="AB33" i="16" s="1"/>
  <c r="L31" i="12"/>
  <c r="AC28" i="16" s="1"/>
  <c r="M18" i="12"/>
  <c r="AD15" i="16" s="1"/>
  <c r="L15" i="12"/>
  <c r="AC12" i="16" s="1"/>
  <c r="M36" i="12"/>
  <c r="AD33" i="16" s="1"/>
  <c r="M23" i="12"/>
  <c r="AD20" i="16" s="1"/>
  <c r="L34" i="12"/>
  <c r="AC31" i="16" s="1"/>
  <c r="K24" i="12"/>
  <c r="AB21" i="16" s="1"/>
  <c r="M27" i="12"/>
  <c r="AD24" i="16" s="1"/>
  <c r="M5" i="12"/>
  <c r="AD2" i="16" s="1"/>
  <c r="K27" i="12"/>
  <c r="AB24" i="16" s="1"/>
  <c r="L14" i="12"/>
  <c r="AC11" i="16" s="1"/>
  <c r="M30" i="12"/>
  <c r="AD27" i="16" s="1"/>
  <c r="K14" i="12"/>
  <c r="AB11" i="16" s="1"/>
  <c r="D37" i="2"/>
  <c r="D36" i="2"/>
  <c r="D28" i="2"/>
  <c r="D35" i="2"/>
  <c r="D34" i="2"/>
  <c r="D25" i="2"/>
  <c r="D39" i="2"/>
  <c r="D40" i="2"/>
  <c r="G6" i="2"/>
  <c r="G5" i="2"/>
  <c r="G8" i="2"/>
  <c r="G11" i="2"/>
  <c r="G13" i="2"/>
  <c r="G7" i="2"/>
  <c r="G9" i="2"/>
  <c r="G10" i="2"/>
  <c r="G14" i="2"/>
  <c r="G17" i="2"/>
  <c r="G19" i="2"/>
  <c r="G27" i="2"/>
  <c r="G22" i="2"/>
  <c r="G12" i="2"/>
  <c r="G21" i="2"/>
  <c r="G24" i="2"/>
  <c r="G31" i="2"/>
  <c r="G32" i="2"/>
  <c r="G33" i="2"/>
  <c r="G35" i="2"/>
  <c r="H13" i="3"/>
  <c r="G15" i="2"/>
  <c r="G16" i="2"/>
  <c r="G18" i="2"/>
  <c r="G20" i="2"/>
  <c r="G30" i="2"/>
  <c r="H22" i="3"/>
  <c r="H10" i="3"/>
  <c r="H27" i="3"/>
  <c r="G36" i="2"/>
  <c r="F5" i="2"/>
  <c r="F8" i="2"/>
  <c r="F11" i="2"/>
  <c r="F13" i="2"/>
  <c r="G39" i="2"/>
  <c r="G40" i="2"/>
  <c r="F12" i="2"/>
  <c r="G23" i="2"/>
  <c r="G37" i="2"/>
  <c r="G25" i="2"/>
  <c r="G29" i="2"/>
  <c r="H35" i="3"/>
  <c r="G26" i="2"/>
  <c r="G34" i="2"/>
  <c r="F21" i="2"/>
  <c r="F24" i="2"/>
  <c r="F28" i="2"/>
  <c r="F31" i="2"/>
  <c r="F32" i="2"/>
  <c r="F33" i="2"/>
  <c r="F35" i="2"/>
  <c r="E7" i="2"/>
  <c r="E9" i="2"/>
  <c r="E10" i="2"/>
  <c r="F9" i="2"/>
  <c r="F15" i="2"/>
  <c r="F17" i="2"/>
  <c r="F19" i="2"/>
  <c r="F27" i="2"/>
  <c r="F22" i="2"/>
  <c r="F6" i="2"/>
  <c r="F16" i="2"/>
  <c r="F18" i="2"/>
  <c r="F20" i="2"/>
  <c r="F23" i="2"/>
  <c r="F25" i="2"/>
  <c r="F29" i="2"/>
  <c r="F36" i="2"/>
  <c r="E5" i="2"/>
  <c r="F7" i="2"/>
  <c r="F10" i="2"/>
  <c r="F14" i="2"/>
  <c r="G38" i="2"/>
  <c r="E12" i="2"/>
  <c r="F34" i="2"/>
  <c r="F39" i="2"/>
  <c r="G15" i="3"/>
  <c r="E17" i="2"/>
  <c r="E19" i="2"/>
  <c r="E27" i="2"/>
  <c r="E22" i="2"/>
  <c r="E30" i="2"/>
  <c r="E38" i="2"/>
  <c r="G6" i="3"/>
  <c r="G10" i="3"/>
  <c r="G11" i="3"/>
  <c r="G21" i="3"/>
  <c r="G28" i="3"/>
  <c r="G32" i="3"/>
  <c r="G39" i="3"/>
  <c r="G9" i="3"/>
  <c r="E13" i="2"/>
  <c r="E6" i="2"/>
  <c r="E11" i="2"/>
  <c r="F26" i="2"/>
  <c r="F37" i="2"/>
  <c r="F40" i="2"/>
  <c r="E15" i="2"/>
  <c r="F30" i="2"/>
  <c r="F38" i="2"/>
  <c r="G7" i="3"/>
  <c r="E8" i="2"/>
  <c r="E14" i="2"/>
  <c r="G20" i="3"/>
  <c r="E21" i="2"/>
  <c r="G23" i="3"/>
  <c r="E24" i="2"/>
  <c r="E28" i="2"/>
  <c r="E31" i="2"/>
  <c r="G18" i="3"/>
  <c r="G27" i="3"/>
  <c r="E35" i="2"/>
  <c r="F25" i="3"/>
  <c r="E16" i="2"/>
  <c r="E18" i="2"/>
  <c r="E20" i="2"/>
  <c r="E33" i="2"/>
  <c r="E37" i="2"/>
  <c r="E40" i="2"/>
  <c r="D7" i="2"/>
  <c r="F8" i="3"/>
  <c r="D9" i="2"/>
  <c r="D10" i="2"/>
  <c r="D14" i="2"/>
  <c r="D17" i="2"/>
  <c r="D19" i="2"/>
  <c r="D27" i="2"/>
  <c r="D22" i="2"/>
  <c r="D30" i="2"/>
  <c r="F24" i="3"/>
  <c r="F28" i="3"/>
  <c r="E32" i="2"/>
  <c r="G36" i="3"/>
  <c r="E34" i="2"/>
  <c r="E23" i="2"/>
  <c r="E25" i="2"/>
  <c r="E29" i="2"/>
  <c r="E36" i="2"/>
  <c r="D5" i="2"/>
  <c r="E26" i="2"/>
  <c r="G33" i="3"/>
  <c r="E39" i="2"/>
  <c r="F7" i="3"/>
  <c r="D12" i="2"/>
  <c r="D21" i="2"/>
  <c r="F15" i="3"/>
  <c r="D23" i="2"/>
  <c r="D24" i="2"/>
  <c r="D29" i="2"/>
  <c r="D31" i="2"/>
  <c r="F38" i="3"/>
  <c r="F40" i="3"/>
  <c r="D15" i="2"/>
  <c r="D16" i="2"/>
  <c r="D18" i="2"/>
  <c r="D20" i="2"/>
  <c r="F30" i="3"/>
  <c r="F32" i="3"/>
  <c r="D33" i="2"/>
  <c r="D38" i="2"/>
  <c r="F39" i="3"/>
  <c r="F13" i="3"/>
  <c r="F22" i="3"/>
  <c r="D26" i="2"/>
  <c r="D32" i="2"/>
  <c r="F34" i="3"/>
  <c r="F37" i="3"/>
  <c r="F9" i="3"/>
  <c r="D13" i="2"/>
  <c r="F19" i="3"/>
  <c r="D6" i="2"/>
  <c r="F21" i="3"/>
  <c r="F10" i="3"/>
  <c r="F27" i="3"/>
  <c r="D8" i="2"/>
  <c r="D11" i="2"/>
  <c r="F17" i="3"/>
  <c r="F29" i="3"/>
  <c r="G13" i="3"/>
  <c r="G37" i="3"/>
  <c r="G24" i="3"/>
  <c r="G17" i="3"/>
  <c r="G25" i="3"/>
  <c r="F31" i="3"/>
  <c r="F36" i="3"/>
  <c r="F26" i="3"/>
  <c r="F20" i="3"/>
  <c r="F5" i="3"/>
  <c r="C5" i="2"/>
  <c r="H5" i="2" s="1"/>
  <c r="C6" i="2"/>
  <c r="H6" i="2" s="1"/>
  <c r="C7" i="2"/>
  <c r="H7" i="2" s="1"/>
  <c r="C8" i="2"/>
  <c r="H8" i="2" s="1"/>
  <c r="C9" i="2"/>
  <c r="H9" i="2" s="1"/>
  <c r="C10" i="2"/>
  <c r="H10" i="2" s="1"/>
  <c r="C11" i="2"/>
  <c r="H11" i="2" s="1"/>
  <c r="C12" i="2"/>
  <c r="H12" i="2" s="1"/>
  <c r="C13" i="2"/>
  <c r="H13" i="2" s="1"/>
  <c r="C14" i="2"/>
  <c r="H14" i="2" s="1"/>
  <c r="C15" i="2"/>
  <c r="H15" i="2" s="1"/>
  <c r="C16" i="2"/>
  <c r="H16" i="2" s="1"/>
  <c r="C17" i="2"/>
  <c r="H17" i="2" s="1"/>
  <c r="C18" i="2"/>
  <c r="H18" i="2" s="1"/>
  <c r="C19" i="2"/>
  <c r="H19" i="2" s="1"/>
  <c r="C20" i="2"/>
  <c r="H20" i="2" s="1"/>
  <c r="C21" i="2"/>
  <c r="H21" i="2" s="1"/>
  <c r="C22" i="2"/>
  <c r="H22" i="2" s="1"/>
  <c r="C23" i="2"/>
  <c r="H23" i="2" s="1"/>
  <c r="C24" i="2"/>
  <c r="H24" i="2" s="1"/>
  <c r="C25" i="2"/>
  <c r="H25" i="2" s="1"/>
  <c r="C26" i="2"/>
  <c r="H26" i="2" s="1"/>
  <c r="C27" i="2"/>
  <c r="H27" i="2" s="1"/>
  <c r="C28" i="2"/>
  <c r="H28" i="2" s="1"/>
  <c r="C29" i="2"/>
  <c r="H29" i="2" s="1"/>
  <c r="C30" i="2"/>
  <c r="H30" i="2" s="1"/>
  <c r="C31" i="2"/>
  <c r="H31" i="2" s="1"/>
  <c r="C32" i="2"/>
  <c r="H32" i="2" s="1"/>
  <c r="C33" i="2"/>
  <c r="H33" i="2" s="1"/>
  <c r="C34" i="2"/>
  <c r="H34" i="2" s="1"/>
  <c r="C35" i="2"/>
  <c r="H35" i="2" s="1"/>
  <c r="C36" i="2"/>
  <c r="H36" i="2" s="1"/>
  <c r="C37" i="2"/>
  <c r="H37" i="2" s="1"/>
  <c r="C38" i="2"/>
  <c r="H38" i="2" s="1"/>
  <c r="C39" i="2"/>
  <c r="H39" i="2" s="1"/>
  <c r="C40" i="2"/>
  <c r="H40" i="2" s="1"/>
  <c r="R24" i="12" l="1"/>
  <c r="F23" i="1" s="1"/>
  <c r="R20" i="12"/>
  <c r="F19" i="1" s="1"/>
  <c r="R7" i="12"/>
  <c r="F6" i="1" s="1"/>
  <c r="R5" i="12"/>
  <c r="F4" i="1" s="1"/>
  <c r="R8" i="12"/>
  <c r="F7" i="1" s="1"/>
  <c r="R35" i="12"/>
  <c r="F34" i="1" s="1"/>
  <c r="R16" i="12"/>
  <c r="F15" i="1" s="1"/>
  <c r="R39" i="12"/>
  <c r="F38" i="1" s="1"/>
  <c r="R12" i="12"/>
  <c r="F11" i="1" s="1"/>
  <c r="R38" i="12"/>
  <c r="F37" i="1" s="1"/>
  <c r="R25" i="12"/>
  <c r="F24" i="1" s="1"/>
  <c r="R26" i="12"/>
  <c r="F25" i="1" s="1"/>
  <c r="R40" i="12"/>
  <c r="F39" i="1" s="1"/>
  <c r="R34" i="12"/>
  <c r="F33" i="1" s="1"/>
  <c r="R23" i="12"/>
  <c r="F22" i="1" s="1"/>
  <c r="R29" i="12"/>
  <c r="F28" i="1" s="1"/>
  <c r="R21" i="12"/>
  <c r="F20" i="1" s="1"/>
  <c r="R9" i="12"/>
  <c r="F8" i="1" s="1"/>
  <c r="R30" i="12"/>
  <c r="F29" i="1" s="1"/>
  <c r="R36" i="12"/>
  <c r="F35" i="1" s="1"/>
  <c r="R17" i="12"/>
  <c r="F16" i="1" s="1"/>
  <c r="R31" i="12"/>
  <c r="F30" i="1" s="1"/>
  <c r="R11" i="12"/>
  <c r="F10" i="1" s="1"/>
  <c r="R27" i="12"/>
  <c r="F26" i="1" s="1"/>
  <c r="R13" i="12"/>
  <c r="F12" i="1" s="1"/>
  <c r="R18" i="12"/>
  <c r="F17" i="1" s="1"/>
  <c r="R10" i="12"/>
  <c r="F9" i="1" s="1"/>
  <c r="R15" i="12"/>
  <c r="F14" i="1" s="1"/>
  <c r="R19" i="12"/>
  <c r="F18" i="1" s="1"/>
  <c r="R32" i="12"/>
  <c r="F31" i="1" s="1"/>
  <c r="R6" i="12"/>
  <c r="F5" i="1" s="1"/>
  <c r="R37" i="12"/>
  <c r="F36" i="1" s="1"/>
  <c r="R28" i="12"/>
  <c r="F27" i="1" s="1"/>
  <c r="R33" i="12"/>
  <c r="F32" i="1" s="1"/>
  <c r="R22" i="12"/>
  <c r="F21" i="1" s="1"/>
  <c r="R14" i="12"/>
  <c r="F13" i="1" s="1"/>
  <c r="G10" i="14" a="1"/>
  <c r="G10" i="14" s="1"/>
  <c r="H10" i="14" s="1"/>
  <c r="G9" i="14" a="1"/>
  <c r="G9" i="14" s="1"/>
  <c r="H9" i="14" s="1"/>
  <c r="G5" i="14" a="1"/>
  <c r="G5" i="14" s="1"/>
  <c r="H5" i="14" s="1"/>
  <c r="G6" i="14" a="1"/>
  <c r="G6" i="14" s="1"/>
  <c r="G7" i="14" a="1"/>
  <c r="G7" i="14" s="1"/>
  <c r="H7" i="14" s="1"/>
  <c r="G8" i="14" a="1"/>
  <c r="G8" i="14" s="1"/>
  <c r="H8" i="14" s="1"/>
  <c r="H12" i="14"/>
  <c r="H11" i="14"/>
  <c r="G12" i="14" a="1"/>
  <c r="G12" i="14" s="1"/>
  <c r="G11" i="14" a="1"/>
  <c r="G11" i="14" s="1"/>
  <c r="G38" i="3"/>
  <c r="G30" i="3"/>
  <c r="G29" i="3"/>
  <c r="H30" i="3"/>
  <c r="G19" i="3"/>
  <c r="F11" i="3"/>
  <c r="G31" i="3"/>
  <c r="G26" i="3"/>
  <c r="G5" i="3"/>
  <c r="H25" i="3"/>
  <c r="H17" i="3"/>
  <c r="H26" i="3"/>
  <c r="F35" i="3"/>
  <c r="F23" i="3"/>
  <c r="H39" i="3"/>
  <c r="H31" i="3"/>
  <c r="H18" i="3"/>
  <c r="H15" i="3"/>
  <c r="H38" i="3"/>
  <c r="F6" i="3"/>
  <c r="F18" i="3"/>
  <c r="G12" i="3"/>
  <c r="F14" i="3"/>
  <c r="F16" i="3"/>
  <c r="H9" i="3"/>
  <c r="G35" i="3"/>
  <c r="G22" i="3"/>
  <c r="G40" i="3"/>
  <c r="G34" i="3"/>
  <c r="G8" i="3"/>
  <c r="F12" i="3"/>
  <c r="G16" i="3"/>
  <c r="G14" i="3"/>
  <c r="H40" i="3"/>
  <c r="H36" i="3"/>
  <c r="H24" i="3"/>
  <c r="H29" i="3"/>
  <c r="H11" i="3"/>
  <c r="H19" i="3"/>
  <c r="H37" i="3"/>
  <c r="H5" i="3"/>
  <c r="H16" i="3"/>
  <c r="H33" i="3"/>
  <c r="H32" i="3"/>
  <c r="H34" i="3"/>
  <c r="H12" i="3"/>
  <c r="H14" i="3"/>
  <c r="H8" i="3"/>
  <c r="H20" i="3"/>
  <c r="H7" i="3"/>
  <c r="F33" i="3"/>
  <c r="H21" i="3"/>
  <c r="H23" i="3"/>
  <c r="H6" i="3"/>
  <c r="K15" i="2" l="1"/>
  <c r="M12" i="16" s="1"/>
  <c r="K32" i="2"/>
  <c r="M29" i="16" s="1"/>
  <c r="J40" i="2"/>
  <c r="L37" i="16" s="1"/>
  <c r="K29" i="2"/>
  <c r="M26" i="16" s="1"/>
  <c r="J23" i="2"/>
  <c r="L20" i="16" s="1"/>
  <c r="J32" i="2"/>
  <c r="L29" i="16" s="1"/>
  <c r="J36" i="2"/>
  <c r="L33" i="16" s="1"/>
  <c r="G19" i="14" a="1"/>
  <c r="G19" i="14" s="1"/>
  <c r="K8" i="2"/>
  <c r="M5" i="16" s="1"/>
  <c r="I37" i="2"/>
  <c r="K26" i="2"/>
  <c r="M23" i="16" s="1"/>
  <c r="J27" i="2"/>
  <c r="L24" i="16" s="1"/>
  <c r="K24" i="2"/>
  <c r="M21" i="16" s="1"/>
  <c r="K13" i="2"/>
  <c r="M10" i="16" s="1"/>
  <c r="K19" i="2"/>
  <c r="M16" i="16" s="1"/>
  <c r="L28" i="2"/>
  <c r="N25" i="16" s="1"/>
  <c r="I29" i="2"/>
  <c r="K6" i="2"/>
  <c r="M3" i="16" s="1"/>
  <c r="J18" i="2"/>
  <c r="L15" i="16" s="1"/>
  <c r="K14" i="2"/>
  <c r="M11" i="16" s="1"/>
  <c r="K11" i="2"/>
  <c r="M8" i="16" s="1"/>
  <c r="L5" i="2"/>
  <c r="N2" i="16" s="1"/>
  <c r="L37" i="2"/>
  <c r="N34" i="16" s="1"/>
  <c r="L33" i="2"/>
  <c r="N30" i="16" s="1"/>
  <c r="J29" i="2"/>
  <c r="L26" i="16" s="1"/>
  <c r="I30" i="2"/>
  <c r="J28" i="2"/>
  <c r="L25" i="16" s="1"/>
  <c r="J31" i="2"/>
  <c r="L28" i="16" s="1"/>
  <c r="J9" i="2"/>
  <c r="L6" i="16" s="1"/>
  <c r="L25" i="2"/>
  <c r="N22" i="16" s="1"/>
  <c r="I22" i="2"/>
  <c r="I17" i="2"/>
  <c r="I12" i="2"/>
  <c r="I13" i="2"/>
  <c r="L30" i="2"/>
  <c r="N27" i="16" s="1"/>
  <c r="L24" i="2"/>
  <c r="N21" i="16" s="1"/>
  <c r="H23" i="14"/>
  <c r="G23" i="14" a="1"/>
  <c r="G23" i="14" s="1"/>
  <c r="H22" i="14"/>
  <c r="G22" i="14" a="1"/>
  <c r="G22" i="14" s="1"/>
  <c r="K21" i="2"/>
  <c r="M18" i="16" s="1"/>
  <c r="I19" i="2"/>
  <c r="J33" i="2"/>
  <c r="L30" i="16" s="1"/>
  <c r="K27" i="2"/>
  <c r="M24" i="16" s="1"/>
  <c r="H18" i="14"/>
  <c r="L18" i="2"/>
  <c r="N15" i="16" s="1"/>
  <c r="I5" i="2"/>
  <c r="I26" i="2"/>
  <c r="I9" i="2"/>
  <c r="J39" i="2"/>
  <c r="L36" i="16" s="1"/>
  <c r="K31" i="2"/>
  <c r="M28" i="16" s="1"/>
  <c r="K16" i="2"/>
  <c r="M13" i="16" s="1"/>
  <c r="I11" i="2"/>
  <c r="I31" i="2"/>
  <c r="I20" i="2"/>
  <c r="I15" i="2"/>
  <c r="L31" i="2"/>
  <c r="N28" i="16" s="1"/>
  <c r="I38" i="2"/>
  <c r="I40" i="2"/>
  <c r="L15" i="2"/>
  <c r="N12" i="16" s="1"/>
  <c r="G20" i="14" a="1"/>
  <c r="G20" i="14" s="1"/>
  <c r="H20" i="14"/>
  <c r="G21" i="14" a="1"/>
  <c r="G21" i="14" s="1"/>
  <c r="H21" i="14"/>
  <c r="J7" i="2"/>
  <c r="L4" i="16" s="1"/>
  <c r="I21" i="2"/>
  <c r="J26" i="2"/>
  <c r="L23" i="16" s="1"/>
  <c r="H19" i="14"/>
  <c r="K28" i="2"/>
  <c r="M25" i="16" s="1"/>
  <c r="I10" i="2"/>
  <c r="J15" i="2"/>
  <c r="L12" i="16" s="1"/>
  <c r="K20" i="2"/>
  <c r="M17" i="16" s="1"/>
  <c r="L36" i="2"/>
  <c r="N33" i="16" s="1"/>
  <c r="L34" i="2"/>
  <c r="N31" i="16" s="1"/>
  <c r="I36" i="2"/>
  <c r="K25" i="2"/>
  <c r="M22" i="16" s="1"/>
  <c r="L35" i="2"/>
  <c r="N32" i="16" s="1"/>
  <c r="K23" i="2"/>
  <c r="M20" i="16" s="1"/>
  <c r="K12" i="2"/>
  <c r="M9" i="16" s="1"/>
  <c r="I6" i="2"/>
  <c r="L9" i="2"/>
  <c r="N6" i="16" s="1"/>
  <c r="I24" i="2"/>
  <c r="H6" i="14"/>
  <c r="L39" i="2"/>
  <c r="N36" i="16" s="1"/>
  <c r="I32" i="2"/>
  <c r="K39" i="2"/>
  <c r="M36" i="16" s="1"/>
  <c r="I33" i="2"/>
  <c r="J19" i="2"/>
  <c r="L16" i="16" s="1"/>
  <c r="I23" i="2"/>
  <c r="G18" i="14" a="1"/>
  <c r="G18" i="14" s="1"/>
  <c r="K35" i="2"/>
  <c r="M32" i="16" s="1"/>
  <c r="I27" i="2"/>
  <c r="J8" i="2"/>
  <c r="L5" i="16" s="1"/>
  <c r="J38" i="2"/>
  <c r="L35" i="16" s="1"/>
  <c r="L26" i="2"/>
  <c r="N23" i="16" s="1"/>
  <c r="K17" i="2"/>
  <c r="M14" i="16" s="1"/>
  <c r="I25" i="2"/>
  <c r="K7" i="2"/>
  <c r="M4" i="16" s="1"/>
  <c r="I7" i="2"/>
  <c r="L20" i="2"/>
  <c r="N17" i="16" s="1"/>
  <c r="K36" i="2"/>
  <c r="M33" i="16" s="1"/>
  <c r="L29" i="2"/>
  <c r="N26" i="16" s="1"/>
  <c r="J10" i="2"/>
  <c r="L7" i="16" s="1"/>
  <c r="L21" i="2"/>
  <c r="N18" i="16" s="1"/>
  <c r="L8" i="2"/>
  <c r="N5" i="16" s="1"/>
  <c r="I34" i="2"/>
  <c r="L7" i="2"/>
  <c r="N4" i="16" s="1"/>
  <c r="J13" i="2"/>
  <c r="L10" i="16" s="1"/>
  <c r="I8" i="2"/>
  <c r="K40" i="2"/>
  <c r="M37" i="16" s="1"/>
  <c r="I35" i="2"/>
  <c r="K9" i="2"/>
  <c r="M6" i="16" s="1"/>
  <c r="L23" i="2"/>
  <c r="N20" i="16" s="1"/>
  <c r="J14" i="2"/>
  <c r="L11" i="16" s="1"/>
  <c r="I16" i="2"/>
  <c r="K30" i="2"/>
  <c r="M27" i="16" s="1"/>
  <c r="K33" i="2"/>
  <c r="M30" i="16" s="1"/>
  <c r="J17" i="2"/>
  <c r="L14" i="16" s="1"/>
  <c r="L11" i="2"/>
  <c r="N8" i="16" s="1"/>
  <c r="J25" i="2"/>
  <c r="L22" i="16" s="1"/>
  <c r="K5" i="2"/>
  <c r="M2" i="16" s="1"/>
  <c r="K38" i="2"/>
  <c r="M35" i="16" s="1"/>
  <c r="K10" i="2"/>
  <c r="M7" i="16" s="1"/>
  <c r="K22" i="2"/>
  <c r="M19" i="16" s="1"/>
  <c r="K18" i="2"/>
  <c r="M15" i="16" s="1"/>
  <c r="L32" i="2"/>
  <c r="N29" i="16" s="1"/>
  <c r="I28" i="2"/>
  <c r="L10" i="2"/>
  <c r="N7" i="16" s="1"/>
  <c r="I39" i="2"/>
  <c r="J12" i="2"/>
  <c r="L9" i="16" s="1"/>
  <c r="J21" i="2"/>
  <c r="L18" i="16" s="1"/>
  <c r="L38" i="2"/>
  <c r="N35" i="16" s="1"/>
  <c r="J30" i="2"/>
  <c r="L27" i="16" s="1"/>
  <c r="L14" i="2"/>
  <c r="N11" i="16" s="1"/>
  <c r="K37" i="2"/>
  <c r="M34" i="16" s="1"/>
  <c r="J22" i="2"/>
  <c r="L19" i="16" s="1"/>
  <c r="K34" i="2"/>
  <c r="M31" i="16" s="1"/>
  <c r="L13" i="2"/>
  <c r="N10" i="16" s="1"/>
  <c r="L27" i="2"/>
  <c r="N24" i="16" s="1"/>
  <c r="L6" i="2"/>
  <c r="N3" i="16" s="1"/>
  <c r="L40" i="2"/>
  <c r="N37" i="16" s="1"/>
  <c r="J37" i="2"/>
  <c r="L34" i="16" s="1"/>
  <c r="J34" i="2"/>
  <c r="L31" i="16" s="1"/>
  <c r="L22" i="2"/>
  <c r="N19" i="16" s="1"/>
  <c r="J5" i="2"/>
  <c r="L2" i="16" s="1"/>
  <c r="J20" i="2"/>
  <c r="L17" i="16" s="1"/>
  <c r="J6" i="2"/>
  <c r="L3" i="16" s="1"/>
  <c r="J11" i="2"/>
  <c r="L8" i="16" s="1"/>
  <c r="L17" i="2"/>
  <c r="N14" i="16" s="1"/>
  <c r="I18" i="2"/>
  <c r="J16" i="2"/>
  <c r="L13" i="16" s="1"/>
  <c r="I14" i="2"/>
  <c r="J35" i="2"/>
  <c r="L32" i="16" s="1"/>
  <c r="J24" i="2"/>
  <c r="L21" i="16" s="1"/>
  <c r="L16" i="2"/>
  <c r="N13" i="16" s="1"/>
  <c r="L19" i="2"/>
  <c r="N16" i="16" s="1"/>
  <c r="L12" i="2"/>
  <c r="N9" i="16" s="1"/>
  <c r="M23" i="2" l="1"/>
  <c r="C22" i="1" s="1"/>
  <c r="O26" i="3"/>
  <c r="S23" i="16" s="1"/>
  <c r="P14" i="3"/>
  <c r="T11" i="16" s="1"/>
  <c r="M18" i="2"/>
  <c r="C17" i="1" s="1"/>
  <c r="M27" i="2"/>
  <c r="C26" i="1" s="1"/>
  <c r="M21" i="2"/>
  <c r="C20" i="1" s="1"/>
  <c r="P26" i="3"/>
  <c r="T23" i="16" s="1"/>
  <c r="M24" i="2"/>
  <c r="C23" i="1" s="1"/>
  <c r="P32" i="3"/>
  <c r="T29" i="16" s="1"/>
  <c r="M20" i="2"/>
  <c r="C19" i="1" s="1"/>
  <c r="N32" i="3"/>
  <c r="R29" i="16" s="1"/>
  <c r="P7" i="3"/>
  <c r="T4" i="16" s="1"/>
  <c r="P33" i="3"/>
  <c r="T30" i="16" s="1"/>
  <c r="O35" i="3"/>
  <c r="S32" i="16" s="1"/>
  <c r="M32" i="2"/>
  <c r="C31" i="1" s="1"/>
  <c r="O29" i="3"/>
  <c r="S26" i="16" s="1"/>
  <c r="O40" i="3"/>
  <c r="S37" i="16" s="1"/>
  <c r="P38" i="3"/>
  <c r="T35" i="16" s="1"/>
  <c r="P9" i="3"/>
  <c r="T6" i="16" s="1"/>
  <c r="O38" i="3"/>
  <c r="S35" i="16" s="1"/>
  <c r="M37" i="2"/>
  <c r="C36" i="1" s="1"/>
  <c r="P37" i="3"/>
  <c r="T34" i="16" s="1"/>
  <c r="O19" i="3"/>
  <c r="S16" i="16" s="1"/>
  <c r="P16" i="3"/>
  <c r="T13" i="16" s="1"/>
  <c r="P18" i="3"/>
  <c r="T15" i="16" s="1"/>
  <c r="M13" i="2"/>
  <c r="C12" i="1" s="1"/>
  <c r="P29" i="3"/>
  <c r="T26" i="16" s="1"/>
  <c r="O16" i="3"/>
  <c r="S13" i="16" s="1"/>
  <c r="M17" i="2"/>
  <c r="M40" i="2"/>
  <c r="C39" i="1" s="1"/>
  <c r="P21" i="3"/>
  <c r="T18" i="16" s="1"/>
  <c r="M9" i="2"/>
  <c r="M16" i="2"/>
  <c r="P30" i="3"/>
  <c r="T27" i="16" s="1"/>
  <c r="M14" i="2"/>
  <c r="C13" i="1" s="1"/>
  <c r="P25" i="3"/>
  <c r="T22" i="16" s="1"/>
  <c r="M11" i="2"/>
  <c r="C10" i="1" s="1"/>
  <c r="P34" i="3"/>
  <c r="T31" i="16" s="1"/>
  <c r="M10" i="2"/>
  <c r="P5" i="3"/>
  <c r="U2" i="16" s="1"/>
  <c r="P31" i="3"/>
  <c r="T28" i="16" s="1"/>
  <c r="M36" i="2"/>
  <c r="M8" i="2"/>
  <c r="C7" i="1" s="1"/>
  <c r="P15" i="3"/>
  <c r="T12" i="16" s="1"/>
  <c r="M35" i="2"/>
  <c r="C34" i="1" s="1"/>
  <c r="M5" i="2"/>
  <c r="C4" i="1" s="1"/>
  <c r="N12" i="3"/>
  <c r="R9" i="16" s="1"/>
  <c r="N18" i="3"/>
  <c r="R15" i="16" s="1"/>
  <c r="N16" i="3"/>
  <c r="R13" i="16" s="1"/>
  <c r="N10" i="3"/>
  <c r="R7" i="16" s="1"/>
  <c r="N9" i="3"/>
  <c r="R6" i="16" s="1"/>
  <c r="N30" i="3"/>
  <c r="R27" i="16" s="1"/>
  <c r="M22" i="2"/>
  <c r="C21" i="1" s="1"/>
  <c r="O31" i="3"/>
  <c r="S28" i="16" s="1"/>
  <c r="M38" i="2"/>
  <c r="C37" i="1" s="1"/>
  <c r="M15" i="2"/>
  <c r="C14" i="1" s="1"/>
  <c r="O5" i="3"/>
  <c r="M33" i="2"/>
  <c r="C32" i="1" s="1"/>
  <c r="O8" i="3"/>
  <c r="S5" i="16" s="1"/>
  <c r="O12" i="3"/>
  <c r="S9" i="16" s="1"/>
  <c r="M31" i="2"/>
  <c r="C30" i="1" s="1"/>
  <c r="P36" i="3"/>
  <c r="T33" i="16" s="1"/>
  <c r="N38" i="3"/>
  <c r="R35" i="16" s="1"/>
  <c r="N7" i="3"/>
  <c r="R4" i="16" s="1"/>
  <c r="N24" i="3"/>
  <c r="R21" i="16" s="1"/>
  <c r="O30" i="3"/>
  <c r="S27" i="16" s="1"/>
  <c r="M39" i="2"/>
  <c r="C38" i="1" s="1"/>
  <c r="N33" i="3"/>
  <c r="R30" i="16" s="1"/>
  <c r="P11" i="3"/>
  <c r="T8" i="16" s="1"/>
  <c r="M28" i="2"/>
  <c r="C27" i="1" s="1"/>
  <c r="P20" i="3"/>
  <c r="T17" i="16" s="1"/>
  <c r="N20" i="3"/>
  <c r="R17" i="16" s="1"/>
  <c r="N22" i="3"/>
  <c r="R19" i="16" s="1"/>
  <c r="N28" i="3"/>
  <c r="R25" i="16" s="1"/>
  <c r="M6" i="2"/>
  <c r="C5" i="1" s="1"/>
  <c r="N11" i="3"/>
  <c r="R8" i="16" s="1"/>
  <c r="M30" i="2"/>
  <c r="C29" i="1" s="1"/>
  <c r="P19" i="3"/>
  <c r="T16" i="16" s="1"/>
  <c r="N23" i="3"/>
  <c r="R20" i="16" s="1"/>
  <c r="O15" i="3"/>
  <c r="S12" i="16" s="1"/>
  <c r="O23" i="3"/>
  <c r="S20" i="16" s="1"/>
  <c r="O18" i="3"/>
  <c r="S15" i="16" s="1"/>
  <c r="O33" i="3"/>
  <c r="S30" i="16" s="1"/>
  <c r="O7" i="3"/>
  <c r="S4" i="16" s="1"/>
  <c r="O32" i="3"/>
  <c r="O25" i="3"/>
  <c r="S22" i="16" s="1"/>
  <c r="O21" i="3"/>
  <c r="S18" i="16" s="1"/>
  <c r="O11" i="3"/>
  <c r="S8" i="16" s="1"/>
  <c r="O13" i="3"/>
  <c r="S10" i="16" s="1"/>
  <c r="O9" i="3"/>
  <c r="S6" i="16" s="1"/>
  <c r="O28" i="3"/>
  <c r="S25" i="16" s="1"/>
  <c r="O17" i="3"/>
  <c r="S14" i="16" s="1"/>
  <c r="O20" i="3"/>
  <c r="S17" i="16" s="1"/>
  <c r="O39" i="3"/>
  <c r="S36" i="16" s="1"/>
  <c r="O24" i="3"/>
  <c r="S21" i="16" s="1"/>
  <c r="O37" i="3"/>
  <c r="S34" i="16" s="1"/>
  <c r="O10" i="3"/>
  <c r="S7" i="16" s="1"/>
  <c r="O36" i="3"/>
  <c r="S33" i="16" s="1"/>
  <c r="O6" i="3"/>
  <c r="S3" i="16" s="1"/>
  <c r="O27" i="3"/>
  <c r="S24" i="16" s="1"/>
  <c r="P40" i="3"/>
  <c r="T37" i="16" s="1"/>
  <c r="P6" i="3"/>
  <c r="T3" i="16" s="1"/>
  <c r="P17" i="3"/>
  <c r="T14" i="16" s="1"/>
  <c r="P39" i="3"/>
  <c r="T36" i="16" s="1"/>
  <c r="N26" i="3"/>
  <c r="R23" i="16" s="1"/>
  <c r="N40" i="3"/>
  <c r="R37" i="16" s="1"/>
  <c r="N19" i="3"/>
  <c r="R16" i="16" s="1"/>
  <c r="M29" i="2"/>
  <c r="C28" i="1" s="1"/>
  <c r="N14" i="3"/>
  <c r="R11" i="16" s="1"/>
  <c r="P8" i="3"/>
  <c r="T5" i="16" s="1"/>
  <c r="N17" i="3"/>
  <c r="R14" i="16" s="1"/>
  <c r="N21" i="3"/>
  <c r="R18" i="16" s="1"/>
  <c r="N29" i="3"/>
  <c r="R26" i="16" s="1"/>
  <c r="N6" i="3"/>
  <c r="R3" i="16" s="1"/>
  <c r="O22" i="3"/>
  <c r="S19" i="16" s="1"/>
  <c r="N15" i="3"/>
  <c r="R12" i="16" s="1"/>
  <c r="N34" i="3"/>
  <c r="R31" i="16" s="1"/>
  <c r="N39" i="3"/>
  <c r="R36" i="16" s="1"/>
  <c r="N8" i="3"/>
  <c r="R5" i="16" s="1"/>
  <c r="M26" i="2"/>
  <c r="C25" i="1" s="1"/>
  <c r="M12" i="2"/>
  <c r="C11" i="1" s="1"/>
  <c r="M25" i="2"/>
  <c r="C24" i="1" s="1"/>
  <c r="P24" i="3"/>
  <c r="T21" i="16" s="1"/>
  <c r="M34" i="2"/>
  <c r="C33" i="1" s="1"/>
  <c r="O34" i="3"/>
  <c r="S31" i="16" s="1"/>
  <c r="N35" i="3"/>
  <c r="R32" i="16" s="1"/>
  <c r="O14" i="3"/>
  <c r="S11" i="16" s="1"/>
  <c r="N5" i="3"/>
  <c r="N31" i="3"/>
  <c r="R28" i="16" s="1"/>
  <c r="N27" i="3"/>
  <c r="R24" i="16" s="1"/>
  <c r="N13" i="3"/>
  <c r="R10" i="16" s="1"/>
  <c r="M19" i="2"/>
  <c r="C18" i="1" s="1"/>
  <c r="M7" i="2"/>
  <c r="C6" i="1" s="1"/>
  <c r="P28" i="3"/>
  <c r="T25" i="16" s="1"/>
  <c r="P13" i="3"/>
  <c r="T10" i="16" s="1"/>
  <c r="P22" i="3"/>
  <c r="T19" i="16" s="1"/>
  <c r="P27" i="3"/>
  <c r="T24" i="16" s="1"/>
  <c r="P10" i="3"/>
  <c r="T7" i="16" s="1"/>
  <c r="P35" i="3"/>
  <c r="T32" i="16" s="1"/>
  <c r="P12" i="3"/>
  <c r="T9" i="16" s="1"/>
  <c r="P23" i="3"/>
  <c r="T20" i="16" s="1"/>
  <c r="N37" i="3"/>
  <c r="R34" i="16" s="1"/>
  <c r="N36" i="3"/>
  <c r="R33" i="16" s="1"/>
  <c r="N25" i="3"/>
  <c r="R22" i="16" s="1"/>
  <c r="S32" i="3" l="1"/>
  <c r="D31" i="1" s="1"/>
  <c r="S29" i="16"/>
  <c r="S2" i="16"/>
  <c r="R2" i="16"/>
  <c r="T2" i="16"/>
  <c r="S26" i="3"/>
  <c r="D25" i="1" s="1"/>
  <c r="I25" i="1" s="1"/>
  <c r="C8" i="1"/>
  <c r="C9" i="1"/>
  <c r="I31" i="1"/>
  <c r="C16" i="1"/>
  <c r="C35" i="1"/>
  <c r="C15" i="1"/>
  <c r="S38" i="3"/>
  <c r="D37" i="1" s="1"/>
  <c r="I37" i="1" s="1"/>
  <c r="O31" i="1"/>
  <c r="S37" i="3"/>
  <c r="D36" i="1" s="1"/>
  <c r="I36" i="1" s="1"/>
  <c r="S29" i="3"/>
  <c r="D28" i="1" s="1"/>
  <c r="O28" i="1" s="1"/>
  <c r="S15" i="3"/>
  <c r="D14" i="1" s="1"/>
  <c r="I14" i="1" s="1"/>
  <c r="S16" i="3"/>
  <c r="D15" i="1" s="1"/>
  <c r="S35" i="3"/>
  <c r="D34" i="1" s="1"/>
  <c r="I34" i="1" s="1"/>
  <c r="S25" i="3"/>
  <c r="D24" i="1" s="1"/>
  <c r="I24" i="1" s="1"/>
  <c r="S10" i="3"/>
  <c r="D9" i="1" s="1"/>
  <c r="S5" i="3"/>
  <c r="D4" i="1" s="1"/>
  <c r="I4" i="1" s="1"/>
  <c r="S6" i="3"/>
  <c r="D5" i="1" s="1"/>
  <c r="I5" i="1" s="1"/>
  <c r="S36" i="3"/>
  <c r="D35" i="1" s="1"/>
  <c r="S11" i="3"/>
  <c r="D10" i="1" s="1"/>
  <c r="O10" i="1" s="1"/>
  <c r="S18" i="3"/>
  <c r="D17" i="1" s="1"/>
  <c r="O17" i="1" s="1"/>
  <c r="S33" i="3"/>
  <c r="D32" i="1" s="1"/>
  <c r="I32" i="1" s="1"/>
  <c r="S34" i="3"/>
  <c r="D33" i="1" s="1"/>
  <c r="I33" i="1" s="1"/>
  <c r="S31" i="3"/>
  <c r="D30" i="1" s="1"/>
  <c r="I30" i="1" s="1"/>
  <c r="S8" i="3"/>
  <c r="D7" i="1" s="1"/>
  <c r="I7" i="1" s="1"/>
  <c r="S19" i="3"/>
  <c r="D18" i="1" s="1"/>
  <c r="I18" i="1" s="1"/>
  <c r="S24" i="3"/>
  <c r="D23" i="1" s="1"/>
  <c r="O23" i="1" s="1"/>
  <c r="S12" i="3"/>
  <c r="D11" i="1" s="1"/>
  <c r="O11" i="1" s="1"/>
  <c r="S14" i="3"/>
  <c r="D13" i="1" s="1"/>
  <c r="O13" i="1" s="1"/>
  <c r="S7" i="3"/>
  <c r="D6" i="1" s="1"/>
  <c r="I6" i="1" s="1"/>
  <c r="S20" i="3"/>
  <c r="D19" i="1" s="1"/>
  <c r="O19" i="1" s="1"/>
  <c r="S27" i="3"/>
  <c r="D26" i="1" s="1"/>
  <c r="I26" i="1" s="1"/>
  <c r="S21" i="3"/>
  <c r="D20" i="1" s="1"/>
  <c r="I20" i="1" s="1"/>
  <c r="S28" i="3"/>
  <c r="D27" i="1" s="1"/>
  <c r="I27" i="1" s="1"/>
  <c r="S30" i="3"/>
  <c r="D29" i="1" s="1"/>
  <c r="I29" i="1" s="1"/>
  <c r="S39" i="3"/>
  <c r="D38" i="1" s="1"/>
  <c r="I38" i="1" s="1"/>
  <c r="S40" i="3"/>
  <c r="D39" i="1" s="1"/>
  <c r="O39" i="1" s="1"/>
  <c r="S13" i="3"/>
  <c r="D12" i="1" s="1"/>
  <c r="I12" i="1" s="1"/>
  <c r="S17" i="3"/>
  <c r="D16" i="1" s="1"/>
  <c r="S23" i="3"/>
  <c r="D22" i="1" s="1"/>
  <c r="S22" i="3"/>
  <c r="D21" i="1" s="1"/>
  <c r="O21" i="1" s="1"/>
  <c r="S9" i="3"/>
  <c r="D8" i="1" s="1"/>
  <c r="O25" i="1" l="1"/>
  <c r="O4" i="1"/>
  <c r="O30" i="1"/>
  <c r="O37" i="1"/>
  <c r="O24" i="1"/>
  <c r="O16" i="1"/>
  <c r="O32" i="1"/>
  <c r="O33" i="1"/>
  <c r="O8" i="1"/>
  <c r="O29" i="1"/>
  <c r="O38" i="1"/>
  <c r="O18" i="1"/>
  <c r="O15" i="1"/>
  <c r="I28" i="1"/>
  <c r="I19" i="1"/>
  <c r="I9" i="1"/>
  <c r="O6" i="1"/>
  <c r="O34" i="1"/>
  <c r="O20" i="1"/>
  <c r="I17" i="1"/>
  <c r="O9" i="1"/>
  <c r="O14" i="1"/>
  <c r="O7" i="1"/>
  <c r="I16" i="1"/>
  <c r="I39" i="1"/>
  <c r="I23" i="1"/>
  <c r="I13" i="1"/>
  <c r="O12" i="1"/>
  <c r="I10" i="1"/>
  <c r="I8" i="1"/>
  <c r="O27" i="1"/>
  <c r="I11" i="1"/>
  <c r="I22" i="1"/>
  <c r="O22" i="1"/>
  <c r="O5" i="1"/>
  <c r="O26" i="1"/>
  <c r="I35" i="1"/>
  <c r="I21" i="1"/>
  <c r="O36" i="1"/>
  <c r="I15" i="1"/>
  <c r="O35" i="1"/>
  <c r="J18" i="1" l="1"/>
  <c r="J17" i="1"/>
  <c r="P36" i="1"/>
  <c r="P4" i="1"/>
  <c r="J15" i="1"/>
  <c r="P6" i="1"/>
  <c r="J13" i="1"/>
  <c r="P35" i="1"/>
  <c r="J22" i="1"/>
  <c r="P31" i="1"/>
  <c r="P12" i="1"/>
  <c r="P13" i="1"/>
  <c r="P14" i="1"/>
  <c r="P27" i="1"/>
  <c r="P26" i="1"/>
  <c r="J12" i="1"/>
  <c r="P5" i="1"/>
  <c r="P18" i="1"/>
  <c r="J19" i="1"/>
  <c r="P28" i="1"/>
  <c r="P9" i="1"/>
  <c r="P15" i="1"/>
  <c r="P10" i="1"/>
  <c r="P11" i="1"/>
  <c r="P39" i="1"/>
  <c r="J38" i="1"/>
  <c r="J28" i="1"/>
  <c r="J36" i="1"/>
  <c r="J24" i="1"/>
  <c r="J6" i="1"/>
  <c r="J33" i="1"/>
  <c r="J7" i="1"/>
  <c r="J26" i="1"/>
  <c r="J4" i="1"/>
  <c r="P23" i="1"/>
  <c r="J20" i="1"/>
  <c r="P33" i="1"/>
  <c r="P32" i="1"/>
  <c r="J11" i="1"/>
  <c r="P24" i="1"/>
  <c r="J5" i="1"/>
  <c r="P8" i="1"/>
  <c r="P30" i="1"/>
  <c r="P22" i="1"/>
  <c r="J21" i="1"/>
  <c r="J25" i="1"/>
  <c r="J31" i="1"/>
  <c r="J39" i="1"/>
  <c r="J27" i="1"/>
  <c r="J34" i="1"/>
  <c r="P25" i="1"/>
  <c r="J37" i="1"/>
  <c r="J23" i="1"/>
  <c r="P20" i="1"/>
  <c r="P16" i="1"/>
  <c r="P17" i="1"/>
  <c r="J10" i="1"/>
  <c r="J16" i="1"/>
  <c r="J29" i="1"/>
  <c r="P29" i="1"/>
  <c r="P21" i="1"/>
  <c r="P38" i="1"/>
  <c r="J32" i="1"/>
  <c r="J8" i="1"/>
  <c r="P37" i="1"/>
  <c r="P34" i="1"/>
  <c r="J35" i="1"/>
  <c r="P19" i="1"/>
  <c r="P7" i="1"/>
  <c r="J9" i="1"/>
  <c r="J30" i="1"/>
  <c r="J14" i="1"/>
  <c r="A3" i="11" l="1" a="1"/>
  <c r="D3" i="16" l="1"/>
  <c r="D8" i="16"/>
  <c r="D5" i="16"/>
  <c r="D30" i="16"/>
  <c r="D18" i="16"/>
  <c r="D11" i="16"/>
  <c r="D16" i="16"/>
  <c r="D13" i="16"/>
  <c r="D15" i="16"/>
  <c r="D26" i="16"/>
  <c r="D19" i="16"/>
  <c r="D24" i="16"/>
  <c r="D21" i="16"/>
  <c r="D32" i="16"/>
  <c r="D34" i="16"/>
  <c r="D27" i="16"/>
  <c r="D4" i="16"/>
  <c r="D29" i="16"/>
  <c r="D9" i="16"/>
  <c r="D35" i="16"/>
  <c r="D12" i="16"/>
  <c r="D37" i="16"/>
  <c r="D17" i="16"/>
  <c r="D7" i="16"/>
  <c r="D20" i="16"/>
  <c r="D6" i="16"/>
  <c r="D25" i="16"/>
  <c r="D23" i="16"/>
  <c r="D28" i="16"/>
  <c r="D14" i="16"/>
  <c r="D33" i="16"/>
  <c r="D31" i="16"/>
  <c r="D36" i="16"/>
  <c r="D22" i="16"/>
  <c r="D10" i="16"/>
  <c r="H10" i="16"/>
  <c r="G21" i="16"/>
  <c r="J7" i="16"/>
  <c r="I5" i="16"/>
  <c r="G4" i="16"/>
  <c r="K3" i="16"/>
  <c r="G6" i="16"/>
  <c r="H20" i="16"/>
  <c r="G28" i="16"/>
  <c r="F21" i="16"/>
  <c r="G24" i="16"/>
  <c r="E3" i="16"/>
  <c r="J12" i="16"/>
  <c r="F11" i="16"/>
  <c r="K7" i="16"/>
  <c r="E9" i="16"/>
  <c r="I6" i="16"/>
  <c r="H7" i="16"/>
  <c r="F10" i="16"/>
  <c r="H6" i="16"/>
  <c r="I8" i="16"/>
  <c r="F13" i="16"/>
  <c r="I30" i="16"/>
  <c r="F18" i="16"/>
  <c r="G5" i="16"/>
  <c r="F16" i="16"/>
  <c r="H13" i="16"/>
  <c r="G11" i="16"/>
  <c r="I12" i="16"/>
  <c r="F17" i="16"/>
  <c r="I19" i="16"/>
  <c r="K23" i="16"/>
  <c r="E25" i="16"/>
  <c r="G17" i="16"/>
  <c r="J19" i="16"/>
  <c r="F25" i="16"/>
  <c r="H4" i="16"/>
  <c r="G22" i="16"/>
  <c r="F24" i="16"/>
  <c r="K32" i="16"/>
  <c r="E34" i="16"/>
  <c r="H15" i="16"/>
  <c r="F27" i="16"/>
  <c r="E29" i="16"/>
  <c r="I7" i="16"/>
  <c r="H18" i="16"/>
  <c r="K4" i="16"/>
  <c r="E6" i="16"/>
  <c r="I13" i="16"/>
  <c r="H3" i="16"/>
  <c r="I3" i="16"/>
  <c r="H27" i="16"/>
  <c r="K9" i="16"/>
  <c r="E11" i="16"/>
  <c r="J20" i="16"/>
  <c r="G8" i="16"/>
  <c r="F6" i="16"/>
  <c r="J3" i="16"/>
  <c r="F7" i="16"/>
  <c r="G7" i="16"/>
  <c r="E10" i="16"/>
  <c r="E5" i="16"/>
  <c r="J11" i="16"/>
  <c r="H14" i="16"/>
  <c r="G13" i="16"/>
  <c r="I10" i="16"/>
  <c r="H8" i="16"/>
  <c r="E4" i="16"/>
  <c r="E22" i="16"/>
  <c r="F4" i="16"/>
  <c r="F22" i="16"/>
  <c r="J4" i="16"/>
  <c r="I15" i="16"/>
  <c r="F3" i="16"/>
  <c r="K12" i="16"/>
  <c r="E14" i="16"/>
  <c r="J10" i="16"/>
  <c r="G18" i="16"/>
  <c r="K20" i="16"/>
  <c r="H24" i="16"/>
  <c r="E16" i="16"/>
  <c r="I18" i="16"/>
  <c r="I24" i="16"/>
  <c r="E21" i="16"/>
  <c r="E23" i="16"/>
  <c r="E7" i="16"/>
  <c r="H33" i="16"/>
  <c r="J6" i="16"/>
  <c r="I20" i="16"/>
  <c r="E26" i="16"/>
  <c r="H28" i="16"/>
  <c r="E8" i="16"/>
  <c r="F8" i="16"/>
  <c r="K17" i="16"/>
  <c r="E19" i="16"/>
  <c r="H5" i="16"/>
  <c r="G3" i="16"/>
  <c r="F14" i="16"/>
  <c r="J8" i="16"/>
  <c r="H11" i="16"/>
  <c r="K8" i="16"/>
  <c r="I11" i="16"/>
  <c r="G14" i="16"/>
  <c r="K26" i="16"/>
  <c r="E28" i="16"/>
  <c r="E15" i="16"/>
  <c r="H17" i="16"/>
  <c r="K19" i="16"/>
  <c r="F5" i="16"/>
  <c r="F23" i="16"/>
  <c r="E37" i="16"/>
  <c r="J15" i="16"/>
  <c r="G27" i="16"/>
  <c r="F29" i="16"/>
  <c r="E24" i="16"/>
  <c r="I37" i="16"/>
  <c r="G26" i="16"/>
  <c r="F32" i="16"/>
  <c r="K33" i="16"/>
  <c r="H29" i="16"/>
  <c r="J26" i="16"/>
  <c r="G35" i="16"/>
  <c r="K6" i="16"/>
  <c r="H12" i="16"/>
  <c r="E18" i="16"/>
  <c r="J35" i="16"/>
  <c r="H31" i="16"/>
  <c r="E12" i="16"/>
  <c r="I9" i="16"/>
  <c r="H32" i="16"/>
  <c r="I14" i="16"/>
  <c r="I21" i="16"/>
  <c r="H30" i="16"/>
  <c r="F33" i="16"/>
  <c r="E36" i="16"/>
  <c r="E35" i="16"/>
  <c r="G33" i="16"/>
  <c r="I26" i="16"/>
  <c r="F37" i="16"/>
  <c r="G19" i="16"/>
  <c r="H23" i="16"/>
  <c r="E31" i="16"/>
  <c r="G36" i="16"/>
  <c r="K25" i="16"/>
  <c r="K35" i="16"/>
  <c r="H16" i="16"/>
  <c r="J33" i="16"/>
  <c r="F15" i="16"/>
  <c r="H19" i="16"/>
  <c r="I35" i="16"/>
  <c r="K31" i="16"/>
  <c r="I34" i="16"/>
  <c r="I27" i="16"/>
  <c r="H26" i="16"/>
  <c r="F35" i="16"/>
  <c r="K14" i="16"/>
  <c r="K21" i="16"/>
  <c r="I22" i="16"/>
  <c r="G16" i="16"/>
  <c r="K5" i="16"/>
  <c r="K10" i="16"/>
  <c r="J25" i="16"/>
  <c r="I33" i="16"/>
  <c r="G23" i="16"/>
  <c r="F12" i="16"/>
  <c r="G10" i="16"/>
  <c r="J22" i="16"/>
  <c r="I25" i="16"/>
  <c r="E20" i="16"/>
  <c r="J37" i="16"/>
  <c r="J36" i="16"/>
  <c r="I16" i="16"/>
  <c r="H22" i="16"/>
  <c r="J14" i="16"/>
  <c r="J21" i="16"/>
  <c r="J24" i="16"/>
  <c r="F26" i="16"/>
  <c r="I28" i="16"/>
  <c r="F9" i="16"/>
  <c r="F30" i="16"/>
  <c r="K34" i="16"/>
  <c r="J28" i="16"/>
  <c r="J34" i="16"/>
  <c r="K27" i="16"/>
  <c r="J27" i="16"/>
  <c r="G37" i="16"/>
  <c r="K16" i="16"/>
  <c r="I17" i="16"/>
  <c r="H35" i="16"/>
  <c r="F19" i="16"/>
  <c r="K29" i="16"/>
  <c r="I32" i="16"/>
  <c r="J18" i="16"/>
  <c r="J9" i="16"/>
  <c r="J13" i="16"/>
  <c r="J30" i="16"/>
  <c r="H36" i="16"/>
  <c r="J5" i="16"/>
  <c r="K30" i="16"/>
  <c r="E32" i="16"/>
  <c r="G9" i="16"/>
  <c r="K37" i="16"/>
  <c r="I29" i="16"/>
  <c r="J16" i="16"/>
  <c r="E17" i="16"/>
  <c r="H37" i="16"/>
  <c r="G15" i="16"/>
  <c r="E27" i="16"/>
  <c r="G31" i="16"/>
  <c r="F34" i="16"/>
  <c r="K13" i="16"/>
  <c r="H21" i="16"/>
  <c r="K24" i="16"/>
  <c r="G34" i="16"/>
  <c r="G20" i="16"/>
  <c r="F28" i="16"/>
  <c r="G12" i="16"/>
  <c r="F20" i="16"/>
  <c r="G29" i="16"/>
  <c r="K28" i="16"/>
  <c r="K36" i="16"/>
  <c r="H25" i="16"/>
  <c r="J29" i="16"/>
  <c r="I36" i="16"/>
  <c r="G25" i="16"/>
  <c r="K15" i="16"/>
  <c r="K22" i="16"/>
  <c r="F31" i="16"/>
  <c r="K18" i="16"/>
  <c r="I4" i="16"/>
  <c r="K11" i="16"/>
  <c r="H9" i="16"/>
  <c r="E13" i="16"/>
  <c r="J17" i="16"/>
  <c r="J23" i="16"/>
  <c r="J31" i="16"/>
  <c r="H34" i="16"/>
  <c r="F36" i="16"/>
  <c r="G30" i="16"/>
  <c r="E33" i="16"/>
  <c r="G32" i="16"/>
  <c r="I31" i="16"/>
  <c r="I23" i="16"/>
  <c r="E30" i="16"/>
  <c r="J32" i="16"/>
  <c r="F2" i="16"/>
  <c r="K2" i="16"/>
  <c r="D2" i="16"/>
  <c r="H2" i="16"/>
  <c r="E2" i="16"/>
  <c r="G2" i="16"/>
  <c r="I2" i="16"/>
  <c r="J2" i="16"/>
  <c r="A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</author>
  </authors>
  <commentList>
    <comment ref="F3" authorId="0" shapeId="0" xr:uid="{91CF28B3-479A-9840-8697-2C0DB9A0FDB5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2019-2024</t>
        </r>
      </text>
    </comment>
    <comment ref="G3" authorId="0" shapeId="0" xr:uid="{0814630A-9FA8-334A-803C-8958339C3622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2019-2024
</t>
        </r>
      </text>
    </comment>
    <comment ref="H3" authorId="0" shapeId="0" xr:uid="{51DF3AB9-7DB5-B541-9BDF-45672BED97F2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2019-2024
</t>
        </r>
      </text>
    </comment>
    <comment ref="O3" authorId="0" shapeId="0" xr:uid="{E94C6FDD-C695-6943-BF6F-08B896ABFB24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2019–2024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P3" authorId="0" shapeId="0" xr:uid="{B4DC2160-1AC0-F344-9AC8-6DE3BCCC9E0E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2019–2024</t>
        </r>
      </text>
    </comment>
    <comment ref="R3" authorId="0" shapeId="0" xr:uid="{BCC5F41F-EAF3-744F-AC9D-555698C0B04A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Coal phaseout commitment and documented implementation alignment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</author>
  </authors>
  <commentList>
    <comment ref="C4" authorId="0" shapeId="0" xr:uid="{7012AE82-A277-E54C-B2F6-C6E50673F752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venir-Book"/>
          </rPr>
          <t xml:space="preserve">Zero means </t>
        </r>
        <r>
          <rPr>
            <b/>
            <sz val="10"/>
            <color rgb="FF000000"/>
            <rFont val="Avenir-Book"/>
          </rPr>
          <t xml:space="preserve">absence within the Berkeley dataset, which logs VCM activity in the 5 largest registries.
</t>
        </r>
        <r>
          <rPr>
            <sz val="10"/>
            <color rgb="FF000000"/>
            <rFont val="Avenir-Book"/>
          </rPr>
          <t>It does not claim that no activity exists anywhere.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</author>
  </authors>
  <commentList>
    <comment ref="G3" authorId="0" shapeId="0" xr:uid="{5DEA7A5D-6B66-904F-955D-B92FE6F16008}">
      <text>
        <r>
          <rPr>
            <b/>
            <sz val="10"/>
            <color rgb="FF000000"/>
            <rFont val="Tahoma"/>
            <family val="2"/>
          </rPr>
          <t xml:space="preserve">gt: Retained as diagnostic but not included in indicator scoring. 
</t>
        </r>
        <r>
          <rPr>
            <sz val="10"/>
            <color rgb="FF000000"/>
            <rFont val="Avenir-Book"/>
          </rPr>
          <t xml:space="preserve">
</t>
        </r>
        <r>
          <rPr>
            <sz val="10"/>
            <color rgb="FF000000"/>
            <rFont val="Avenir-Book"/>
          </rPr>
          <t xml:space="preserve">A </t>
        </r>
        <r>
          <rPr>
            <b/>
            <sz val="10"/>
            <color rgb="FF000000"/>
            <rFont val="Avenir-Book"/>
          </rPr>
          <t xml:space="preserve">zero for high-income countries </t>
        </r>
        <r>
          <rPr>
            <sz val="10"/>
            <color rgb="FF000000"/>
            <rFont val="Avenir-Book"/>
          </rPr>
          <t xml:space="preserve">does not mean that they have no private infrastructure investment experience. It means the database does not cover them comparably.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Coz World Bank's PPI </t>
        </r>
        <r>
          <rPr>
            <sz val="10"/>
            <color rgb="FF000000"/>
            <rFont val="Avenir-Book"/>
          </rPr>
          <t xml:space="preserve">is designed for </t>
        </r>
        <r>
          <rPr>
            <b/>
            <sz val="10"/>
            <color rgb="FF000000"/>
            <rFont val="Avenir-Book"/>
          </rPr>
          <t>low- and middle-income countries</t>
        </r>
        <r>
          <rPr>
            <sz val="10"/>
            <color rgb="FF000000"/>
            <rFont val="Avenir-Book"/>
          </rPr>
          <t xml:space="preserve">, not for globally comparable coverage of every country in the index
</t>
        </r>
      </text>
    </comment>
    <comment ref="H3" authorId="0" shapeId="0" xr:uid="{23CB521E-4A30-E047-8972-17DDDA4DA35A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venir-Book"/>
          </rPr>
          <t xml:space="preserve">gt: Retained as diagnostic but not included in indicator scoring. </t>
        </r>
        <r>
          <rPr>
            <sz val="10"/>
            <color rgb="FF000000"/>
            <rFont val="Avenir-Book"/>
          </rPr>
          <t xml:space="preserve">
</t>
        </r>
        <r>
          <rPr>
            <sz val="10"/>
            <color rgb="FF000000"/>
            <rFont val="Avenir-Book"/>
          </rPr>
          <t xml:space="preserve">A </t>
        </r>
        <r>
          <rPr>
            <b/>
            <sz val="10"/>
            <color rgb="FF000000"/>
            <rFont val="Avenir-Book"/>
          </rPr>
          <t xml:space="preserve">zero for high-income countries </t>
        </r>
        <r>
          <rPr>
            <sz val="10"/>
            <color rgb="FF000000"/>
            <rFont val="Avenir-Book"/>
          </rPr>
          <t xml:space="preserve">does not mean that they have no private infrastructure investment experience. It means the database does not cover them comparably.
</t>
        </r>
        <r>
          <rPr>
            <sz val="10"/>
            <color rgb="FF000000"/>
            <rFont val="Avenir-Book"/>
          </rPr>
          <t xml:space="preserve">Coz World Bank's PPI is designed for </t>
        </r>
        <r>
          <rPr>
            <b/>
            <sz val="10"/>
            <color rgb="FF000000"/>
            <rFont val="Avenir-Book"/>
          </rPr>
          <t>low- and middle-income countries</t>
        </r>
        <r>
          <rPr>
            <sz val="10"/>
            <color rgb="FF000000"/>
            <rFont val="Avenir-Book"/>
          </rPr>
          <t xml:space="preserve">, not for globally comparable coverage of every country in the index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</author>
  </authors>
  <commentList>
    <comment ref="K1" authorId="0" shapeId="0" xr:uid="{E2553065-475A-AD4C-AD27-2162687518E6}">
      <text>
        <r>
          <rPr>
            <b/>
            <sz val="10"/>
            <color rgb="FF000000"/>
            <rFont val="Tahoma"/>
            <family val="2"/>
          </rPr>
          <t>gt: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venir-Book"/>
          </rPr>
          <t xml:space="preserve">rule requires at least two conditions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<sst xmlns="http://schemas.openxmlformats.org/spreadsheetml/2006/main" count="1822" uniqueCount="1139">
  <si>
    <t>Indicators</t>
  </si>
  <si>
    <t>Indicator weights</t>
  </si>
  <si>
    <t>Country</t>
  </si>
  <si>
    <t>Country Code (ISO3)</t>
  </si>
  <si>
    <t>P1_Indicator2_Score</t>
  </si>
  <si>
    <t>P1_Indicator3_Score</t>
  </si>
  <si>
    <t xml:space="preserve">P1_Score </t>
  </si>
  <si>
    <t>P2_Indicator1_Score</t>
  </si>
  <si>
    <t>P2_Indicator2_Score</t>
  </si>
  <si>
    <t>P2_Indicator3_Score</t>
  </si>
  <si>
    <t>P2_Indicator4_Score</t>
  </si>
  <si>
    <t>P2_Indicator5_Score</t>
  </si>
  <si>
    <t>P2_Indicator6_Score</t>
  </si>
  <si>
    <t xml:space="preserve">P2_Score </t>
  </si>
  <si>
    <t>P3_Indicator1_Score</t>
  </si>
  <si>
    <t>P3_Indicator2_Score</t>
  </si>
  <si>
    <t>P3_Indicator3_Score</t>
  </si>
  <si>
    <t>P3_Indicator4_Score</t>
  </si>
  <si>
    <t>P3_Indicator5_Score</t>
  </si>
  <si>
    <t xml:space="preserve">P3_Score </t>
  </si>
  <si>
    <t>Aruba</t>
  </si>
  <si>
    <t>ABW</t>
  </si>
  <si>
    <t>Andorra</t>
  </si>
  <si>
    <t>ADO</t>
  </si>
  <si>
    <t>Afghanistan</t>
  </si>
  <si>
    <t>AFG</t>
  </si>
  <si>
    <t>Angola</t>
  </si>
  <si>
    <t>AGO</t>
  </si>
  <si>
    <t>Anguilla</t>
  </si>
  <si>
    <t>AIA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</si>
  <si>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</si>
  <si>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</si>
  <si>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</si>
  <si>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</si>
  <si>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</si>
  <si>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</si>
  <si>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</si>
  <si>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</si>
  <si>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</si>
  <si>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</si>
  <si>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</si>
  <si>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</si>
  <si>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</si>
  <si>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</si>
  <si>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</si>
  <si>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</si>
  <si>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</si>
  <si>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</si>
  <si>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</si>
  <si>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</si>
  <si>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</si>
  <si>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</si>
  <si>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</si>
  <si>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</si>
  <si>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</si>
  <si>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</si>
  <si>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</si>
  <si>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</si>
  <si>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</si>
  <si>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</si>
  <si>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</si>
  <si>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</si>
  <si>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</si>
  <si>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</si>
  <si>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</si>
  <si>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</si>
  <si>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</si>
  <si>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</si>
  <si>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</si>
  <si>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</si>
  <si>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</si>
  <si>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</si>
  <si>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</si>
  <si>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</si>
  <si>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</si>
  <si>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</si>
  <si>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</si>
  <si>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</si>
  <si>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</si>
  <si>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</si>
  <si>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</si>
  <si>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</si>
  <si>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</si>
  <si>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</si>
  <si>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</si>
  <si>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</si>
  <si>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</si>
  <si>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</si>
  <si>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</si>
  <si>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</si>
  <si>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</si>
  <si>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</si>
  <si>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</si>
  <si>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</si>
  <si>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Côte d’Ivoire</t>
  </si>
  <si>
    <t>CIV</t>
  </si>
  <si>
    <t>Cameroon</t>
  </si>
  <si>
    <t>CMR</t>
  </si>
  <si>
    <t>Congo, Dem. Rep.</t>
  </si>
  <si>
    <t>COD</t>
  </si>
  <si>
    <t>Congo, Rep.</t>
  </si>
  <si>
    <t>COG</t>
  </si>
  <si>
    <t>Cook Islands</t>
  </si>
  <si>
    <t>COK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</si>
  <si>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</si>
  <si>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</si>
  <si>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</si>
  <si>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</si>
  <si>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</si>
  <si>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</si>
  <si>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</si>
  <si>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</si>
  <si>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</si>
  <si>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</si>
  <si>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</si>
  <si>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</si>
  <si>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</si>
  <si>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</si>
  <si>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</si>
  <si>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</si>
  <si>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</si>
  <si>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</si>
  <si>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</si>
  <si>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</si>
  <si>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</si>
  <si>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</si>
  <si>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</si>
  <si>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</si>
  <si>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</si>
  <si>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</si>
  <si>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</si>
  <si>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</si>
  <si>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</si>
  <si>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</si>
  <si>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</si>
  <si>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</si>
  <si>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</si>
  <si>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</si>
  <si>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</si>
  <si>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</si>
  <si>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</si>
  <si>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</si>
  <si>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</si>
  <si>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</si>
  <si>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</si>
  <si>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</si>
  <si>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</si>
  <si>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</si>
  <si>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</si>
  <si>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</si>
  <si>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</si>
  <si>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</si>
  <si>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</si>
  <si>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</si>
  <si>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</si>
  <si>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</si>
  <si>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</si>
  <si>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</si>
  <si>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</si>
  <si>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</si>
  <si>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</si>
  <si>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</si>
  <si>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</si>
  <si>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</si>
  <si>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</si>
  <si>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</si>
  <si>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</si>
  <si>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</si>
  <si>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</si>
  <si>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</si>
  <si>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</si>
  <si>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</si>
  <si>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</si>
  <si>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</si>
  <si>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French Guiana</t>
  </si>
  <si>
    <t>GUF</t>
  </si>
  <si>
    <t>Guam</t>
  </si>
  <si>
    <t>GUM</t>
  </si>
  <si>
    <t>Guyana</t>
  </si>
  <si>
    <t>GUY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</si>
  <si>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</si>
  <si>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</si>
  <si>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</si>
  <si>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</si>
  <si>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</si>
  <si>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</si>
  <si>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</si>
  <si>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</si>
  <si>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</si>
  <si>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</si>
  <si>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</si>
  <si>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</si>
  <si>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</si>
  <si>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</si>
  <si>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</si>
  <si>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</si>
  <si>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</si>
  <si>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</si>
  <si>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</si>
  <si>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</si>
  <si>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</si>
  <si>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</si>
  <si>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</si>
  <si>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</si>
  <si>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</si>
  <si>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</si>
  <si>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</si>
  <si>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Jersey, Channel Islands</t>
  </si>
  <si>
    <t>JEY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</si>
  <si>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</si>
  <si>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</si>
  <si>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</si>
  <si>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</si>
  <si>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</si>
  <si>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</si>
  <si>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</si>
  <si>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</si>
  <si>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KGZ</t>
  </si>
  <si>
    <t>Cambodia</t>
  </si>
  <si>
    <t>KHM</t>
  </si>
  <si>
    <t>Kiribati</t>
  </si>
  <si>
    <t>KIR</t>
  </si>
  <si>
    <t>St. Kitts and Nevis</t>
  </si>
  <si>
    <t>KNA</t>
  </si>
  <si>
    <t>KOR</t>
  </si>
  <si>
    <t>Kuwait</t>
  </si>
  <si>
    <t>KWT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</si>
  <si>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</si>
  <si>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</si>
  <si>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</si>
  <si>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</si>
  <si>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</si>
  <si>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</si>
  <si>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</si>
  <si>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</si>
  <si>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</si>
  <si>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</si>
  <si>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</si>
  <si>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</si>
  <si>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</si>
  <si>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</si>
  <si>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</si>
  <si>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</si>
  <si>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</si>
  <si>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</si>
  <si>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</si>
  <si>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</si>
  <si>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</si>
  <si>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</si>
  <si>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</si>
  <si>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</si>
  <si>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</si>
  <si>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</si>
  <si>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</si>
  <si>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</si>
  <si>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</si>
  <si>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</si>
  <si>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</si>
  <si>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</si>
  <si>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</si>
  <si>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</si>
  <si>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</si>
  <si>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</si>
  <si>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</si>
  <si>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</si>
  <si>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</si>
  <si>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</si>
  <si>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</si>
  <si>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</si>
  <si>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</si>
  <si>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</si>
  <si>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</si>
  <si>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</si>
  <si>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</si>
  <si>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</si>
  <si>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</si>
  <si>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</si>
  <si>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</si>
  <si>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</si>
  <si>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</si>
  <si>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</si>
  <si>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</si>
  <si>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</si>
  <si>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</si>
  <si>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</si>
  <si>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</si>
  <si>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</si>
  <si>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</si>
  <si>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</si>
  <si>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</si>
  <si>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</si>
  <si>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</si>
  <si>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</si>
  <si>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</si>
  <si>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</si>
  <si>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</si>
  <si>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</si>
  <si>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</si>
  <si>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Niue</t>
  </si>
  <si>
    <t>NIU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</si>
  <si>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</si>
  <si>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</si>
  <si>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</si>
  <si>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</si>
  <si>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</si>
  <si>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</si>
  <si>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</si>
  <si>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</si>
  <si>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</si>
  <si>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</si>
  <si>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</si>
  <si>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</si>
  <si>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</si>
  <si>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</si>
  <si>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</si>
  <si>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</si>
  <si>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</si>
  <si>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</si>
  <si>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</si>
  <si>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</si>
  <si>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</si>
  <si>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</si>
  <si>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</si>
  <si>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</si>
  <si>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</si>
  <si>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</si>
  <si>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 (U.S.)</t>
  </si>
  <si>
    <t>PRI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</si>
  <si>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</si>
  <si>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</si>
  <si>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</si>
  <si>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</si>
  <si>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</si>
  <si>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</si>
  <si>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</si>
  <si>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</si>
  <si>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</si>
  <si>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</si>
  <si>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</si>
  <si>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Réunion</t>
  </si>
  <si>
    <t>REU</t>
  </si>
  <si>
    <t>Romania</t>
  </si>
  <si>
    <t>ROU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</si>
  <si>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</si>
  <si>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</si>
  <si>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</si>
  <si>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</si>
  <si>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</si>
  <si>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</si>
  <si>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</si>
  <si>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</si>
  <si>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</si>
  <si>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</si>
  <si>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</si>
  <si>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</si>
  <si>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</si>
  <si>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</si>
  <si>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</si>
  <si>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</si>
  <si>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</si>
  <si>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</si>
  <si>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</si>
  <si>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Federal Republic of Somalia</t>
  </si>
  <si>
    <t>SOM</t>
  </si>
  <si>
    <t>Serbia</t>
  </si>
  <si>
    <t>SRB</t>
  </si>
  <si>
    <t>South Sudan</t>
  </si>
  <si>
    <t>SSD</t>
  </si>
  <si>
    <t>São Tomé and Príncipe</t>
  </si>
  <si>
    <t>STP</t>
  </si>
  <si>
    <t>Suriname</t>
  </si>
  <si>
    <t>SUR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</si>
  <si>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</si>
  <si>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</si>
  <si>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</si>
  <si>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</si>
  <si>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</si>
  <si>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</si>
  <si>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</si>
  <si>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</si>
  <si>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</si>
  <si>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</si>
  <si>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</si>
  <si>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</si>
  <si>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</si>
  <si>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</si>
  <si>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</si>
  <si>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</si>
  <si>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</si>
  <si>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</si>
  <si>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</si>
  <si>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</si>
  <si>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</si>
  <si>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</si>
  <si>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</si>
  <si>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</si>
  <si>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</si>
  <si>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</si>
  <si>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</si>
  <si>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</si>
  <si>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</si>
  <si>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</si>
  <si>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</si>
  <si>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</si>
  <si>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</si>
  <si>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</si>
  <si>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</si>
  <si>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</si>
  <si>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</si>
  <si>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</si>
  <si>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</si>
  <si>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</si>
  <si>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</si>
  <si>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</si>
  <si>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</si>
  <si>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</si>
  <si>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</si>
  <si>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</si>
  <si>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</si>
  <si>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</si>
  <si>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</si>
  <si>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</si>
  <si>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</si>
  <si>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</si>
  <si>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</si>
  <si>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</si>
  <si>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</si>
  <si>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</si>
  <si>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</si>
  <si>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</si>
  <si>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</si>
  <si>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</si>
  <si>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</si>
  <si>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</si>
  <si>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</si>
  <si>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</si>
  <si>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</si>
  <si>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</si>
  <si>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</si>
  <si>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</si>
  <si>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World Bank RISE Score (0-100)</t>
  </si>
  <si>
    <t>PILLAR 1</t>
  </si>
  <si>
    <t>PILLAR 2</t>
  </si>
  <si>
    <t>ISO3</t>
  </si>
  <si>
    <t>Notes</t>
  </si>
  <si>
    <t>VCM project activity</t>
  </si>
  <si>
    <t>VCM issuance scale</t>
  </si>
  <si>
    <t>VCM retirement activity</t>
  </si>
  <si>
    <t>Article 6 ITMO Volume</t>
  </si>
  <si>
    <t>Article 6 PACM Activities (Count)</t>
  </si>
  <si>
    <t>PILLAR 4</t>
  </si>
  <si>
    <t>Subnational</t>
  </si>
  <si>
    <t>Domestic financial depth</t>
  </si>
  <si>
    <t>Macroeconomic price stability</t>
  </si>
  <si>
    <t>Sovereign debt pressure</t>
  </si>
  <si>
    <t>Private energy infrastructure investment track record</t>
  </si>
  <si>
    <t>Private energy infrastructure project experience</t>
  </si>
  <si>
    <t>P5_Indicator1_Score</t>
  </si>
  <si>
    <t>P5_Indicator2_Score</t>
  </si>
  <si>
    <t>P5_Indicator3_Score</t>
  </si>
  <si>
    <t>P5_Indicator4_Score</t>
  </si>
  <si>
    <t>P5_Indicator5_Score</t>
  </si>
  <si>
    <t xml:space="preserve">P5_Score </t>
  </si>
  <si>
    <t>P4_Indicator1_Score</t>
  </si>
  <si>
    <t>P4_Indicator2_Score</t>
  </si>
  <si>
    <t>P4_Indicator4_Score</t>
  </si>
  <si>
    <t>P4_Indicator5_Score</t>
  </si>
  <si>
    <t>Labour rights and social dialogue environment</t>
  </si>
  <si>
    <t>Labour-market absorption risk</t>
  </si>
  <si>
    <t>Coal transition social exposure proxy</t>
  </si>
  <si>
    <t>P6_Indicator1_Score</t>
  </si>
  <si>
    <t>P6_Indicator2_Score</t>
  </si>
  <si>
    <t>P6_Indicator3_Score</t>
  </si>
  <si>
    <t xml:space="preserve">P6_Score </t>
  </si>
  <si>
    <t>Czech Republic</t>
  </si>
  <si>
    <t>Egypt</t>
  </si>
  <si>
    <t>Hong Kong</t>
  </si>
  <si>
    <t>Kyrgyzstan</t>
  </si>
  <si>
    <t>North Korea</t>
  </si>
  <si>
    <t>Russia</t>
  </si>
  <si>
    <t>Slovakia</t>
  </si>
  <si>
    <t>South Korea</t>
  </si>
  <si>
    <t>Vietnam</t>
  </si>
  <si>
    <t>Overall index score</t>
  </si>
  <si>
    <t>Rank</t>
  </si>
  <si>
    <t>Pillar weights</t>
  </si>
  <si>
    <t>Pillar 1 score
Energy system conditions</t>
  </si>
  <si>
    <t>Pillar 2 score
Policy and transition commitment</t>
  </si>
  <si>
    <t>Pillar 3 score
Governance and institutional capacity</t>
  </si>
  <si>
    <t>Pillar 4 score
Carbon market maturity</t>
  </si>
  <si>
    <t>Pillar 6 score
Just transition and social credibility</t>
  </si>
  <si>
    <t>Include in final index</t>
  </si>
  <si>
    <t>Implemented subnational only</t>
  </si>
  <si>
    <t>1</t>
  </si>
  <si>
    <t>2</t>
  </si>
  <si>
    <t>3</t>
  </si>
  <si>
    <t>Pillar</t>
  </si>
  <si>
    <t>None</t>
  </si>
  <si>
    <t>Provisional overlay-adjusted score</t>
  </si>
  <si>
    <t>Provisional overlay-adjusted rank</t>
  </si>
  <si>
    <t xml:space="preserve">P4_Score </t>
  </si>
  <si>
    <t>Parameter</t>
  </si>
  <si>
    <t>Value</t>
  </si>
  <si>
    <t>Coal Share Vmin</t>
  </si>
  <si>
    <t>Coal Share Vmax</t>
  </si>
  <si>
    <t>RE Share Vmin</t>
  </si>
  <si>
    <t>RE Share Vmax</t>
  </si>
  <si>
    <t>Wind/Solar Vmin</t>
  </si>
  <si>
    <t>Wind/Solar Vmax</t>
  </si>
  <si>
    <t>Emissions P5</t>
  </si>
  <si>
    <t>Emissions P95</t>
  </si>
  <si>
    <t>Component</t>
  </si>
  <si>
    <t>Condition</t>
  </si>
  <si>
    <t>Points</t>
  </si>
  <si>
    <t>Implementation status</t>
  </si>
  <si>
    <t>Implemented</t>
  </si>
  <si>
    <t>Under development</t>
  </si>
  <si>
    <t>Under consideration</t>
  </si>
  <si>
    <t>Jurisdiction level</t>
  </si>
  <si>
    <t>National or supranational</t>
  </si>
  <si>
    <t>Electricity and heat</t>
  </si>
  <si>
    <t>Yes</t>
  </si>
  <si>
    <t>In principle</t>
  </si>
  <si>
    <t>No, blank or not specified</t>
  </si>
  <si>
    <t>Fuels covered explicitly mentions coal</t>
  </si>
  <si>
    <t>Coal not mentioned or field missing</t>
  </si>
  <si>
    <t>Gross emissions coverage</t>
  </si>
  <si>
    <t>At least 70%</t>
  </si>
  <si>
    <t>Max component score 
(Total = 100)</t>
  </si>
  <si>
    <t>Instrument category</t>
  </si>
  <si>
    <t>Maximum final score</t>
  </si>
  <si>
    <t>Implemented national or supranational</t>
  </si>
  <si>
    <t>National or supranational under development</t>
  </si>
  <si>
    <t>Subnational under development</t>
  </si>
  <si>
    <t>National or supranational under consideration</t>
  </si>
  <si>
    <t>Subnational under consideration</t>
  </si>
  <si>
    <t>Abolished</t>
  </si>
  <si>
    <t>No qualifying instrument</t>
  </si>
  <si>
    <t>Caps are applied according to status and jurisdiction</t>
  </si>
  <si>
    <t>Abolished / No instrument</t>
  </si>
  <si>
    <t>Coal explicitly covered</t>
  </si>
  <si>
    <t>Carbon price (2024)</t>
  </si>
  <si>
    <t>50% to below 70%</t>
  </si>
  <si>
    <t>30% to below 50%</t>
  </si>
  <si>
    <t>15% to below 30%</t>
  </si>
  <si>
    <t>Above 0% to below 15%</t>
  </si>
  <si>
    <t>0% or missing</t>
  </si>
  <si>
    <t>Above US$80</t>
  </si>
  <si>
    <t>US$60 to US$80</t>
  </si>
  <si>
    <t>US$40 to below US$60</t>
  </si>
  <si>
    <t>US$20 to below US$40</t>
  </si>
  <si>
    <t>Above US$0 to below US$20</t>
  </si>
  <si>
    <t>US$0 or missing</t>
  </si>
  <si>
    <t>Indicator weights (v2)</t>
  </si>
  <si>
    <t>P2_Indicator7_Score</t>
  </si>
  <si>
    <t>Expansion ratio P95</t>
  </si>
  <si>
    <t>Construction ratio P95</t>
  </si>
  <si>
    <t>Coal slope P5</t>
  </si>
  <si>
    <t>Coal slope P95</t>
  </si>
  <si>
    <t>RE slope P5</t>
  </si>
  <si>
    <t>RE slope P95</t>
  </si>
  <si>
    <t>Emissions slope P5</t>
  </si>
  <si>
    <t>Emissions slope P95</t>
  </si>
  <si>
    <t>PILLAR 2
Policy and transition commitment</t>
  </si>
  <si>
    <t>Renewable energy policy and regulatory readiness</t>
  </si>
  <si>
    <t>Coal expansion pressure</t>
  </si>
  <si>
    <t>Coal construction pressure</t>
  </si>
  <si>
    <t>Emissions 5-Year Linear Slope (gCO2/kWh)</t>
  </si>
  <si>
    <t>Coal Share 5-Year Linear Slope (pp/yr)</t>
  </si>
  <si>
    <t>Renewables Share 5-Year Linear Slope (pp/yr)</t>
  </si>
  <si>
    <t>Operating coal capacity</t>
  </si>
  <si>
    <t>Coal share of electricity generation</t>
  </si>
  <si>
    <t>Renewable electricity share</t>
  </si>
  <si>
    <t>Wind and solar share</t>
  </si>
  <si>
    <t>Grid emissions intensity</t>
  </si>
  <si>
    <t>Proposed coal pipeline / operating coal capacity ratio</t>
  </si>
  <si>
    <t>Coal construction / operating coal capacity ratio</t>
  </si>
  <si>
    <t>Ember coal share of electricity generation (%)</t>
  </si>
  <si>
    <t>Ember renewable electricity share (%)</t>
  </si>
  <si>
    <t>Ember wind and solar share (%)</t>
  </si>
  <si>
    <t>Ember grid emissions intensity (gCO2e/kWh)</t>
  </si>
  <si>
    <t>P1_Indicator1_Score</t>
  </si>
  <si>
    <t>PILLAR 1
Energy system conditions</t>
  </si>
  <si>
    <t xml:space="preserve">Indicator 2 </t>
  </si>
  <si>
    <t xml:space="preserve">Indicator 3 </t>
  </si>
  <si>
    <t xml:space="preserve">Indicator 4 </t>
  </si>
  <si>
    <t>Coal share trend</t>
  </si>
  <si>
    <t xml:space="preserve">Indicator 5 </t>
  </si>
  <si>
    <t>Renewables share trend</t>
  </si>
  <si>
    <t xml:space="preserve">Indicator 6 </t>
  </si>
  <si>
    <t>Grid emissions intensity trend</t>
  </si>
  <si>
    <t>PILLAR 3
Governance and institutional capacity</t>
  </si>
  <si>
    <t>Government effectiveness</t>
  </si>
  <si>
    <t>Political stability</t>
  </si>
  <si>
    <t>World Bank Political Stability governance score (0-100)</t>
  </si>
  <si>
    <t>WB Government Effectiveness governance score (0-100)</t>
  </si>
  <si>
    <t>WB Regulatory Quality governance score 
(0-100)</t>
  </si>
  <si>
    <t>WB Rule of Law governance score (0-100)</t>
  </si>
  <si>
    <t>WB Control of Corruption governance score (0-100)</t>
  </si>
  <si>
    <t>Regulatory quality</t>
  </si>
  <si>
    <t>Rule of law</t>
  </si>
  <si>
    <t>Control of corruption</t>
  </si>
  <si>
    <t>Berkeley host country’s all-time project count</t>
  </si>
  <si>
    <t>Berkeley host country’s all-time credits issued</t>
  </si>
  <si>
    <t>Berkeley host country’s aggregate credits retired over 2020–2024</t>
  </si>
  <si>
    <t>Article 6 cooperation activity</t>
  </si>
  <si>
    <t>No. of bilateral agreements</t>
  </si>
  <si>
    <t>Article 6 mechanism activity</t>
  </si>
  <si>
    <t>PILLAR 4
Carbon market maturity</t>
  </si>
  <si>
    <t>World Bank WDI – Domestic credit to private sector (% of GDP)</t>
  </si>
  <si>
    <t>IMF WEO – General government gross debt (% of GDP)</t>
  </si>
  <si>
    <t>WB WDI – Inflation, consumer prices (annual %)</t>
  </si>
  <si>
    <t>PILLAR 6
Just transition and social credibility</t>
  </si>
  <si>
    <t>ITUC Global Rights Index 2024 rating</t>
  </si>
  <si>
    <t>World Bank WDI – unemployment, total (% of labour force)</t>
  </si>
  <si>
    <t>Eligibility gate</t>
  </si>
  <si>
    <t>Inclusion threshold</t>
  </si>
  <si>
    <t>Include where operating coal capacity exceeds 0 MW; gate only, not weighted.</t>
  </si>
  <si>
    <t>Indicator 1</t>
  </si>
  <si>
    <t>Indicator 2</t>
  </si>
  <si>
    <t>Indicator 3</t>
  </si>
  <si>
    <t>Indicator 4</t>
  </si>
  <si>
    <t>GEM operating coal capacity (MW)</t>
  </si>
  <si>
    <t>Operating coal capacity – proxy for opportunity scale</t>
  </si>
  <si>
    <t>Log1p ceiling</t>
  </si>
  <si>
    <t>Full-score cap</t>
  </si>
  <si>
    <t>Positive ITMO score</t>
  </si>
  <si>
    <t>Any positive ITMO volume receives 100.</t>
  </si>
  <si>
    <t>PACM-only score</t>
  </si>
  <si>
    <t>Maximum across the 73 gated countries; highest value receives 100 after log1p scaling.</t>
  </si>
  <si>
    <t>Five or more bilateral agreements receive 100.</t>
  </si>
  <si>
    <t>Indicator 5</t>
  </si>
  <si>
    <t>Positive PACM activity without ITMO transfers receives 50.</t>
  </si>
  <si>
    <t>No-activity score</t>
  </si>
  <si>
    <t>No ITMO transfers and no PACM activity receives 0.</t>
  </si>
  <si>
    <t>PILLAR 5</t>
  </si>
  <si>
    <t>Domestic credit full-score cap</t>
  </si>
  <si>
    <t>Values at or above 200% of GDP receive 100.</t>
  </si>
  <si>
    <t>Inflation band 1 upper bound</t>
  </si>
  <si>
    <t>Absolute inflation of 0–5% receives 100.</t>
  </si>
  <si>
    <t>Inflation band 2 upper bound</t>
  </si>
  <si>
    <t>Absolute inflation above 5% to 10% receives 75.</t>
  </si>
  <si>
    <t>Inflation band 3 upper bound</t>
  </si>
  <si>
    <t>Absolute inflation above 10% to 20% receives 50.</t>
  </si>
  <si>
    <t>Inflation band 4 upper bound</t>
  </si>
  <si>
    <t>Absolute inflation above 20% to 50% receives 25; above 50% receives 0.</t>
  </si>
  <si>
    <t>Sovereign debt zero-score cap</t>
  </si>
  <si>
    <t>Debt of 150% of GDP or above receives 0.</t>
  </si>
  <si>
    <t>PPI investment log1p ceiling</t>
  </si>
  <si>
    <t>PPI project-count log1p ceiling</t>
  </si>
  <si>
    <t>PILLAR 6</t>
  </si>
  <si>
    <t>ITUC rating score step</t>
  </si>
  <si>
    <t>Rating 1=100, 2=80, 3=60, 4=40, 5=20 and 5+=0.</t>
  </si>
  <si>
    <t>ITUC improving adjustment</t>
  </si>
  <si>
    <t>Add 5 points where the ITUC trend is improving.</t>
  </si>
  <si>
    <t>ITUC worsening adjustment</t>
  </si>
  <si>
    <t>Deduct 5 points where the ITUC trend is worsening.</t>
  </si>
  <si>
    <t>Unemployment band 1 upper bound</t>
  </si>
  <si>
    <t>Unemployment of 0–5% receives 100.</t>
  </si>
  <si>
    <t>Unemployment band 2 upper bound</t>
  </si>
  <si>
    <t>Unemployment above 5% to 10% receives 75.</t>
  </si>
  <si>
    <t>Unemployment band 3 upper bound</t>
  </si>
  <si>
    <t>Unemployment above 10% to 20% receives 50.</t>
  </si>
  <si>
    <t>Unemployment band 4 upper bound</t>
  </si>
  <si>
    <t>Unemployment above 20% to 30% receives 25; above 30% receives 0.</t>
  </si>
  <si>
    <t>Coal exposure log1p ceiling</t>
  </si>
  <si>
    <t>WB WDI – Investment in energy with private participation 2020–2024 (current USD)</t>
  </si>
  <si>
    <t>WB Private Participation in Infrastructure 2020–2024 (project count)</t>
  </si>
  <si>
    <t>Item</t>
  </si>
  <si>
    <t>Summary</t>
  </si>
  <si>
    <t>Country universe</t>
  </si>
  <si>
    <t>Output</t>
  </si>
  <si>
    <t>Scoring</t>
  </si>
  <si>
    <t>Data basis</t>
  </si>
  <si>
    <t>Overlay</t>
  </si>
  <si>
    <t>Missing data</t>
  </si>
  <si>
    <t>Model at a glance</t>
  </si>
  <si>
    <t>Weight</t>
  </si>
  <si>
    <t>Pillar overview</t>
  </si>
  <si>
    <t>Indicator reference</t>
  </si>
  <si>
    <t>PILLAR 1 SCORE
Energy system conditions</t>
  </si>
  <si>
    <t>PILLAR 2 SCORE
Policy and transition commitment</t>
  </si>
  <si>
    <t>PILLAR 3 SCORE
Governance and institutional capacity</t>
  </si>
  <si>
    <t>PILLAR 4 SCORE
Carbon market maturity</t>
  </si>
  <si>
    <t>PILLAR 6 SCORE
Just transition and social credibility</t>
  </si>
  <si>
    <t>PARAMETERS</t>
  </si>
  <si>
    <t>Indicator 7</t>
  </si>
  <si>
    <t>Indicator</t>
  </si>
  <si>
    <t>Metric and source</t>
  </si>
  <si>
    <t>1. Energy system conditions</t>
  </si>
  <si>
    <t>2. Policy and transition commitment</t>
  </si>
  <si>
    <t>Renewable Energy score, 0–100 – World Bank RISE</t>
  </si>
  <si>
    <t>Direct 0–100 score</t>
  </si>
  <si>
    <t>3. Governance and institutional capacity</t>
  </si>
  <si>
    <t>4. Carbon market maturity</t>
  </si>
  <si>
    <t>Consumer-price inflation, annual % – World Bank WDI</t>
  </si>
  <si>
    <t>6. Just transition and social credibility</t>
  </si>
  <si>
    <t>Operating coal MW per million people – GEM and World Bank population</t>
  </si>
  <si>
    <t>Lower is better – reverse log1p scaling</t>
  </si>
  <si>
    <t>Data year</t>
  </si>
  <si>
    <t>2019–2024</t>
  </si>
  <si>
    <t>2020–2024</t>
  </si>
  <si>
    <t>January 2026 capacity; 2024 population</t>
  </si>
  <si>
    <t>January 2026</t>
  </si>
  <si>
    <t>2024</t>
  </si>
  <si>
    <t>2023</t>
  </si>
  <si>
    <t>Estimate</t>
  </si>
  <si>
    <t>Indicators normalised to 0–100, weighted within pillars, then combined</t>
  </si>
  <si>
    <t>2024 is the principal base year, with disclosed exceptions for dynamic trackers, multi-year windows and less frequently updated datasets</t>
  </si>
  <si>
    <t>Market-confidence evidence adjusts indicator weights, not country data</t>
  </si>
  <si>
    <t>Missing observations are estimated separately and clearly flagged</t>
  </si>
  <si>
    <t>Indicator / Pillar Score based on estimate</t>
  </si>
  <si>
    <t>Latest available 2019 value carried forward; Ember. https://ember-energy.org/data/electricity-data-explorer/</t>
  </si>
  <si>
    <t>European peer median; Ember 2024. https://ember-energy.org/data/electricity-data-explorer/</t>
  </si>
  <si>
    <t>Sub-Saharan Africa peer median; WB RISE 2023. https://rise.esmap.org/</t>
  </si>
  <si>
    <t>Southeast Asia peer median; WB RISE 2023. https://rise.esmap.org/</t>
  </si>
  <si>
    <t>East Asia peer median; WB RISE 2023. https://rise.esmap.org/</t>
  </si>
  <si>
    <t>Oceania peer median; WB RISE 2023. https://rise.esmap.org/</t>
  </si>
  <si>
    <t>East Asia lower-quartile proxy; WB RISE 2023. https://rise.esmap.org/</t>
  </si>
  <si>
    <t>South Asia peer median; Ember trend data. https://ember-energy.org/data/electricity-data-explorer/</t>
  </si>
  <si>
    <t>Europe peer median; WB RISE 2023. https://rise.esmap.org/</t>
  </si>
  <si>
    <t>European peer median; Ember trend data. https://ember-energy.org/data/electricity-data-explorer/</t>
  </si>
  <si>
    <t>France proxy for territory; WGI 2024. https://www.worldbank.org/en/publication/worldwide-governance-indicators</t>
  </si>
  <si>
    <t>North America peer median; WB WDI. https://data.worldbank.org/</t>
  </si>
  <si>
    <t>Latest available 2023 value carried forward; WB WDI. https://data.worldbank.org/</t>
  </si>
  <si>
    <t>Southeast Asia peer median; WB WDI. https://data.worldbank.org/</t>
  </si>
  <si>
    <t>France proxy for territory; WB WDI. https://data.worldbank.org/</t>
  </si>
  <si>
    <t>France proxy for territory; IMF WEO. https://www.imf.org/en/Publications/WEO/weo-database</t>
  </si>
  <si>
    <t>Sub-Saharan Africa peer median; WB WDI. https://data.worldbank.org/</t>
  </si>
  <si>
    <t>East Asia lower-quartile proxy; WB WDI. https://data.worldbank.org/</t>
  </si>
  <si>
    <t>East Asia peer median; IMF WEO. https://www.imf.org/en/Publications/WEO/weo-database</t>
  </si>
  <si>
    <t>Latin America &amp; Caribbean peer median; WB WDI. https://data.worldbank.org/</t>
  </si>
  <si>
    <t>Europe peer median; WB WDI. https://data.worldbank.org/</t>
  </si>
  <si>
    <t>South Asia peer median; WB WDI. https://data.worldbank.org/</t>
  </si>
  <si>
    <t>East Asia peer median; WB WDI. https://data.worldbank.org/</t>
  </si>
  <si>
    <t>East Asia peer median; WB WDI CPI. https://data.worldbank.org/</t>
  </si>
  <si>
    <t>East Asia peer median; WB PPI 2020–2024. https://data.worldbank.org/</t>
  </si>
  <si>
    <t>Estimated values for missing data</t>
  </si>
  <si>
    <t>AI was used to estimate missing values across indicators, in this order of preference:</t>
  </si>
  <si>
    <t>3. Regional peer median</t>
  </si>
  <si>
    <t>1. Latest available value carried forward</t>
  </si>
  <si>
    <t>2. Parent-country proxy for territories</t>
  </si>
  <si>
    <t>4. A more conservative regional proxy where a median appeared unrealistic</t>
  </si>
  <si>
    <t>All estimated values are highlighted in grey in the Pillar tabs</t>
  </si>
  <si>
    <t>Corresponding indicator scores and pillar scores are highlighted in blue</t>
  </si>
  <si>
    <t>Estimated values and rationale</t>
  </si>
  <si>
    <t>5+</t>
  </si>
  <si>
    <t>Regional/parent peer proxy; ITUC 2024. https://www.ituc-csi.org/global-rights-index</t>
  </si>
  <si>
    <t>Matched alternate UNDP name; HDI 2023. https://hdr.undp.org/data-center</t>
  </si>
  <si>
    <t>European peer median; ILO social protection. https://rshiny.ilo.org/dataexplorer/</t>
  </si>
  <si>
    <t>European peer median; WB/ILO unemployment. https://data.worldbank.org/</t>
  </si>
  <si>
    <t>European peer median; UNDP HDI. https://hdr.undp.org/data-center</t>
  </si>
  <si>
    <t>France proxy for territory; UNDP HDI. https://hdr.undp.org/data-center</t>
  </si>
  <si>
    <t>China proxy; ILO social protection. https://rshiny.ilo.org/dataexplorer/</t>
  </si>
  <si>
    <t>East Asia peer median; WB/ILO unemployment. https://data.worldbank.org/</t>
  </si>
  <si>
    <t>East Asia peer median; UNDP HDI. https://hdr.undp.org/data-center</t>
  </si>
  <si>
    <t>Latest available 2021 value carried forward; WB/ILO. https://data.worldbank.org/</t>
  </si>
  <si>
    <t>The Berkeley database records projects, issuances and retirements reported by major voluntary registries. It does not capture every national registry, independent programme or over-the-counter trade. The current Berkeley page lists six registries: ACR, ART, CAR, Gold Standard, Isometric and Verra.</t>
  </si>
  <si>
    <t>0 in indicators 1 to 3 means there were no records in the Berkeley database, not necessarily no VCM activity anywhere</t>
  </si>
  <si>
    <t>Missing VCM data notes</t>
  </si>
  <si>
    <t>PILLAR 5
Macro-financial conditions</t>
  </si>
  <si>
    <t>5. Macro-financial conditions</t>
  </si>
  <si>
    <t>Each estimate is placed in its corresponding indicator column</t>
  </si>
  <si>
    <t>Brief method and source note stated for each estimate</t>
  </si>
  <si>
    <t>(millions) – UNCTAD 2024 population estimate used because Taiwan is absent from the World Bank population extract. https://unctadstat.unctad.org/CountryProfile/GeneralProfile/en-GB/158/index.html</t>
  </si>
  <si>
    <t>Exception: Taiwan’s missing 2024 population denominator used to calculate coal capacity per million people was added in 'Pillar-6'!$H$99</t>
  </si>
  <si>
    <t>4 [old]</t>
  </si>
  <si>
    <t>5 (input) [old]</t>
  </si>
  <si>
    <t>Article 6 cooperation activity  [old]</t>
  </si>
  <si>
    <t>Article 6 mechanism activity [old]</t>
  </si>
  <si>
    <t>5 [old]</t>
  </si>
  <si>
    <t>Article 6 operational maturity score</t>
  </si>
  <si>
    <t>UNEPCCC</t>
  </si>
  <si>
    <t>Article 6 institutional readiness</t>
  </si>
  <si>
    <t>Article 6 operational maturity</t>
  </si>
  <si>
    <t>UNEP-CCC Article 6 Pipeline, updated 30 June 2026</t>
  </si>
  <si>
    <t>Institutional milestone points</t>
  </si>
  <si>
    <t>Each of five recorded milestones contributes 20 points.</t>
  </si>
  <si>
    <t>Stage 1 score</t>
  </si>
  <si>
    <t>Activity identified or proposed.</t>
  </si>
  <si>
    <t>Stage 2 score</t>
  </si>
  <si>
    <t>Registered A6.2 activity or host-approved PACM activity.</t>
  </si>
  <si>
    <t>Stage 3 score</t>
  </si>
  <si>
    <t>Mitigation outcomes issued or PACM activity registered.</t>
  </si>
  <si>
    <t>Stage 4 score</t>
  </si>
  <si>
    <t>ITMO transfer/receipt or A6.4ER issuance recorded.</t>
  </si>
  <si>
    <t>Article 6 bilateral agreements [old]</t>
  </si>
  <si>
    <t>P4_Indicator4_Score [old]</t>
  </si>
  <si>
    <t>P4_Indicator5_Score [old]</t>
  </si>
  <si>
    <t xml:space="preserve">However, China and France's scores are not applied to Hong Kong and New Caledonia respectively, as associating parent-country activity unrelated to the jurisdiction itself would be double-counting and would materially distort rankings </t>
  </si>
  <si>
    <t xml:space="preserve">For Article 6 data: </t>
  </si>
  <si>
    <t>China said the Paris Agreement applies to Hong Kong, while France reports New Caledonia under its Paris Agreement commitments (https://treaties.un.org/pages/ViewDetails.aspx?chapter=27&amp;clang=_en&amp;mtdsg_no=XXVII-7-d&amp;src=treaty)</t>
  </si>
  <si>
    <t>0 indicates that no separate jurisdiction-specific Article 6 institutional milestone or operational activity are recorded in the UNEP-CCC dataset</t>
  </si>
  <si>
    <t>Kosovo is not listed as a Paris Agreement Party so no independent Article 6 activity was scored</t>
  </si>
  <si>
    <t>Taiwan is not listed as a Paris Agreement Party so no independent Article 6 activity was scored</t>
  </si>
  <si>
    <t>PILLAR 5 SCORE
Macro-financial conditions</t>
  </si>
  <si>
    <t>Pillar 5 score
Macro-financial conditions</t>
  </si>
  <si>
    <t>P4_Indicator3_Score</t>
  </si>
  <si>
    <t>World Bank FY2024/25 annual-average inflation forecast used as nearest available 2024 proxy. https://documents1.worldbank.org/curated/en/099121024092015654/pdf/P507203-0fc16ea4-322f-4325-ba69-e1227abb7375.pdf</t>
  </si>
  <si>
    <t>Official 2024 annual-average inflation; ISEE New Caledonia. https://www.isee.nc/component/phocadownload/category/143-bilan-economique-et-social?download=2331:synthese-annuelle-2024-prix</t>
  </si>
  <si>
    <t>Conservative upper-quartile East Asian peer estimate; official 2024 CPI unavailable. World Bank WDI 2024. https://data.worldbank.org/indicator/FP.CPI.TOTL.ZG</t>
  </si>
  <si>
    <t>IMF WEO 2024 annual-average consumer-price inflation. https://www.imf.org/external/datamapper/PCPIPCH@WEO/TJK?year=2024</t>
  </si>
  <si>
    <t>IMF WEO 2024 annual-average consumer-price inflation. https://www.imf.org/external/datamapper/PCPIPCH@WEO/ZWE?year=2024</t>
  </si>
  <si>
    <t>UNDP developing-country average used as conservative proxy because DPRK HDI is unavailable owing to missing mean-schooling and GNI components; UNDP HDR 2025. https://hdr.undp.org/sites/default/files/2025_HDR/HDR25_Statistical_Annex_HDI_Table.pdf</t>
  </si>
  <si>
    <t>Countries with the most estimated values</t>
  </si>
  <si>
    <t>Estimated weighted inputs</t>
  </si>
  <si>
    <t>All countries are retained because the eligibility rule was operating coal capacity, not data completeness</t>
  </si>
  <si>
    <t xml:space="preserve">Dropping any of these countries would: </t>
  </si>
  <si>
    <t>• exclude several substantively important coal jurisdictions</t>
  </si>
  <si>
    <t>• favour jurisdictions with stronger statistical systems;</t>
  </si>
  <si>
    <t>• change your coal-dependent country universe;</t>
  </si>
  <si>
    <t>• reduce global comparability</t>
  </si>
  <si>
    <t>Classification</t>
  </si>
  <si>
    <t>0–1</t>
  </si>
  <si>
    <t>Higher data confidence</t>
  </si>
  <si>
    <t>2–3</t>
  </si>
  <si>
    <t>Moderate data confidence</t>
  </si>
  <si>
    <t>4 or more</t>
  </si>
  <si>
    <t>Lower data confidence</t>
  </si>
  <si>
    <t>Data-confidence level</t>
  </si>
  <si>
    <t xml:space="preserve">Brunei </t>
  </si>
  <si>
    <t>Number of countries</t>
  </si>
  <si>
    <t>Eligible</t>
  </si>
  <si>
    <t>Base index rank</t>
  </si>
  <si>
    <t>Base index score</t>
  </si>
  <si>
    <t>PILLAR 1 score
Energy system conditions</t>
  </si>
  <si>
    <t>PILLAR 2 score
Policy and transition commitment</t>
  </si>
  <si>
    <t>PILLAR 3 score
Governance and institutional capacity</t>
  </si>
  <si>
    <t>PILLAR 4 score
Carbon market maturity</t>
  </si>
  <si>
    <t>PILLAR 5 score
Macro-financial conditions</t>
  </si>
  <si>
    <t>PILLAR 6 score
Just transition and social credibility</t>
  </si>
  <si>
    <t>Pillar score includes estimate(s)</t>
  </si>
  <si>
    <t>Index Score / Rank includes estimate(s)</t>
  </si>
  <si>
    <t>Overlay Adjusted Score / Rank includes estimate(s)</t>
  </si>
  <si>
    <t>Coal transition social exposure proxy  [old]</t>
  </si>
  <si>
    <t>Coal capacity per million people [old]</t>
  </si>
  <si>
    <t>Coal transition social exposure proxy [old]</t>
  </si>
  <si>
    <t>P6_Indicator5_Score [old]</t>
  </si>
  <si>
    <t>JURISDICTIONAL READINESS INDEX
FOR COAL-TO -CLEAN TRANSITION OPPORTUNITIES</t>
  </si>
  <si>
    <t>Exclusion reason</t>
  </si>
  <si>
    <t>Country (Gated)</t>
  </si>
  <si>
    <t>Operating coal capacity (MW)</t>
  </si>
  <si>
    <t>Coal generation share (%)</t>
  </si>
  <si>
    <t>Estimated lifetime CO₂ (Mt)</t>
  </si>
  <si>
    <t>Minimum conditions required</t>
  </si>
  <si>
    <t>Capacity condition</t>
  </si>
  <si>
    <t>Coal-share condition</t>
  </si>
  <si>
    <t>Lifetime-CO₂ condition</t>
  </si>
  <si>
    <t>Opportunity conditions passed</t>
  </si>
  <si>
    <t>Opportunity-screen result</t>
  </si>
  <si>
    <t>Opportunity-screen setting</t>
  </si>
  <si>
    <t>Threshold percentile</t>
  </si>
  <si>
    <t>Eligible jurisdictions</t>
  </si>
  <si>
    <t>Opportunity-screen pass</t>
  </si>
  <si>
    <t>Opportunity-screen fail</t>
  </si>
  <si>
    <t>Review required</t>
  </si>
  <si>
    <t>Test scenarios</t>
  </si>
  <si>
    <t>Laos</t>
  </si>
  <si>
    <t>Indicator weights (v3)</t>
  </si>
  <si>
    <t>Operating coal capacity – eligibility gate</t>
  </si>
  <si>
    <t>Screening field – not included in P1 score</t>
  </si>
  <si>
    <t>Coal generation share – material-opportunity screen</t>
  </si>
  <si>
    <t>Coal phaseout commitment and documented implementation alignment</t>
  </si>
  <si>
    <t>P2_Indicator8_Score</t>
  </si>
  <si>
    <t xml:space="preserve">Indicator 1 [old] &gt; Screening </t>
  </si>
  <si>
    <t>Coal share 5yr linear trend slope</t>
  </si>
  <si>
    <t>Renewables share 5y linear trend slope</t>
  </si>
  <si>
    <t>Grid emissions intensity 5yr linear trend slope</t>
  </si>
  <si>
    <t>Carbon-pricing infrastructure</t>
  </si>
  <si>
    <t>Phaseout commitment and alignment score (0–100)</t>
  </si>
  <si>
    <t>Article 6 institutional readiness score (0–100)</t>
  </si>
  <si>
    <t>Article 6 operational maturity score (0–100)</t>
  </si>
  <si>
    <t>China said the Paris Agreement applies to Hong Kong (https://treaties.un.org/pages/ViewDetails.aspx?chapter=27&amp;clang=_en&amp;mtdsg_no=XXVII-7-d&amp;src=treaty)</t>
  </si>
  <si>
    <t xml:space="preserve">However, China's scores are not applied to Hong Kong, as associating parent-country activity unrelated to the jurisdiction itself would be double-counting and would materially distort rankings </t>
  </si>
  <si>
    <t>Screening field</t>
  </si>
  <si>
    <t>Treatment</t>
  </si>
  <si>
    <t>Not scored in Pillar 1</t>
  </si>
  <si>
    <t>Used as a material-opportunity condition in Screening; screening thresholds are maintained on the Screening tab.</t>
  </si>
  <si>
    <t>P95 calculated across jurisdictions passing the selected eligibility and opportunity screen; includes zero pipeline ratios.</t>
  </si>
  <si>
    <t>P95 calculated across jurisdictions passing the selected eligibility and opportunity screen; includes zero construction ratios.</t>
  </si>
  <si>
    <t>Indicator 8</t>
  </si>
  <si>
    <t>Fixed score bands</t>
  </si>
  <si>
    <t>Dated target without aligned operating capacity</t>
  </si>
  <si>
    <t>Alignment above 0%–25%</t>
  </si>
  <si>
    <t xml:space="preserve">Above 25%–75% </t>
  </si>
  <si>
    <t>Above 75%</t>
  </si>
  <si>
    <t>Carbon-pricing infrastructure score 
(0-100)</t>
  </si>
  <si>
    <t>Each qualifying instrument is scored across six components, then subject to a maximum score based on implementation status and jurisdiction level. 
The highest applicable instrument score is used.</t>
  </si>
  <si>
    <t>Maximum across jurisdictions passing the selected eligibility and opportunity screen; highest value receives 100 after log1p scaling.</t>
  </si>
  <si>
    <t>Private energy infrastructure investment track record [old]</t>
  </si>
  <si>
    <t>Private energy infrastructure project experience [old]</t>
  </si>
  <si>
    <t>Exchange-rate instability</t>
  </si>
  <si>
    <t>Average absolute annual log change in official exchange rate, 2019–2024 (%)</t>
  </si>
  <si>
    <t>Indicator 4 [old]</t>
  </si>
  <si>
    <t>Indicator 5 [old]</t>
  </si>
  <si>
    <t>Exchange-rate instability P95</t>
  </si>
  <si>
    <t>P95 across jurisdictions passing the selected eligibility and opportunity screen; zero movement receives 100 and values at or above P95 receive 0.</t>
  </si>
  <si>
    <t>Market-rate proxy because no credible comparable official series is available. Pandemic-era disruption, recovery and sharp 2024 depreciation indicate very high instability; rounded to avoid false precision. (DailyNK)</t>
  </si>
  <si>
    <t>Calculated from the 2019–2023 World Bank values already in raw_WB_WDI_FX, plus CBSL’s 2024 annual average of LKR 302.12 per US dollar. (World Bank Open Data)</t>
  </si>
  <si>
    <t>Calculated directly from official annual average NTD/USD rates for 2019–2024, showing comparatively modest annual movement. (Central Bank of China)</t>
  </si>
  <si>
    <t>low confidence</t>
  </si>
  <si>
    <t>Social protection coverage [old]</t>
  </si>
  <si>
    <t>Social protection and human-development resilience</t>
  </si>
  <si>
    <t>Human development and social resilience [old]</t>
  </si>
  <si>
    <t>2 [old]</t>
  </si>
  <si>
    <t>P6_Indicator2_Score [old]</t>
  </si>
  <si>
    <t>ILO proportion of population covered by social protection systems (%) [old]</t>
  </si>
  <si>
    <t>Social protection and human-development resilience score (0–100)</t>
  </si>
  <si>
    <t>UNDP Human Development Index score [old]</t>
  </si>
  <si>
    <t>P6_Indicator4_Score [old]</t>
  </si>
  <si>
    <t>Composite weights</t>
  </si>
  <si>
    <t>Indicator 2 [old]</t>
  </si>
  <si>
    <t>Retained for audit but absorbed into the combined resilience indicator and assigned zero weight.</t>
  </si>
  <si>
    <t>HDI × 100 score</t>
  </si>
  <si>
    <t>Absorbed into the combined resilience indicator and assigned zero weight.</t>
  </si>
  <si>
    <t>Reverse-log score based on coal capacity per million people. Archived</t>
  </si>
  <si>
    <t>35% HDI, with HDI converted to 0–100; calculated upstream in WIP.xlsx</t>
  </si>
  <si>
    <t>65% social protection coverage; calculated upstream in WIP.xlsx.</t>
  </si>
  <si>
    <t>Uses HDI 0.955 and an estimated 88.0% social-protection coverage. Broad resident assistance and mandatory provident-fund coverage support a high, but not universal, estimate.</t>
  </si>
  <si>
    <t>Uses proxy HDI 0.730 and estimated 50.0% effective coverage. Comparable official data are unavailable, so this is a conservative midpoint reflecting formal provision but uncertain effective access.</t>
  </si>
  <si>
    <t>Calculated from official 2024 social-protection coverage of 94.8% and a 2023 HDI estimate of 0.934. (DGBAS)</t>
  </si>
  <si>
    <t>high confidence</t>
  </si>
  <si>
    <t>medium confidence</t>
  </si>
  <si>
    <t>No dated target for coal phaseout</t>
  </si>
  <si>
    <t>Net-zero target year alone does not score</t>
  </si>
  <si>
    <t>Estimate flags – active weighted indicators</t>
  </si>
  <si>
    <t>Number of estimated indicator inputs</t>
  </si>
  <si>
    <t>Purpose of Index</t>
  </si>
  <si>
    <t>Compares jurisdiction readiness for credible coal-to-clean transition credit activity</t>
  </si>
  <si>
    <t>Jurisdictions with operating coal capacity recorded by GEM (eligibility gate) &gt; with material transition opportunity (screening)</t>
  </si>
  <si>
    <t>Overall implementation readiness score, pillar scores and country ranking</t>
  </si>
  <si>
    <t>Stage</t>
  </si>
  <si>
    <t>Variable</t>
  </si>
  <si>
    <t>Rule or treatment</t>
  </si>
  <si>
    <t>Selected central threshold</t>
  </si>
  <si>
    <t>Current result</t>
  </si>
  <si>
    <t>Greater than 0 MW</t>
  </si>
  <si>
    <t>73 eligible jurisdictions</t>
  </si>
  <si>
    <t>Material-opportunity screen</t>
  </si>
  <si>
    <t>1,907 MW</t>
  </si>
  <si>
    <t>Coal generation share</t>
  </si>
  <si>
    <t>20.260%</t>
  </si>
  <si>
    <t>Estimated lifetime CO₂</t>
  </si>
  <si>
    <t>70.511 Mt</t>
  </si>
  <si>
    <t>Minimum conditions</t>
  </si>
  <si>
    <t>2 of 3</t>
  </si>
  <si>
    <t>36 pass; 37 fail</t>
  </si>
  <si>
    <t xml:space="preserve">Screening </t>
  </si>
  <si>
    <t>Overall weight</t>
  </si>
  <si>
    <t>Key treatment</t>
  </si>
  <si>
    <t>Country [old]</t>
  </si>
  <si>
    <t>Estimated weighted inputsm[old]</t>
  </si>
  <si>
    <t>Taiwan</t>
  </si>
  <si>
    <t xml:space="preserve">Germany </t>
  </si>
  <si>
    <t xml:space="preserve">Russia </t>
  </si>
  <si>
    <t>Instead, these countries are flagged in Index as more estimate-dependent</t>
  </si>
  <si>
    <t>Estimated weighted inputs [old]</t>
  </si>
  <si>
    <t>Pillar 1: Energy system conditions</t>
  </si>
  <si>
    <t>Pillar 2: Policy and transition commitment</t>
  </si>
  <si>
    <t>Pillar 3: Governance and institutional capacity</t>
  </si>
  <si>
    <t>Pillar 4: Carbon market maturity</t>
  </si>
  <si>
    <t>Pillar 5: Macro-financial conditions</t>
  </si>
  <si>
    <t>Pillar 6: Just transition and social credibility</t>
  </si>
  <si>
    <t>Operating coal capacity and coal share are screening variables. They remain visible for audit but have zero Pillar 1 weight</t>
  </si>
  <si>
    <t>Combines policy infrastructure, transition direction and documented coal-phaseout implementation. Expansion and construction inputs are already ratios</t>
  </si>
  <si>
    <t>World Bank governance indicators are already converted to comparable 0–100 scores</t>
  </si>
  <si>
    <t>VCM indicators use logarithmic scaling. Article 6 indicators use institutional milestones and implementation-stage scores</t>
  </si>
  <si>
    <t>Higher financial depth is favourable. High inflation, debt pressure and exchange-rate instability reduce readiness</t>
  </si>
  <si>
    <t>The resilience indicator combines social-protection coverage and HDI. Unemployment represents labour-market absorption risk</t>
  </si>
  <si>
    <t>No GEM country record is treated as zero recorded operating capacity</t>
  </si>
  <si>
    <t>Median threshold among eligible jurisdictions</t>
  </si>
  <si>
    <t>Threshold derived from reported Ember data; documented estimates may be used to screen a country</t>
  </si>
  <si>
    <t>Country-level source calculation from WIP.xlsx</t>
  </si>
  <si>
    <t>Central scenario selected for the base index</t>
  </si>
  <si>
    <t>Screening</t>
  </si>
  <si>
    <t>Operating coal capacity, MW – GEM Global Coal Plant Tracker</t>
  </si>
  <si>
    <t>Eligibility requires capacity above 0 MW. Central opportunity condition requires at least 1,907 MW.</t>
  </si>
  <si>
    <t>Coal generation share, % – Ember</t>
  </si>
  <si>
    <t>Central opportunity condition requires at least 20.260%. Not included in Pillar 1 scoring.</t>
  </si>
  <si>
    <t>Estimated remaining lifetime CO₂</t>
  </si>
  <si>
    <t>Estimated remaining lifetime emissions, MtCO₂ – calculated from GEM unit-level plant data</t>
  </si>
  <si>
    <t>Central opportunity condition requires at least 70.511 MtCO₂.</t>
  </si>
  <si>
    <t>Renewable share of electricity generation, % – Ember</t>
  </si>
  <si>
    <t>Higher is better – min–max normalisation.</t>
  </si>
  <si>
    <t>Wind and solar share of electricity generation, % – Ember</t>
  </si>
  <si>
    <t>Grid emissions intensity, gCO₂e/kWh – Ember</t>
  </si>
  <si>
    <t>Lower is better – reverse P5/P95 winsorised score.</t>
  </si>
  <si>
    <t>Direct 0–100 score.</t>
  </si>
  <si>
    <t>Announced, pre-permit and permitted coal capacity divided by operating coal capacity – GEM</t>
  </si>
  <si>
    <t>Lower is better – reverse score using a P95 cap.</t>
  </si>
  <si>
    <t>Coal capacity under construction divided by operating coal capacity – GEM</t>
  </si>
  <si>
    <t>Coal share five-year trend</t>
  </si>
  <si>
    <t>Linear trend in coal generation share, percentage points per year – Ember</t>
  </si>
  <si>
    <t>Renewables share five-year trend</t>
  </si>
  <si>
    <t>Linear trend in renewable generation share, percentage points per year – Ember</t>
  </si>
  <si>
    <t>Higher is better – P5/P95 winsorised score.</t>
  </si>
  <si>
    <t>Grid emissions intensity five-year trend</t>
  </si>
  <si>
    <t>Linear trend in grid emissions intensity, gCO₂/kWh per year – Ember</t>
  </si>
  <si>
    <t>Status at 1 April 2026; price and coverage data for 2024</t>
  </si>
  <si>
    <t>Carbon-pricing status, jurisdiction level, sectoral coverage, coal coverage, emissions coverage and carbon price – World Bank Carbon Pricing Dashboard</t>
  </si>
  <si>
    <t>Composite 0–100 score, subject to caps based on implementation status and jurisdiction level.</t>
  </si>
  <si>
    <t>January 2026 status</t>
  </si>
  <si>
    <t>Dated coal-phaseout target and share of operating coal capacity aligned with the target – GEM and documented policy sources</t>
  </si>
  <si>
    <t>Fixed bands of 0, 25, 50, 75 or 100. A net-zero year alone receives zero.</t>
  </si>
  <si>
    <t>Political Stability and Absence of Violence governance score – World Bank WGI</t>
  </si>
  <si>
    <t>Government Effectiveness governance score – World Bank WGI</t>
  </si>
  <si>
    <t>Regulatory Quality governance score – World Bank WGI</t>
  </si>
  <si>
    <t>Rule of Law governance score – World Bank WGI</t>
  </si>
  <si>
    <t>Control of Corruption governance score – World Bank WGI</t>
  </si>
  <si>
    <t>All-time through year-end 2024</t>
  </si>
  <si>
    <t>Host-country voluntary carbon-market project count – Berkeley Carbon Trading Project</t>
  </si>
  <si>
    <t>Higher is better – log1p scaling to the highest screened-country value.</t>
  </si>
  <si>
    <t>Host-country voluntary carbon credits issued – Berkeley Carbon Trading Project</t>
  </si>
  <si>
    <t>Host-country voluntary carbon credits retired – Berkeley Carbon Trading Project</t>
  </si>
  <si>
    <t>Five recorded institutional and cooperation milestones – UNEP Copenhagen Climate Centre</t>
  </si>
  <si>
    <t>Each milestone contributes 20 points, up to 100.</t>
  </si>
  <si>
    <t>Highest implementation stage reached under Article 6.2 or the Paris Agreement Crediting Mechanism</t>
  </si>
  <si>
    <t>Stage score of 0, 25, 50, 75 or 100.</t>
  </si>
  <si>
    <t>Domestic credit to the private sector, % of GDP – World Bank WDI</t>
  </si>
  <si>
    <t>Higher is better – linear score with full score at 200% of GDP.</t>
  </si>
  <si>
    <t>Lower absolute inflation is better – scoring bands of 100, 75, 50, 25 and 0.</t>
  </si>
  <si>
    <t>General government gross debt, % of GDP – IMF World Economic Outlook</t>
  </si>
  <si>
    <t>Lower is better – linear reverse score, reaching zero at 150% of GDP.</t>
  </si>
  <si>
    <t>Average absolute annual log change in the official exchange rate – World Bank WDI</t>
  </si>
  <si>
    <t>Lower is better – reverse score using the screened-country P95 as the zero-score cap.</t>
  </si>
  <si>
    <t>ITUC Global Rights Index rating and recorded direction of change – ITUC</t>
  </si>
  <si>
    <t>Rating 1 receives 100 through rating 5+ receiving 0, with a ±5 trend adjustment.</t>
  </si>
  <si>
    <t>Social protection: 2024 where available; HDI: 2023</t>
  </si>
  <si>
    <t>Population covered by social-protection systems – ILO; Human Development Index – UNDP</t>
  </si>
  <si>
    <t>Composite score: 65% social-protection coverage and 35% HDI converted to 0–100.</t>
  </si>
  <si>
    <t>Unemployment, % of the total labour force – World Bank WDI</t>
  </si>
  <si>
    <t>Lower is better – scoring bands of 100, 75, 50, 25 and 0.</t>
  </si>
  <si>
    <t>One of three opportunity conditions</t>
  </si>
  <si>
    <t>Pass when operating coal capacity is greater than zero</t>
  </si>
  <si>
    <t>Meet at least two of the three opportunity conditions</t>
  </si>
  <si>
    <t>Current treatment</t>
  </si>
  <si>
    <t>Reason</t>
  </si>
  <si>
    <t>PPI electricity project count and value</t>
  </si>
  <si>
    <t>Standalone social-protection coverage</t>
  </si>
  <si>
    <t>Standalone HDI</t>
  </si>
  <si>
    <t>Coal capacity per million people</t>
  </si>
  <si>
    <t>High coal dependence is an opportunity condition, not evidence of readiness</t>
  </si>
  <si>
    <t>Measures opportunity scale rather than implementation readiness</t>
  </si>
  <si>
    <t>Strongly affected by jurisdiction size and may include unrelated or fossil infrastructure</t>
  </si>
  <si>
    <t>Now forms part of the combined resilience indicator</t>
  </si>
  <si>
    <t>Weak proxy for affected workers and overlaps with material-opportunity screening</t>
  </si>
  <si>
    <t>Removed</t>
  </si>
  <si>
    <t>Dropped indicators</t>
  </si>
  <si>
    <t>Two basic Article 6 fields</t>
  </si>
  <si>
    <t>Replaced by more comparable institutional-readiness and operational-maturity scores when datasets became available in June 2026</t>
  </si>
  <si>
    <t>Final Q1 and Q2 market-salience overlay integration</t>
  </si>
  <si>
    <t>The analysis found more market-relevant factors than the index could directly score. Only constructs with a clear primary link to an existing indicator were applied to weights. Cross-cutting or project-specific factors were retained as contextual evidence to avoid forced mapping and double-counting.</t>
  </si>
  <si>
    <t>Primary mapped construct</t>
  </si>
  <si>
    <t>Base global weight</t>
  </si>
  <si>
    <t>Q1 multiplier</t>
  </si>
  <si>
    <t>Q1 adjusted weight</t>
  </si>
  <si>
    <t>Q2 multiplier</t>
  </si>
  <si>
    <t>Q2 adjusted weight</t>
  </si>
  <si>
    <t>PILLAR 1 –  Energy system conditions</t>
  </si>
  <si>
    <t>P1 I1 – Renewable electricity share</t>
  </si>
  <si>
    <t>C01A</t>
  </si>
  <si>
    <t>P1 I2 – Wind and solar share</t>
  </si>
  <si>
    <t>C01B</t>
  </si>
  <si>
    <t>P1 I3 – Grid emissions intensity</t>
  </si>
  <si>
    <t>PILLAR 2 –  Policy and transition commitment</t>
  </si>
  <si>
    <t>P2 I1 – Renewable energy policy and regulatory readiness</t>
  </si>
  <si>
    <t>C06</t>
  </si>
  <si>
    <t>P2 I2 – Coal expansion pressure</t>
  </si>
  <si>
    <t>C04A</t>
  </si>
  <si>
    <t>P2 I3 – Coal construction pressure</t>
  </si>
  <si>
    <t>C04B</t>
  </si>
  <si>
    <t>P2 I4 – Coal share 5yr linear trend slope</t>
  </si>
  <si>
    <t>C05A</t>
  </si>
  <si>
    <t>P2 I5 – Renewables share 5y linear trend slope</t>
  </si>
  <si>
    <t>C05B</t>
  </si>
  <si>
    <t>P2 I6 – Grid emissions intensity 5yr linear trend slope</t>
  </si>
  <si>
    <t>P2 I7 – Carbon-pricing infrastructure</t>
  </si>
  <si>
    <t>C07</t>
  </si>
  <si>
    <t>P2 I8 – Coal phaseout commitment and documented implementation alignment</t>
  </si>
  <si>
    <t>C03</t>
  </si>
  <si>
    <t>PILLAR 3 –  Governance and institutional capacity</t>
  </si>
  <si>
    <t>P3 I1 – Political stability</t>
  </si>
  <si>
    <t>C10A</t>
  </si>
  <si>
    <t>P3 I2 – Government effectiveness</t>
  </si>
  <si>
    <t>C08</t>
  </si>
  <si>
    <t>P3 I3 – Regulatory quality</t>
  </si>
  <si>
    <t>C09A</t>
  </si>
  <si>
    <t>P3 I4 – Rule of law</t>
  </si>
  <si>
    <t>C09B</t>
  </si>
  <si>
    <t>P3 I5 – Control of corruption</t>
  </si>
  <si>
    <t>C10B</t>
  </si>
  <si>
    <t>PILLAR 4 –  Carbon market maturity</t>
  </si>
  <si>
    <t>P4 I1 – VCM project activity</t>
  </si>
  <si>
    <t>C12A</t>
  </si>
  <si>
    <t>P4 I2 – VCM issuance scale</t>
  </si>
  <si>
    <t>C12B</t>
  </si>
  <si>
    <t>P4 I3 – VCM retirement activity</t>
  </si>
  <si>
    <t>C12C</t>
  </si>
  <si>
    <t>P4 I4 – Article 6 institutional readiness score (0–100)</t>
  </si>
  <si>
    <t>C11A</t>
  </si>
  <si>
    <t>P4 I5 – Article 6 operational maturity score (0–100)</t>
  </si>
  <si>
    <t>C11B</t>
  </si>
  <si>
    <t>PILLAR 5 –  Macro-financial conditions</t>
  </si>
  <si>
    <t>P5 I1 – Domestic financial depth</t>
  </si>
  <si>
    <t>C16</t>
  </si>
  <si>
    <t>P5 I2 – Macroeconomic price stability</t>
  </si>
  <si>
    <t>C14A</t>
  </si>
  <si>
    <t>P5 I3 – Sovereign debt pressure</t>
  </si>
  <si>
    <t>C14B</t>
  </si>
  <si>
    <t>P5 I4 – Exchange-rate instability</t>
  </si>
  <si>
    <t>C15</t>
  </si>
  <si>
    <t>PILLAR 6 –  Just transition and social credibility</t>
  </si>
  <si>
    <t>P6 I1 – Labour rights and social dialogue environment</t>
  </si>
  <si>
    <t>C18</t>
  </si>
  <si>
    <t>P6 I2 – Social protection and human-development resilience</t>
  </si>
  <si>
    <t>C19</t>
  </si>
  <si>
    <t>P6 I3 – Labour-market absorption risk</t>
  </si>
  <si>
    <t>C20</t>
  </si>
  <si>
    <t>Weight totals</t>
  </si>
  <si>
    <t>Base score</t>
  </si>
  <si>
    <t>Base rank</t>
  </si>
  <si>
    <t>Q1 overlay score</t>
  </si>
  <si>
    <t>Q1 rank</t>
  </si>
  <si>
    <t>Q1 score change</t>
  </si>
  <si>
    <t>Q1 rank change</t>
  </si>
  <si>
    <t>Q2 overlay score</t>
  </si>
  <si>
    <t>Q2 rank</t>
  </si>
  <si>
    <t>Q2 rank change</t>
  </si>
  <si>
    <t>The final scoring table shows only the constructs selected to change indicator weights. The broader analysis identified several additional signals that were omitted from the multiplier calculation.</t>
  </si>
  <si>
    <t>Construct or signal</t>
  </si>
  <si>
    <t>Why it was not scored directly</t>
  </si>
  <si>
    <t>X01 – Grid connection and reliability deliverability</t>
  </si>
  <si>
    <t>Important to coal-to-clean execution, but no final index indicator directly measures transmission access, connection queues, curtailment or replacement-power deliverability.</t>
  </si>
  <si>
    <t>X02 – Jurisdiction-specific carbon-market integrity reputation</t>
  </si>
  <si>
    <t>Important to buyers, but difficult to convert into a consistent country score without introducing subjective reputational judgements or double-counting the existing Article 6 and VCM indicators.</t>
  </si>
  <si>
    <t>X03 – Jurisdiction-level project bankability signals</t>
  </si>
  <si>
    <t>Cuts across finance, regulation, contracts, currency and government support. Applying it to several indicators would amplify the same event repeatedly.</t>
  </si>
  <si>
    <t>X04 – Plant-specific community support and funding delivery</t>
  </si>
  <si>
    <t>Highly relevant at project level, but the base index contains national-level social indicators rather than plant-specific consent, compensation and funding-delivery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</si>
</sst>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#,##0.0000000"/>
  </numFmts>
  <fonts count="33">
    <font>
      <sz val="10"/>
      <color theme="1"/>
      <name val="Avenir-Book"/>
      <family val="2"/>
    </font>
    <font>
      <sz val="11"/>
      <color theme="1"/>
      <name val="Aptos Narrow"/>
      <family val="2"/>
      <scheme val="minor"/>
    </font>
    <font>
      <sz val="10"/>
      <color theme="1"/>
      <name val="Montserrat Regular"/>
    </font>
    <font>
      <b/>
      <sz val="10"/>
      <color theme="4"/>
      <name val="Montserrat Regular"/>
    </font>
    <font>
      <sz val="11"/>
      <color theme="1"/>
      <name val="Times New Roman"/>
      <family val="1"/>
    </font>
    <font>
      <sz val="10"/>
      <color theme="4"/>
      <name val="Montserrat Regular"/>
    </font>
    <font>
      <sz val="10"/>
      <color rgb="FFFFFFFF"/>
      <name val="Montserrat Regular"/>
    </font>
    <font>
      <sz val="10"/>
      <name val="Montserrat Regular"/>
    </font>
    <font>
      <sz val="10"/>
      <color rgb="FFFF0000"/>
      <name val="Montserrat Regula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5"/>
      <name val="Montserrat Regular"/>
    </font>
    <font>
      <sz val="10"/>
      <color theme="5"/>
      <name val="Aptos Narrow"/>
      <family val="2"/>
      <scheme val="minor"/>
    </font>
    <font>
      <b/>
      <sz val="10"/>
      <color rgb="FFE97132"/>
      <name val="Montserrat Regular"/>
      <charset val="1"/>
    </font>
    <font>
      <b/>
      <sz val="10"/>
      <color rgb="FFFFFFFF"/>
      <name val="Montserrat Regular"/>
    </font>
    <font>
      <b/>
      <sz val="10"/>
      <name val="Montserrat Regula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venir-Book"/>
    </font>
    <font>
      <b/>
      <sz val="10"/>
      <color rgb="FF000000"/>
      <name val="Avenir-Book"/>
    </font>
    <font>
      <sz val="10"/>
      <color theme="1"/>
      <name val="Avenir-Book"/>
      <family val="2"/>
    </font>
    <font>
      <b/>
      <sz val="10"/>
      <color theme="1"/>
      <name val="Montserrat Regular"/>
    </font>
    <font>
      <sz val="10"/>
      <color rgb="FF000000"/>
      <name val="Montserrat Regular"/>
    </font>
    <font>
      <sz val="10"/>
      <color rgb="FF000000"/>
      <name val="Montserrat Regular"/>
      <charset val="1"/>
    </font>
    <font>
      <b/>
      <sz val="10"/>
      <color rgb="FF156082"/>
      <name val="Montserrat Regular"/>
    </font>
    <font>
      <sz val="10"/>
      <color rgb="FF156082"/>
      <name val="Montserrat Regular"/>
    </font>
    <font>
      <sz val="10"/>
      <color theme="5"/>
      <name val="Montserrat Regular"/>
    </font>
    <font>
      <sz val="10"/>
      <name val="Montserrat Regular"/>
      <charset val="1"/>
    </font>
    <font>
      <sz val="10"/>
      <name val="Montserrat"/>
    </font>
    <font>
      <b/>
      <sz val="10"/>
      <color rgb="FF000000"/>
      <name val="Montserrat Regular"/>
      <charset val="1"/>
    </font>
    <font>
      <sz val="10"/>
      <color theme="1"/>
      <name val="Montserrat"/>
    </font>
    <font>
      <sz val="10"/>
      <color rgb="FFFFFFFF"/>
      <name val="Montserrat"/>
    </font>
    <font>
      <sz val="10"/>
      <color theme="1" tint="0.499984740745262"/>
      <name val="Montserrat Medium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rgb="FF4A86E8"/>
      </patternFill>
    </fill>
    <fill>
      <patternFill patternType="solid">
        <fgColor rgb="FF5B9BD5"/>
        <bgColor rgb="FF4A86E8"/>
      </patternFill>
    </fill>
    <fill>
      <patternFill patternType="solid">
        <fgColor theme="4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  <bgColor rgb="FF000000"/>
      </patternFill>
    </fill>
    <fill>
      <patternFill patternType="solid">
        <fgColor rgb="FFEAF4FE"/>
        <bgColor indexed="64"/>
      </patternFill>
    </fill>
    <fill>
      <patternFill patternType="solid">
        <fgColor rgb="FF655D9C"/>
        <bgColor rgb="FF4A86E8"/>
      </patternFill>
    </fill>
    <fill>
      <patternFill patternType="solid">
        <fgColor rgb="FFF2F0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rgb="FF4A86E8"/>
      </patternFill>
    </fill>
    <fill>
      <patternFill patternType="solid">
        <fgColor theme="2"/>
        <bgColor indexed="64"/>
      </patternFill>
    </fill>
    <fill>
      <patternFill patternType="solid">
        <fgColor rgb="FFC3CCE2"/>
        <bgColor indexed="64"/>
      </patternFill>
    </fill>
    <fill>
      <patternFill patternType="solid">
        <fgColor rgb="FFDBDAEB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E7E6E6"/>
      </patternFill>
    </fill>
    <fill>
      <patternFill patternType="solid">
        <fgColor theme="1" tint="0.499984740745262"/>
        <bgColor rgb="FF4A86E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AE9F8"/>
        <bgColor rgb="FF000000"/>
      </patternFill>
    </fill>
  </fills>
  <borders count="5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CCCCC"/>
      </bottom>
      <diagonal/>
    </border>
    <border>
      <left style="thin">
        <color rgb="FF0E284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E2841"/>
      </left>
      <right/>
      <top style="thin">
        <color theme="4"/>
      </top>
      <bottom style="thin">
        <color theme="4"/>
      </bottom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rgb="FFCCCCCC"/>
      </left>
      <right/>
      <top style="thin">
        <color theme="4"/>
      </top>
      <bottom style="thin">
        <color rgb="FFCCCCCC"/>
      </bottom>
      <diagonal/>
    </border>
    <border>
      <left/>
      <right style="thin">
        <color rgb="FFCCCCCC"/>
      </right>
      <top style="thin">
        <color theme="4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3"/>
      </left>
      <right/>
      <top style="thin">
        <color theme="4"/>
      </top>
      <bottom style="thin">
        <color rgb="FF156082"/>
      </bottom>
      <diagonal/>
    </border>
    <border>
      <left/>
      <right/>
      <top style="thin">
        <color theme="4"/>
      </top>
      <bottom style="thin">
        <color rgb="FF156082"/>
      </bottom>
      <diagonal/>
    </border>
    <border>
      <left/>
      <right style="thin">
        <color theme="4"/>
      </right>
      <top style="thin">
        <color theme="4"/>
      </top>
      <bottom style="thin">
        <color rgb="FF156082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rgb="FF156082"/>
      </right>
      <top style="thin">
        <color rgb="FF156082"/>
      </top>
      <bottom style="thin">
        <color rgb="FF156082"/>
      </bottom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rgb="FF655D9C"/>
      </right>
      <top style="thin">
        <color theme="0"/>
      </top>
      <bottom style="thin">
        <color theme="0"/>
      </bottom>
      <diagonal/>
    </border>
    <border>
      <left/>
      <right style="thin">
        <color rgb="FF655D9C"/>
      </right>
      <top style="thin">
        <color theme="0"/>
      </top>
      <bottom style="thin">
        <color theme="0"/>
      </bottom>
      <diagonal/>
    </border>
    <border>
      <left/>
      <right style="thin">
        <color rgb="FF655D9C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276">
    <xf numFmtId="0" fontId="0" fillId="0" borderId="0" xfId="0"/>
    <xf numFmtId="0" fontId="2" fillId="0" borderId="0" xfId="1" applyFont="1"/>
    <xf numFmtId="0" fontId="4" fillId="0" borderId="0" xfId="1" applyFont="1"/>
    <xf numFmtId="1" fontId="5" fillId="0" borderId="2" xfId="2" applyNumberFormat="1" applyFont="1" applyFill="1" applyBorder="1" applyAlignment="1">
      <alignment horizontal="center" vertical="center"/>
    </xf>
    <xf numFmtId="1" fontId="5" fillId="0" borderId="3" xfId="2" applyNumberFormat="1" applyFont="1" applyFill="1" applyBorder="1" applyAlignment="1">
      <alignment horizontal="center" vertical="center"/>
    </xf>
    <xf numFmtId="9" fontId="5" fillId="2" borderId="4" xfId="2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9" fontId="3" fillId="2" borderId="1" xfId="2" applyFont="1" applyFill="1" applyBorder="1" applyAlignment="1">
      <alignment horizontal="center" vertical="center"/>
    </xf>
    <xf numFmtId="0" fontId="6" fillId="3" borderId="5" xfId="1" applyFont="1" applyFill="1" applyBorder="1" applyAlignment="1">
      <alignment vertical="center" wrapText="1"/>
    </xf>
    <xf numFmtId="0" fontId="6" fillId="3" borderId="5" xfId="1" applyFont="1" applyFill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/>
    </xf>
    <xf numFmtId="2" fontId="5" fillId="0" borderId="7" xfId="1" applyNumberFormat="1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5" borderId="7" xfId="1" applyFont="1" applyFill="1" applyBorder="1" applyAlignment="1">
      <alignment horizontal="left" vertical="center" wrapText="1"/>
    </xf>
    <xf numFmtId="164" fontId="7" fillId="0" borderId="7" xfId="1" applyNumberFormat="1" applyFont="1" applyBorder="1" applyAlignment="1">
      <alignment horizontal="center" vertical="center"/>
    </xf>
    <xf numFmtId="0" fontId="6" fillId="4" borderId="6" xfId="1" applyFont="1" applyFill="1" applyBorder="1" applyAlignment="1">
      <alignment horizontal="left" vertical="center" wrapText="1"/>
    </xf>
    <xf numFmtId="2" fontId="8" fillId="0" borderId="7" xfId="1" applyNumberFormat="1" applyFont="1" applyBorder="1" applyAlignment="1">
      <alignment horizontal="center" vertical="center"/>
    </xf>
    <xf numFmtId="0" fontId="9" fillId="0" borderId="0" xfId="3"/>
    <xf numFmtId="0" fontId="9" fillId="0" borderId="0" xfId="3" applyAlignment="1">
      <alignment horizontal="left" vertical="center"/>
    </xf>
    <xf numFmtId="2" fontId="10" fillId="0" borderId="0" xfId="3" applyNumberFormat="1" applyFont="1" applyAlignment="1">
      <alignment horizontal="center"/>
    </xf>
    <xf numFmtId="9" fontId="3" fillId="2" borderId="1" xfId="4" applyFont="1" applyFill="1" applyBorder="1" applyAlignment="1">
      <alignment horizontal="center" vertical="center"/>
    </xf>
    <xf numFmtId="0" fontId="6" fillId="4" borderId="6" xfId="1" applyFont="1" applyFill="1" applyBorder="1" applyAlignment="1">
      <alignment vertical="center" wrapText="1"/>
    </xf>
    <xf numFmtId="0" fontId="12" fillId="0" borderId="0" xfId="3" applyFont="1"/>
    <xf numFmtId="4" fontId="7" fillId="0" borderId="7" xfId="1" applyNumberFormat="1" applyFont="1" applyBorder="1" applyAlignment="1">
      <alignment horizontal="center" vertical="center"/>
    </xf>
    <xf numFmtId="2" fontId="7" fillId="7" borderId="7" xfId="1" applyNumberFormat="1" applyFont="1" applyFill="1" applyBorder="1" applyAlignment="1">
      <alignment horizontal="center" vertical="center"/>
    </xf>
    <xf numFmtId="0" fontId="2" fillId="0" borderId="0" xfId="0" applyFont="1"/>
    <xf numFmtId="2" fontId="2" fillId="0" borderId="0" xfId="3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7" fillId="7" borderId="7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" fontId="7" fillId="0" borderId="7" xfId="1" applyNumberFormat="1" applyFont="1" applyBorder="1" applyAlignment="1">
      <alignment horizontal="right" vertical="center" indent="3"/>
    </xf>
    <xf numFmtId="0" fontId="6" fillId="10" borderId="17" xfId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12" borderId="0" xfId="1" applyFont="1" applyFill="1"/>
    <xf numFmtId="0" fontId="4" fillId="12" borderId="0" xfId="1" applyFont="1" applyFill="1" applyAlignment="1">
      <alignment horizontal="center"/>
    </xf>
    <xf numFmtId="0" fontId="2" fillId="0" borderId="18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3" fillId="2" borderId="4" xfId="1" applyFont="1" applyFill="1" applyBorder="1" applyAlignment="1">
      <alignment horizontal="center" vertical="center"/>
    </xf>
    <xf numFmtId="3" fontId="7" fillId="0" borderId="7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7" fillId="12" borderId="7" xfId="1" applyFont="1" applyFill="1" applyBorder="1" applyAlignment="1">
      <alignment horizontal="left" vertical="center"/>
    </xf>
    <xf numFmtId="0" fontId="7" fillId="0" borderId="7" xfId="1" applyFont="1" applyBorder="1" applyAlignment="1">
      <alignment vertical="center"/>
    </xf>
    <xf numFmtId="0" fontId="14" fillId="14" borderId="6" xfId="1" applyFont="1" applyFill="1" applyBorder="1" applyAlignment="1">
      <alignment vertical="center" wrapText="1"/>
    </xf>
    <xf numFmtId="4" fontId="7" fillId="12" borderId="7" xfId="1" applyNumberFormat="1" applyFont="1" applyFill="1" applyBorder="1" applyAlignment="1">
      <alignment horizontal="right" vertical="center" indent="3"/>
    </xf>
    <xf numFmtId="2" fontId="5" fillId="12" borderId="7" xfId="1" applyNumberFormat="1" applyFont="1" applyFill="1" applyBorder="1" applyAlignment="1">
      <alignment horizontal="center" vertical="center"/>
    </xf>
    <xf numFmtId="2" fontId="3" fillId="12" borderId="7" xfId="1" applyNumberFormat="1" applyFont="1" applyFill="1" applyBorder="1" applyAlignment="1">
      <alignment horizontal="center" vertical="center"/>
    </xf>
    <xf numFmtId="4" fontId="7" fillId="12" borderId="7" xfId="1" applyNumberFormat="1" applyFont="1" applyFill="1" applyBorder="1" applyAlignment="1">
      <alignment horizontal="center" vertical="center"/>
    </xf>
    <xf numFmtId="0" fontId="2" fillId="12" borderId="0" xfId="1" applyFont="1" applyFill="1"/>
    <xf numFmtId="9" fontId="5" fillId="2" borderId="1" xfId="4" applyFont="1" applyFill="1" applyBorder="1" applyAlignment="1">
      <alignment horizontal="center" vertical="center"/>
    </xf>
    <xf numFmtId="2" fontId="7" fillId="0" borderId="7" xfId="1" applyNumberFormat="1" applyFont="1" applyBorder="1" applyAlignment="1">
      <alignment horizontal="center" vertical="center"/>
    </xf>
    <xf numFmtId="2" fontId="15" fillId="0" borderId="7" xfId="1" applyNumberFormat="1" applyFont="1" applyBorder="1" applyAlignment="1">
      <alignment horizontal="center" vertical="center"/>
    </xf>
    <xf numFmtId="2" fontId="2" fillId="12" borderId="0" xfId="3" applyNumberFormat="1" applyFont="1" applyFill="1" applyAlignment="1">
      <alignment horizontal="center"/>
    </xf>
    <xf numFmtId="0" fontId="9" fillId="12" borderId="0" xfId="3" applyFill="1"/>
    <xf numFmtId="3" fontId="7" fillId="0" borderId="7" xfId="1" applyNumberFormat="1" applyFont="1" applyBorder="1" applyAlignment="1">
      <alignment horizontal="right" vertical="center" indent="3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/>
    <xf numFmtId="166" fontId="7" fillId="0" borderId="7" xfId="1" applyNumberFormat="1" applyFont="1" applyBorder="1" applyAlignment="1">
      <alignment horizontal="right" vertical="center" indent="3"/>
    </xf>
    <xf numFmtId="0" fontId="6" fillId="6" borderId="0" xfId="0" applyFont="1" applyFill="1" applyAlignment="1">
      <alignment horizontal="left" vertical="center"/>
    </xf>
    <xf numFmtId="165" fontId="6" fillId="6" borderId="0" xfId="0" applyNumberFormat="1" applyFont="1" applyFill="1" applyAlignment="1">
      <alignment horizontal="left" vertical="center"/>
    </xf>
    <xf numFmtId="0" fontId="23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165" fontId="7" fillId="0" borderId="7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12" borderId="18" xfId="0" applyFont="1" applyFill="1" applyBorder="1" applyAlignment="1">
      <alignment vertical="center" wrapText="1"/>
    </xf>
    <xf numFmtId="0" fontId="0" fillId="12" borderId="0" xfId="0" applyFill="1"/>
    <xf numFmtId="0" fontId="2" fillId="0" borderId="0" xfId="3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center" vertical="center"/>
    </xf>
    <xf numFmtId="2" fontId="7" fillId="16" borderId="7" xfId="1" applyNumberFormat="1" applyFont="1" applyFill="1" applyBorder="1" applyAlignment="1">
      <alignment horizontal="center" vertical="center"/>
    </xf>
    <xf numFmtId="2" fontId="2" fillId="17" borderId="1" xfId="0" applyNumberFormat="1" applyFont="1" applyFill="1" applyBorder="1" applyAlignment="1">
      <alignment horizontal="center" vertical="center"/>
    </xf>
    <xf numFmtId="2" fontId="7" fillId="16" borderId="7" xfId="1" applyNumberFormat="1" applyFont="1" applyFill="1" applyBorder="1" applyAlignment="1">
      <alignment horizontal="left" vertical="center"/>
    </xf>
    <xf numFmtId="2" fontId="2" fillId="15" borderId="0" xfId="0" applyNumberFormat="1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" fontId="7" fillId="15" borderId="7" xfId="1" applyNumberFormat="1" applyFont="1" applyFill="1" applyBorder="1" applyAlignment="1">
      <alignment horizontal="right" vertical="center" indent="3"/>
    </xf>
    <xf numFmtId="164" fontId="7" fillId="12" borderId="7" xfId="1" applyNumberFormat="1" applyFont="1" applyFill="1" applyBorder="1" applyAlignment="1">
      <alignment horizontal="center" vertical="center"/>
    </xf>
    <xf numFmtId="3" fontId="7" fillId="12" borderId="7" xfId="1" applyNumberFormat="1" applyFont="1" applyFill="1" applyBorder="1" applyAlignment="1">
      <alignment horizontal="center" vertical="center"/>
    </xf>
    <xf numFmtId="2" fontId="5" fillId="16" borderId="7" xfId="1" applyNumberFormat="1" applyFont="1" applyFill="1" applyBorder="1" applyAlignment="1">
      <alignment horizontal="center" vertical="center"/>
    </xf>
    <xf numFmtId="2" fontId="3" fillId="16" borderId="7" xfId="1" applyNumberFormat="1" applyFont="1" applyFill="1" applyBorder="1" applyAlignment="1">
      <alignment horizontal="center" vertical="center"/>
    </xf>
    <xf numFmtId="166" fontId="7" fillId="15" borderId="7" xfId="1" applyNumberFormat="1" applyFont="1" applyFill="1" applyBorder="1" applyAlignment="1">
      <alignment horizontal="right" vertical="center" indent="3"/>
    </xf>
    <xf numFmtId="4" fontId="7" fillId="0" borderId="2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" fontId="7" fillId="15" borderId="7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5" fillId="0" borderId="30" xfId="1" applyNumberFormat="1" applyFont="1" applyBorder="1" applyAlignment="1">
      <alignment horizontal="center" vertical="center"/>
    </xf>
    <xf numFmtId="2" fontId="3" fillId="0" borderId="29" xfId="1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7" fillId="19" borderId="0" xfId="0" applyNumberFormat="1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2" fillId="19" borderId="0" xfId="0" applyNumberFormat="1" applyFont="1" applyFill="1" applyAlignment="1">
      <alignment horizontal="center" vertical="center"/>
    </xf>
    <xf numFmtId="167" fontId="0" fillId="0" borderId="0" xfId="0" applyNumberFormat="1"/>
    <xf numFmtId="3" fontId="7" fillId="15" borderId="7" xfId="1" applyNumberFormat="1" applyFont="1" applyFill="1" applyBorder="1" applyAlignment="1">
      <alignment horizontal="right" vertical="center" indent="3"/>
    </xf>
    <xf numFmtId="0" fontId="7" fillId="0" borderId="31" xfId="1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6" fillId="3" borderId="0" xfId="1" applyFont="1" applyFill="1" applyAlignment="1">
      <alignment vertical="center" wrapText="1"/>
    </xf>
    <xf numFmtId="0" fontId="6" fillId="3" borderId="0" xfId="1" applyFont="1" applyFill="1" applyAlignment="1">
      <alignment vertical="center"/>
    </xf>
    <xf numFmtId="0" fontId="2" fillId="0" borderId="0" xfId="0" applyFont="1" applyAlignment="1">
      <alignment horizontal="left" vertical="center" indent="2"/>
    </xf>
    <xf numFmtId="0" fontId="22" fillId="0" borderId="0" xfId="3" applyFont="1"/>
    <xf numFmtId="167" fontId="2" fillId="0" borderId="0" xfId="0" applyNumberFormat="1" applyFont="1" applyAlignment="1">
      <alignment vertical="center"/>
    </xf>
    <xf numFmtId="4" fontId="7" fillId="19" borderId="0" xfId="0" applyNumberFormat="1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2" fillId="15" borderId="0" xfId="0" applyFont="1" applyFill="1" applyAlignment="1">
      <alignment horizontal="left" vertical="center" indent="2"/>
    </xf>
    <xf numFmtId="0" fontId="6" fillId="0" borderId="5" xfId="1" applyFont="1" applyBorder="1" applyAlignment="1">
      <alignment vertical="center" wrapText="1"/>
    </xf>
    <xf numFmtId="9" fontId="25" fillId="8" borderId="1" xfId="0" applyNumberFormat="1" applyFont="1" applyFill="1" applyBorder="1" applyAlignment="1">
      <alignment horizontal="center" vertical="center"/>
    </xf>
    <xf numFmtId="9" fontId="24" fillId="8" borderId="1" xfId="0" applyNumberFormat="1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25" fillId="0" borderId="26" xfId="0" applyNumberFormat="1" applyFont="1" applyBorder="1" applyAlignment="1">
      <alignment horizontal="center" vertical="center"/>
    </xf>
    <xf numFmtId="2" fontId="24" fillId="0" borderId="7" xfId="0" applyNumberFormat="1" applyFont="1" applyBorder="1" applyAlignment="1">
      <alignment horizontal="center" vertical="center"/>
    </xf>
    <xf numFmtId="0" fontId="21" fillId="12" borderId="34" xfId="0" applyFont="1" applyFill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12" borderId="35" xfId="0" applyFont="1" applyFill="1" applyBorder="1" applyAlignment="1">
      <alignment vertical="center"/>
    </xf>
    <xf numFmtId="0" fontId="2" fillId="0" borderId="37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1" fillId="12" borderId="40" xfId="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1" fillId="12" borderId="35" xfId="0" applyFont="1" applyFill="1" applyBorder="1" applyAlignment="1">
      <alignment horizontal="left" vertical="center"/>
    </xf>
    <xf numFmtId="0" fontId="6" fillId="14" borderId="6" xfId="1" applyFont="1" applyFill="1" applyBorder="1" applyAlignment="1">
      <alignment vertical="center" wrapText="1"/>
    </xf>
    <xf numFmtId="1" fontId="7" fillId="0" borderId="7" xfId="0" applyNumberFormat="1" applyFont="1" applyBorder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165" fontId="7" fillId="0" borderId="31" xfId="0" applyNumberFormat="1" applyFont="1" applyBorder="1" applyAlignment="1">
      <alignment vertical="center"/>
    </xf>
    <xf numFmtId="1" fontId="7" fillId="0" borderId="32" xfId="0" applyNumberFormat="1" applyFont="1" applyBorder="1" applyAlignment="1">
      <alignment horizontal="left" vertical="center"/>
    </xf>
    <xf numFmtId="2" fontId="26" fillId="0" borderId="7" xfId="1" applyNumberFormat="1" applyFont="1" applyBorder="1" applyAlignment="1">
      <alignment horizontal="center" vertical="center"/>
    </xf>
    <xf numFmtId="0" fontId="6" fillId="14" borderId="5" xfId="1" applyFont="1" applyFill="1" applyBorder="1" applyAlignment="1">
      <alignment vertical="center" wrapText="1"/>
    </xf>
    <xf numFmtId="0" fontId="6" fillId="3" borderId="41" xfId="1" applyFont="1" applyFill="1" applyBorder="1" applyAlignment="1">
      <alignment vertical="center" wrapText="1"/>
    </xf>
    <xf numFmtId="0" fontId="2" fillId="0" borderId="37" xfId="0" applyFont="1" applyBorder="1" applyAlignment="1">
      <alignment vertical="center"/>
    </xf>
    <xf numFmtId="167" fontId="2" fillId="0" borderId="37" xfId="0" applyNumberFormat="1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6" fillId="3" borderId="34" xfId="1" applyFont="1" applyFill="1" applyBorder="1" applyAlignment="1">
      <alignment vertical="center" wrapText="1"/>
    </xf>
    <xf numFmtId="0" fontId="21" fillId="0" borderId="36" xfId="0" applyFont="1" applyBorder="1" applyAlignment="1">
      <alignment vertical="center"/>
    </xf>
    <xf numFmtId="0" fontId="21" fillId="0" borderId="38" xfId="0" applyFont="1" applyBorder="1" applyAlignment="1">
      <alignment vertical="center"/>
    </xf>
    <xf numFmtId="0" fontId="21" fillId="12" borderId="36" xfId="0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37" xfId="0" applyFont="1" applyFill="1" applyBorder="1" applyAlignment="1">
      <alignment vertical="center"/>
    </xf>
    <xf numFmtId="0" fontId="6" fillId="20" borderId="6" xfId="1" applyFont="1" applyFill="1" applyBorder="1" applyAlignment="1">
      <alignment vertical="center" wrapText="1"/>
    </xf>
    <xf numFmtId="0" fontId="6" fillId="20" borderId="5" xfId="1" applyFont="1" applyFill="1" applyBorder="1" applyAlignment="1">
      <alignment vertical="center" wrapText="1"/>
    </xf>
    <xf numFmtId="168" fontId="7" fillId="18" borderId="29" xfId="0" applyNumberFormat="1" applyFont="1" applyFill="1" applyBorder="1" applyAlignment="1">
      <alignment horizontal="center" vertical="center"/>
    </xf>
    <xf numFmtId="0" fontId="6" fillId="21" borderId="7" xfId="1" applyFont="1" applyFill="1" applyBorder="1" applyAlignment="1">
      <alignment horizontal="left" vertical="center" wrapText="1"/>
    </xf>
    <xf numFmtId="0" fontId="6" fillId="20" borderId="6" xfId="1" applyFont="1" applyFill="1" applyBorder="1" applyAlignment="1">
      <alignment horizontal="left" vertical="center" wrapText="1"/>
    </xf>
    <xf numFmtId="165" fontId="23" fillId="0" borderId="0" xfId="0" quotePrefix="1" applyNumberFormat="1" applyFont="1" applyAlignment="1">
      <alignment horizontal="left" vertical="center"/>
    </xf>
    <xf numFmtId="165" fontId="23" fillId="0" borderId="0" xfId="0" applyNumberFormat="1" applyFont="1" applyAlignment="1">
      <alignment horizontal="left" vertical="center"/>
    </xf>
    <xf numFmtId="165" fontId="7" fillId="0" borderId="32" xfId="0" applyNumberFormat="1" applyFont="1" applyBorder="1" applyAlignment="1">
      <alignment horizontal="left" vertical="center"/>
    </xf>
    <xf numFmtId="165" fontId="7" fillId="0" borderId="7" xfId="0" applyNumberFormat="1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167" fontId="2" fillId="19" borderId="0" xfId="0" applyNumberFormat="1" applyFont="1" applyFill="1" applyAlignment="1">
      <alignment horizontal="center" vertical="center"/>
    </xf>
    <xf numFmtId="166" fontId="7" fillId="0" borderId="7" xfId="1" applyNumberFormat="1" applyFont="1" applyBorder="1" applyAlignment="1">
      <alignment horizontal="center" vertical="center"/>
    </xf>
    <xf numFmtId="0" fontId="0" fillId="12" borderId="0" xfId="0" applyFill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9" fontId="3" fillId="2" borderId="4" xfId="4" applyFont="1" applyFill="1" applyBorder="1" applyAlignment="1">
      <alignment vertical="center"/>
    </xf>
    <xf numFmtId="9" fontId="2" fillId="0" borderId="0" xfId="5" applyFont="1" applyAlignment="1">
      <alignment horizontal="left" vertical="center"/>
    </xf>
    <xf numFmtId="2" fontId="24" fillId="16" borderId="7" xfId="0" applyNumberFormat="1" applyFont="1" applyFill="1" applyBorder="1" applyAlignment="1">
      <alignment horizontal="center" vertical="center"/>
    </xf>
    <xf numFmtId="0" fontId="14" fillId="4" borderId="16" xfId="1" applyFont="1" applyFill="1" applyBorder="1" applyAlignment="1">
      <alignment horizontal="left" vertical="center" wrapText="1"/>
    </xf>
    <xf numFmtId="2" fontId="7" fillId="0" borderId="7" xfId="0" applyNumberFormat="1" applyFont="1" applyBorder="1" applyAlignment="1">
      <alignment horizontal="center" vertical="center"/>
    </xf>
    <xf numFmtId="2" fontId="7" fillId="16" borderId="7" xfId="0" applyNumberFormat="1" applyFont="1" applyFill="1" applyBorder="1" applyAlignment="1">
      <alignment horizontal="center" vertical="center"/>
    </xf>
    <xf numFmtId="2" fontId="3" fillId="9" borderId="7" xfId="1" applyNumberFormat="1" applyFont="1" applyFill="1" applyBorder="1" applyAlignment="1">
      <alignment horizontal="center" vertical="center"/>
    </xf>
    <xf numFmtId="1" fontId="3" fillId="9" borderId="7" xfId="1" applyNumberFormat="1" applyFont="1" applyFill="1" applyBorder="1" applyAlignment="1">
      <alignment horizontal="center" vertical="center"/>
    </xf>
    <xf numFmtId="1" fontId="3" fillId="16" borderId="7" xfId="1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4" fontId="7" fillId="0" borderId="7" xfId="1" applyNumberFormat="1" applyFont="1" applyBorder="1" applyAlignment="1">
      <alignment vertical="center"/>
    </xf>
    <xf numFmtId="4" fontId="7" fillId="0" borderId="7" xfId="1" applyNumberFormat="1" applyFont="1" applyBorder="1" applyAlignment="1">
      <alignment horizontal="left" vertical="center"/>
    </xf>
    <xf numFmtId="0" fontId="7" fillId="0" borderId="33" xfId="0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164" fontId="7" fillId="0" borderId="7" xfId="1" applyNumberFormat="1" applyFont="1" applyBorder="1" applyAlignment="1">
      <alignment vertical="center"/>
    </xf>
    <xf numFmtId="2" fontId="5" fillId="0" borderId="7" xfId="1" applyNumberFormat="1" applyFont="1" applyBorder="1" applyAlignment="1">
      <alignment vertical="center"/>
    </xf>
    <xf numFmtId="3" fontId="5" fillId="0" borderId="7" xfId="1" applyNumberFormat="1" applyFont="1" applyBorder="1" applyAlignment="1">
      <alignment horizontal="center" vertical="center"/>
    </xf>
    <xf numFmtId="2" fontId="2" fillId="0" borderId="0" xfId="3" applyNumberFormat="1" applyFont="1" applyAlignment="1">
      <alignment horizontal="center" vertical="center"/>
    </xf>
    <xf numFmtId="1" fontId="5" fillId="0" borderId="7" xfId="1" applyNumberFormat="1" applyFont="1" applyBorder="1" applyAlignment="1">
      <alignment horizontal="center" vertical="center"/>
    </xf>
    <xf numFmtId="0" fontId="6" fillId="0" borderId="0" xfId="1" applyFont="1" applyAlignment="1">
      <alignment vertical="center" wrapText="1"/>
    </xf>
    <xf numFmtId="1" fontId="2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4" fontId="7" fillId="0" borderId="0" xfId="1" applyNumberFormat="1" applyFont="1" applyAlignment="1">
      <alignment horizontal="center" vertical="center"/>
    </xf>
    <xf numFmtId="1" fontId="2" fillId="0" borderId="0" xfId="3" applyNumberFormat="1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9" fillId="22" borderId="34" xfId="0" applyFont="1" applyFill="1" applyBorder="1" applyAlignment="1">
      <alignment vertical="center"/>
    </xf>
    <xf numFmtId="0" fontId="29" fillId="22" borderId="35" xfId="0" applyFont="1" applyFill="1" applyBorder="1" applyAlignment="1">
      <alignment vertical="center"/>
    </xf>
    <xf numFmtId="0" fontId="23" fillId="0" borderId="36" xfId="0" applyFont="1" applyBorder="1" applyAlignment="1">
      <alignment vertical="center"/>
    </xf>
    <xf numFmtId="0" fontId="23" fillId="0" borderId="37" xfId="0" applyFont="1" applyBorder="1" applyAlignment="1">
      <alignment horizontal="left" vertical="center"/>
    </xf>
    <xf numFmtId="1" fontId="25" fillId="0" borderId="47" xfId="0" applyNumberFormat="1" applyFon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0" xfId="3" applyFont="1" applyAlignment="1">
      <alignment horizontal="center" vertical="center" wrapText="1"/>
    </xf>
    <xf numFmtId="0" fontId="11" fillId="0" borderId="0" xfId="3" applyFont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4" fillId="8" borderId="11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11" fillId="0" borderId="15" xfId="3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9" fontId="3" fillId="2" borderId="11" xfId="4" applyFont="1" applyFill="1" applyBorder="1" applyAlignment="1">
      <alignment horizontal="center" vertical="center"/>
    </xf>
    <xf numFmtId="9" fontId="3" fillId="2" borderId="9" xfId="4" applyFont="1" applyFill="1" applyBorder="1" applyAlignment="1">
      <alignment horizontal="center" vertical="center"/>
    </xf>
    <xf numFmtId="9" fontId="3" fillId="2" borderId="4" xfId="4" applyFont="1" applyFill="1" applyBorder="1" applyAlignment="1">
      <alignment horizontal="center" vertical="center"/>
    </xf>
    <xf numFmtId="0" fontId="11" fillId="0" borderId="15" xfId="3" applyFont="1" applyBorder="1" applyAlignment="1">
      <alignment horizontal="center" vertical="center"/>
    </xf>
    <xf numFmtId="0" fontId="6" fillId="21" borderId="27" xfId="1" applyFont="1" applyFill="1" applyBorder="1" applyAlignment="1">
      <alignment horizontal="center" vertical="center" wrapText="1"/>
    </xf>
    <xf numFmtId="0" fontId="6" fillId="21" borderId="28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9" fontId="3" fillId="2" borderId="8" xfId="4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12" borderId="23" xfId="0" applyFont="1" applyFill="1" applyBorder="1" applyAlignment="1">
      <alignment vertical="center" wrapText="1"/>
    </xf>
    <xf numFmtId="0" fontId="2" fillId="12" borderId="24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0" fontId="6" fillId="3" borderId="40" xfId="1" applyFont="1" applyFill="1" applyBorder="1" applyAlignment="1">
      <alignment vertical="center" wrapText="1"/>
    </xf>
    <xf numFmtId="0" fontId="6" fillId="3" borderId="35" xfId="1" applyFont="1" applyFill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48" xfId="0" applyFont="1" applyBorder="1" applyAlignment="1">
      <alignment vertical="center" wrapText="1"/>
    </xf>
    <xf numFmtId="0" fontId="30" fillId="0" borderId="48" xfId="0" applyFont="1" applyBorder="1" applyAlignment="1">
      <alignment vertical="center" wrapText="1"/>
    </xf>
    <xf numFmtId="0" fontId="30" fillId="0" borderId="49" xfId="0" applyFont="1" applyBorder="1" applyAlignment="1">
      <alignment vertical="top" wrapText="1"/>
    </xf>
    <xf numFmtId="0" fontId="30" fillId="0" borderId="0" xfId="0" applyFont="1" applyAlignment="1">
      <alignment vertical="top" wrapText="1"/>
    </xf>
    <xf numFmtId="0" fontId="31" fillId="10" borderId="50" xfId="1" applyFont="1" applyFill="1" applyBorder="1" applyAlignment="1">
      <alignment horizontal="left" vertical="center" wrapText="1"/>
    </xf>
    <xf numFmtId="0" fontId="31" fillId="10" borderId="51" xfId="1" applyFont="1" applyFill="1" applyBorder="1" applyAlignment="1">
      <alignment horizontal="left" vertical="center" wrapText="1"/>
    </xf>
    <xf numFmtId="0" fontId="31" fillId="10" borderId="4" xfId="1" applyFont="1" applyFill="1" applyBorder="1" applyAlignment="1">
      <alignment horizontal="left" vertical="center" wrapText="1"/>
    </xf>
    <xf numFmtId="0" fontId="31" fillId="10" borderId="52" xfId="1" applyFont="1" applyFill="1" applyBorder="1" applyAlignment="1">
      <alignment horizontal="left" vertical="center" wrapText="1"/>
    </xf>
    <xf numFmtId="0" fontId="31" fillId="10" borderId="53" xfId="1" applyFont="1" applyFill="1" applyBorder="1" applyAlignment="1">
      <alignment horizontal="left" vertical="center" wrapText="1"/>
    </xf>
    <xf numFmtId="0" fontId="31" fillId="10" borderId="17" xfId="1" applyFont="1" applyFill="1" applyBorder="1" applyAlignment="1">
      <alignment horizontal="left" vertical="center" wrapText="1"/>
    </xf>
    <xf numFmtId="0" fontId="30" fillId="0" borderId="0" xfId="0" applyFont="1"/>
    <xf numFmtId="0" fontId="30" fillId="0" borderId="0" xfId="0" applyFont="1" applyAlignment="1">
      <alignment vertical="center"/>
    </xf>
    <xf numFmtId="0" fontId="30" fillId="0" borderId="48" xfId="0" applyFont="1" applyBorder="1" applyAlignment="1">
      <alignment vertical="center"/>
    </xf>
    <xf numFmtId="0" fontId="30" fillId="0" borderId="49" xfId="0" applyFont="1" applyBorder="1" applyAlignment="1">
      <alignment vertical="center"/>
    </xf>
    <xf numFmtId="9" fontId="30" fillId="0" borderId="48" xfId="0" applyNumberFormat="1" applyFont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10" fontId="30" fillId="0" borderId="0" xfId="5" applyNumberFormat="1" applyFont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9" fontId="30" fillId="0" borderId="1" xfId="0" applyNumberFormat="1" applyFont="1" applyBorder="1" applyAlignment="1">
      <alignment horizontal="left" vertical="center"/>
    </xf>
    <xf numFmtId="9" fontId="3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9" fontId="32" fillId="0" borderId="0" xfId="5" applyFont="1" applyAlignment="1">
      <alignment horizontal="center" vertical="center"/>
    </xf>
    <xf numFmtId="10" fontId="32" fillId="0" borderId="0" xfId="5" applyNumberFormat="1" applyFont="1" applyAlignment="1">
      <alignment horizontal="center" vertical="center"/>
    </xf>
    <xf numFmtId="0" fontId="31" fillId="3" borderId="5" xfId="1" applyFont="1" applyFill="1" applyBorder="1" applyAlignment="1">
      <alignment vertical="center" wrapText="1"/>
    </xf>
    <xf numFmtId="0" fontId="6" fillId="4" borderId="16" xfId="1" applyFont="1" applyFill="1" applyBorder="1" applyAlignment="1">
      <alignment horizontal="left" vertical="center" wrapText="1"/>
    </xf>
    <xf numFmtId="167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9" fontId="30" fillId="0" borderId="0" xfId="0" applyNumberFormat="1" applyFont="1" applyAlignment="1">
      <alignment horizontal="left" vertical="center"/>
    </xf>
    <xf numFmtId="10" fontId="30" fillId="0" borderId="0" xfId="5" applyNumberFormat="1" applyFont="1" applyAlignment="1">
      <alignment horizontal="left" vertical="center"/>
    </xf>
  </cellXfs>
  <cellStyles count="6">
    <cellStyle name="Normal" xfId="0" builtinId="0"/>
    <cellStyle name="Normal 2" xfId="1" xr:uid="{E2ACF6CD-0110-7241-A0A6-888D0D6F69EC}"/>
    <cellStyle name="Normal 3" xfId="3" xr:uid="{04DBF96D-9921-DC49-846A-5D992906946A}"/>
    <cellStyle name="Per cent" xfId="5" builtinId="5"/>
    <cellStyle name="Per cent 2" xfId="2" xr:uid="{7DD62742-E1CF-4A48-8F79-0A2134C7337A}"/>
    <cellStyle name="Per cent 3" xfId="4" xr:uid="{7FBFD8B0-4F8E-CD44-87CA-574A4F0F0268}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3CCE2"/>
      <color rgb="FFDBDAEB"/>
      <color rgb="FFF2F0FF"/>
      <color rgb="FF655D9C"/>
      <color rgb="FFA790C8"/>
      <color rgb="FFEAF4FE"/>
      <color rgb="FFDEE8FF"/>
      <color rgb="FFD9E2F9"/>
      <color rgb="FFBCB2E4"/>
      <color rgb="FFE9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TU%20EMSc%20capstone/2026%20capstone%20pivot/01%20data%20+%20WIP/01%20data%20+%20pillars/pillars/05%20Full%20Pillars%20Data/2026%2006%2026%20Pillars%20Data/WIP.xlsx" TargetMode="External"/><Relationship Id="rId2" Type="http://schemas.openxmlformats.org/officeDocument/2006/relationships/externalLinkPath" Target="/Users/gracetay/Desktop/NTU%20EMSc%20capstone/2026%20capstone%20pivot/01%20data%20+%20WIP/01%20data%20+%20pillars/pillars/05%20Full%20Pillars%20Data/2026%2006%2026%20Pillars%20Data/WIP.xlsx" TargetMode="External"/><Relationship Id="rId1" Type="http://schemas.openxmlformats.org/officeDocument/2006/relationships/externalLinkPath" Target="/Users/gracetay/Desktop/NTU%20EMSc%20capstone/2026%20capstone%20pivot/01%20data%20+%20WIP/01%20data%20+%20pillars/pillars/05%20Full%20Pillars%20Data/2026%2006%2026%20Pillars%20Data/WIP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TU%20EMSc%20capstone/2026%20capstone%20pivot/01%20data%20+%20WIP/05%20overlay%20&#8211;%20POC/03%20-%20final%20overlay/Index_Model_07_overlay.xlsx" TargetMode="External"/><Relationship Id="rId2" Type="http://schemas.openxmlformats.org/officeDocument/2006/relationships/externalLinkPath" Target="/Users/gracetay/Desktop/NTU%20EMSc%20capstone/2026%20capstone%20pivot/01%20data%20+%20WIP/05%20overlay%20&#8211;%20POC/03%20-%20final%20overlay/Index_Model_07_overlay.xlsx" TargetMode="External"/><Relationship Id="rId1" Type="http://schemas.openxmlformats.org/officeDocument/2006/relationships/externalLinkPath" Target="/Users/gracetay/Desktop/NTU%20EMSc%20capstone/2026%20capstone%20pivot/01%20data%20+%20WIP/05%20overlay%20&#8211;%20POC/03%20-%20final%20overlay/Index_Model_07_overlay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TU%20EMSc%20capstone/2026%20capstone%20pivot/01%20data%20+%20WIP/01%20data%20+%20pillars/pillars/05%20Full%20Pillars%20Data/2026%2006%2026%20Pillars%20Data/Index_Model%202.xlsx" TargetMode="External"/><Relationship Id="rId2" Type="http://schemas.openxmlformats.org/officeDocument/2006/relationships/externalLinkPath" Target="/Users/gracetay/Desktop/NTU%20EMSc%20capstone/2026%20capstone%20pivot/01%20data%20+%20WIP/01%20data%20+%20pillars/pillars/05%20Full%20Pillars%20Data/2026%2006%2026%20Pillars%20Data/Index_Model%202.xlsx" TargetMode="External"/><Relationship Id="rId1" Type="http://schemas.openxmlformats.org/officeDocument/2006/relationships/externalLinkPath" Target="/Users/gracetay/Desktop/NTU%20EMSc%20capstone/2026%20capstone%20pivot/01%20data%20+%20WIP/01%20data%20+%20pillars/pillars/05%20Full%20Pillars%20Data/2026%2006%2026%20Pillars%20Data/Index_Model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illars_WIP"/>
      <sheetName val="to do"/>
      <sheetName val="- pillars decisionlog"/>
      <sheetName val="- missing data rules"/>
      <sheetName val="comp_GEM_CFP"/>
      <sheetName val="raw_GEM_CFP"/>
      <sheetName val="comp_GEM_coal"/>
      <sheetName val="raw_GEM_coal"/>
      <sheetName val="clean_EMBER_2024"/>
      <sheetName val="raw_EMBER"/>
      <sheetName val="clean_WB_WGI"/>
      <sheetName val="clean_WB_RISE_RE_2023"/>
      <sheetName val="raw_WB_RISE_RE_2023"/>
      <sheetName val="clean_BERKELEY"/>
      <sheetName val="clean_WB_CARBON_PRICING_DASH"/>
      <sheetName val="comp_WB_CARBON_PRICING_DASH"/>
      <sheetName val="raw_WB_CARBON_PRICING_DASH"/>
      <sheetName val="comp_UNEPCCC_A6_PIPELINE_new"/>
      <sheetName val="raw_UNEPCCC_A6_PIPELINE_new"/>
      <sheetName val="clean_A6_PIPELINE"/>
      <sheetName val="raw_A6_PIPELINE"/>
      <sheetName val="comp_BW_WRI"/>
      <sheetName val="raw_WB_WDI_DC"/>
      <sheetName val="raw_WB_WDI_CPI"/>
      <sheetName val="raw_IMF_WEO"/>
      <sheetName val="comp_WB_PPI_ENERGY"/>
      <sheetName val="clean_WB_WDI_PPI_ELECTRICITY"/>
      <sheetName val="raw_WB_WDI_PPI_ELECTRICITY"/>
      <sheetName val="comp_ITUC"/>
      <sheetName val="raw_ILO_SOCIAL"/>
      <sheetName val="raw_WB_UNEMPLOYMENT"/>
      <sheetName val="raw_UNHDI"/>
      <sheetName val="comp_WB_POP"/>
      <sheetName val="comp_WB_WDI_FX"/>
      <sheetName val="raw_WB_WDI_FX"/>
    </sheetNames>
    <sheetDataSet>
      <sheetData sheetId="0">
        <row r="1">
          <cell r="X1"/>
        </row>
        <row r="2">
          <cell r="B2"/>
          <cell r="X2"/>
        </row>
        <row r="3">
          <cell r="B3"/>
          <cell r="X3">
            <v>0.2</v>
          </cell>
        </row>
        <row r="4">
          <cell r="B4"/>
          <cell r="X4">
            <v>0.2</v>
          </cell>
        </row>
        <row r="5">
          <cell r="X5" t="str">
            <v>Article 6 institutional readiness score</v>
          </cell>
        </row>
        <row r="6">
          <cell r="B6" t="str">
            <v>Country Code (ISO3)</v>
          </cell>
          <cell r="X6" t="str">
            <v>article_6_institutional_readiness_score</v>
          </cell>
        </row>
        <row r="7">
          <cell r="B7" t="str">
            <v>AFG</v>
          </cell>
          <cell r="C7">
            <v>0</v>
          </cell>
          <cell r="D7">
            <v>3.03</v>
          </cell>
          <cell r="E7">
            <v>86.87</v>
          </cell>
          <cell r="F7">
            <v>11.11</v>
          </cell>
          <cell r="G7">
            <v>131.31</v>
          </cell>
          <cell r="H7">
            <v>12.116402116402099</v>
          </cell>
          <cell r="I7" t="str">
            <v>Proposed coal pipeline; Operating coal capacity = 0 MW</v>
          </cell>
          <cell r="J7" t="str">
            <v>Coal capacity under construction; Operating coal capacity = 0 MW</v>
          </cell>
          <cell r="K7">
            <v>-0.2214285714285715</v>
          </cell>
          <cell r="L7">
            <v>-0.42771428571428566</v>
          </cell>
          <cell r="M7">
            <v>5.0745714285714287</v>
          </cell>
          <cell r="N7">
            <v>0</v>
          </cell>
          <cell r="O7" t="str">
            <v/>
          </cell>
          <cell r="P7">
            <v>28.23</v>
          </cell>
          <cell r="Q7">
            <v>13.74</v>
          </cell>
          <cell r="R7">
            <v>30.6</v>
          </cell>
          <cell r="S7">
            <v>23.65</v>
          </cell>
          <cell r="T7">
            <v>21.36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C7" t="str">
            <v>Missing</v>
          </cell>
          <cell r="AD7">
            <v>-6.60118564073725</v>
          </cell>
          <cell r="AE7">
            <v>8.9120000000000008</v>
          </cell>
          <cell r="AF7">
            <v>0</v>
          </cell>
          <cell r="AG7">
            <v>0</v>
          </cell>
          <cell r="AH7" t="str">
            <v>Missing</v>
          </cell>
          <cell r="AI7" t="str">
            <v>5+</v>
          </cell>
          <cell r="AJ7">
            <v>7.5</v>
          </cell>
          <cell r="AK7">
            <v>0.496</v>
          </cell>
          <cell r="AL7">
            <v>22.234999999999999</v>
          </cell>
          <cell r="AM7">
            <v>13.686999999999999</v>
          </cell>
          <cell r="AN7">
            <v>0</v>
          </cell>
        </row>
        <row r="8">
          <cell r="B8" t="str">
            <v>ALB</v>
          </cell>
          <cell r="C8">
            <v>0</v>
          </cell>
          <cell r="D8">
            <v>0</v>
          </cell>
          <cell r="E8">
            <v>100</v>
          </cell>
          <cell r="F8">
            <v>4.08</v>
          </cell>
          <cell r="G8">
            <v>25.18</v>
          </cell>
          <cell r="H8">
            <v>51.010582010581999</v>
          </cell>
          <cell r="I8" t="str">
            <v>Proposed coal pipeline; Operating coal capacity = 0 MW</v>
          </cell>
          <cell r="J8" t="str">
            <v>Coal capacity under construction; Operating coal capacity = 0 MW</v>
          </cell>
          <cell r="K8">
            <v>0</v>
          </cell>
          <cell r="L8">
            <v>0</v>
          </cell>
          <cell r="M8">
            <v>0.32057142857142895</v>
          </cell>
          <cell r="N8">
            <v>100</v>
          </cell>
          <cell r="O8" t="str">
            <v/>
          </cell>
          <cell r="P8">
            <v>66.239999999999995</v>
          </cell>
          <cell r="Q8">
            <v>57.41</v>
          </cell>
          <cell r="R8">
            <v>57</v>
          </cell>
          <cell r="S8">
            <v>54.93</v>
          </cell>
          <cell r="T8">
            <v>39.340000000000003</v>
          </cell>
          <cell r="U8">
            <v>1</v>
          </cell>
          <cell r="V8">
            <v>0</v>
          </cell>
          <cell r="W8">
            <v>0</v>
          </cell>
          <cell r="X8">
            <v>20</v>
          </cell>
          <cell r="Y8">
            <v>25</v>
          </cell>
          <cell r="Z8">
            <v>0</v>
          </cell>
          <cell r="AA8">
            <v>0</v>
          </cell>
          <cell r="AC8">
            <v>34.126089863132961</v>
          </cell>
          <cell r="AD8">
            <v>2.21587375089991</v>
          </cell>
          <cell r="AE8">
            <v>54.505000000000003</v>
          </cell>
          <cell r="AF8">
            <v>187330000</v>
          </cell>
          <cell r="AG8">
            <v>2</v>
          </cell>
          <cell r="AH8">
            <v>6.8236381714610435</v>
          </cell>
          <cell r="AI8">
            <v>3</v>
          </cell>
          <cell r="AJ8">
            <v>78.099999999999994</v>
          </cell>
          <cell r="AK8">
            <v>0.81</v>
          </cell>
          <cell r="AL8">
            <v>79.114999999999995</v>
          </cell>
          <cell r="AM8">
            <v>10.689</v>
          </cell>
          <cell r="AN8">
            <v>0</v>
          </cell>
        </row>
        <row r="9">
          <cell r="B9" t="str">
            <v>ARG</v>
          </cell>
          <cell r="C9">
            <v>525</v>
          </cell>
          <cell r="D9">
            <v>0.86</v>
          </cell>
          <cell r="E9">
            <v>34.369999999999997</v>
          </cell>
          <cell r="F9">
            <v>13.2</v>
          </cell>
          <cell r="G9">
            <v>344.83</v>
          </cell>
          <cell r="H9">
            <v>49.621693121693099</v>
          </cell>
          <cell r="I9">
            <v>0</v>
          </cell>
          <cell r="J9">
            <v>0.22857142857142856</v>
          </cell>
          <cell r="K9">
            <v>1.3142857142857142E-2</v>
          </cell>
          <cell r="L9">
            <v>2.2991428571428565</v>
          </cell>
          <cell r="M9">
            <v>-11.704285714285719</v>
          </cell>
          <cell r="N9">
            <v>100</v>
          </cell>
          <cell r="O9">
            <v>0</v>
          </cell>
          <cell r="P9">
            <v>62.99</v>
          </cell>
          <cell r="Q9">
            <v>54.91</v>
          </cell>
          <cell r="R9">
            <v>51.16</v>
          </cell>
          <cell r="S9">
            <v>52.64</v>
          </cell>
          <cell r="T9">
            <v>41.26</v>
          </cell>
          <cell r="U9">
            <v>38</v>
          </cell>
          <cell r="V9">
            <v>3459098</v>
          </cell>
          <cell r="W9">
            <v>1668745</v>
          </cell>
          <cell r="X9">
            <v>40</v>
          </cell>
          <cell r="Y9">
            <v>50</v>
          </cell>
          <cell r="Z9">
            <v>0</v>
          </cell>
          <cell r="AA9">
            <v>0</v>
          </cell>
          <cell r="AC9">
            <v>15.117677838107465</v>
          </cell>
          <cell r="AD9">
            <v>219.883929014578</v>
          </cell>
          <cell r="AE9">
            <v>84.653000000000006</v>
          </cell>
          <cell r="AF9">
            <v>1429000000</v>
          </cell>
          <cell r="AG9">
            <v>10</v>
          </cell>
          <cell r="AH9">
            <v>58.886263966383432</v>
          </cell>
          <cell r="AI9">
            <v>3</v>
          </cell>
          <cell r="AJ9">
            <v>65.900000000000006</v>
          </cell>
          <cell r="AK9">
            <v>0.86499999999999999</v>
          </cell>
          <cell r="AL9">
            <v>73.110000000000014</v>
          </cell>
          <cell r="AM9">
            <v>7.15</v>
          </cell>
          <cell r="AN9">
            <v>11.488930612308137</v>
          </cell>
        </row>
        <row r="10">
          <cell r="B10" t="str">
            <v>AUS</v>
          </cell>
          <cell r="C10">
            <v>22629</v>
          </cell>
          <cell r="D10">
            <v>45.21</v>
          </cell>
          <cell r="E10">
            <v>35.07</v>
          </cell>
          <cell r="F10">
            <v>29.45</v>
          </cell>
          <cell r="G10">
            <v>553.83000000000004</v>
          </cell>
          <cell r="H10">
            <v>67.981481481481495</v>
          </cell>
          <cell r="I10">
            <v>8.3521145432851648E-2</v>
          </cell>
          <cell r="J10">
            <v>0</v>
          </cell>
          <cell r="K10">
            <v>-2.3854285714285708</v>
          </cell>
          <cell r="L10">
            <v>3.036285714285714</v>
          </cell>
          <cell r="M10">
            <v>-24.75028571428571</v>
          </cell>
          <cell r="N10">
            <v>100</v>
          </cell>
          <cell r="O10">
            <v>0</v>
          </cell>
          <cell r="P10">
            <v>79.44</v>
          </cell>
          <cell r="Q10">
            <v>86.52</v>
          </cell>
          <cell r="R10">
            <v>82.03</v>
          </cell>
          <cell r="S10">
            <v>82.27</v>
          </cell>
          <cell r="T10">
            <v>85.34</v>
          </cell>
          <cell r="U10">
            <v>17</v>
          </cell>
          <cell r="V10">
            <v>886994</v>
          </cell>
          <cell r="W10">
            <v>889510</v>
          </cell>
          <cell r="X10">
            <v>0</v>
          </cell>
          <cell r="Y10">
            <v>25</v>
          </cell>
          <cell r="Z10">
            <v>0</v>
          </cell>
          <cell r="AA10">
            <v>0</v>
          </cell>
          <cell r="AC10">
            <v>129.31734965158907</v>
          </cell>
          <cell r="AD10">
            <v>3.16656665428797</v>
          </cell>
          <cell r="AE10">
            <v>50.610999999999997</v>
          </cell>
          <cell r="AF10">
            <v>0</v>
          </cell>
          <cell r="AG10">
            <v>0</v>
          </cell>
          <cell r="AH10">
            <v>4.544523708101857</v>
          </cell>
          <cell r="AI10">
            <v>3</v>
          </cell>
          <cell r="AJ10">
            <v>94</v>
          </cell>
          <cell r="AK10">
            <v>0.95799999999999996</v>
          </cell>
          <cell r="AL10">
            <v>94.63</v>
          </cell>
          <cell r="AM10">
            <v>3.9420000000000002</v>
          </cell>
          <cell r="AN10">
            <v>832.0460501032253</v>
          </cell>
        </row>
        <row r="11">
          <cell r="B11" t="str">
            <v>AUT</v>
          </cell>
          <cell r="C11">
            <v>0</v>
          </cell>
          <cell r="D11">
            <v>0</v>
          </cell>
          <cell r="E11">
            <v>86.22</v>
          </cell>
          <cell r="F11">
            <v>22.02</v>
          </cell>
          <cell r="G11">
            <v>103.48</v>
          </cell>
          <cell r="H11">
            <v>82.425925925925895</v>
          </cell>
          <cell r="I11" t="str">
            <v>Proposed coal pipeline; Operating coal capacity = 0 MW</v>
          </cell>
          <cell r="J11" t="str">
            <v>Coal capacity under construction; Operating coal capacity = 0 MW</v>
          </cell>
          <cell r="K11">
            <v>-0.37228571428571433</v>
          </cell>
          <cell r="L11">
            <v>1.632285714285713</v>
          </cell>
          <cell r="M11">
            <v>-8.7322857142857142</v>
          </cell>
          <cell r="N11">
            <v>100</v>
          </cell>
          <cell r="O11" t="str">
            <v/>
          </cell>
          <cell r="P11">
            <v>74.290000000000006</v>
          </cell>
          <cell r="Q11">
            <v>80.790000000000006</v>
          </cell>
          <cell r="R11">
            <v>76.17</v>
          </cell>
          <cell r="S11">
            <v>85.84</v>
          </cell>
          <cell r="T11">
            <v>74.06</v>
          </cell>
          <cell r="U11">
            <v>1</v>
          </cell>
          <cell r="V11">
            <v>0</v>
          </cell>
          <cell r="W11">
            <v>0</v>
          </cell>
          <cell r="X11">
            <v>20</v>
          </cell>
          <cell r="Y11">
            <v>25</v>
          </cell>
          <cell r="Z11">
            <v>0</v>
          </cell>
          <cell r="AA11">
            <v>0</v>
          </cell>
          <cell r="AC11">
            <v>81.76526510212291</v>
          </cell>
          <cell r="AD11">
            <v>2.9379157427937499</v>
          </cell>
          <cell r="AE11">
            <v>79.176000000000002</v>
          </cell>
          <cell r="AF11">
            <v>0</v>
          </cell>
          <cell r="AG11">
            <v>0</v>
          </cell>
          <cell r="AH11">
            <v>3.971852141641294</v>
          </cell>
          <cell r="AI11">
            <v>1</v>
          </cell>
          <cell r="AJ11">
            <v>100</v>
          </cell>
          <cell r="AK11">
            <v>0.93</v>
          </cell>
          <cell r="AL11">
            <v>97.55</v>
          </cell>
          <cell r="AM11">
            <v>5.2</v>
          </cell>
          <cell r="AN11">
            <v>0</v>
          </cell>
        </row>
        <row r="12">
          <cell r="B12" t="str">
            <v>BGD</v>
          </cell>
          <cell r="C12">
            <v>7230</v>
          </cell>
          <cell r="D12">
            <v>19.940000000000001</v>
          </cell>
          <cell r="E12">
            <v>1.89</v>
          </cell>
          <cell r="F12">
            <v>1.2</v>
          </cell>
          <cell r="G12">
            <v>695.7</v>
          </cell>
          <cell r="H12">
            <v>26.785714285714199</v>
          </cell>
          <cell r="I12">
            <v>0.65006915629322271</v>
          </cell>
          <cell r="J12">
            <v>0.18257261410788381</v>
          </cell>
          <cell r="K12">
            <v>3.2231428571428573</v>
          </cell>
          <cell r="L12">
            <v>9.6857142857142864E-2</v>
          </cell>
          <cell r="M12">
            <v>3.1762857142857261</v>
          </cell>
          <cell r="N12">
            <v>0</v>
          </cell>
          <cell r="O12">
            <v>0</v>
          </cell>
          <cell r="P12">
            <v>40.9</v>
          </cell>
          <cell r="Q12">
            <v>39.31</v>
          </cell>
          <cell r="R12">
            <v>39.880000000000003</v>
          </cell>
          <cell r="S12">
            <v>40.44</v>
          </cell>
          <cell r="T12">
            <v>25.55</v>
          </cell>
          <cell r="U12">
            <v>150</v>
          </cell>
          <cell r="V12">
            <v>31216785</v>
          </cell>
          <cell r="W12">
            <v>5579922</v>
          </cell>
          <cell r="X12">
            <v>80</v>
          </cell>
          <cell r="Y12">
            <v>75</v>
          </cell>
          <cell r="Z12">
            <v>1</v>
          </cell>
          <cell r="AA12">
            <v>0</v>
          </cell>
          <cell r="AC12">
            <v>35.811171578796269</v>
          </cell>
          <cell r="AD12">
            <v>10.4657482763412</v>
          </cell>
          <cell r="AE12">
            <v>40.972000000000001</v>
          </cell>
          <cell r="AF12">
            <v>2971850000</v>
          </cell>
          <cell r="AG12">
            <v>11</v>
          </cell>
          <cell r="AH12">
            <v>6.2793241904130745</v>
          </cell>
          <cell r="AI12">
            <v>5</v>
          </cell>
          <cell r="AJ12">
            <v>22</v>
          </cell>
          <cell r="AK12">
            <v>0.68500000000000005</v>
          </cell>
          <cell r="AL12">
            <v>38.274999999999999</v>
          </cell>
          <cell r="AM12">
            <v>3.6349999999999998</v>
          </cell>
          <cell r="AN12">
            <v>41.656496451039352</v>
          </cell>
        </row>
        <row r="13">
          <cell r="B13" t="str">
            <v>BLR</v>
          </cell>
          <cell r="C13">
            <v>0</v>
          </cell>
          <cell r="D13">
            <v>0.04</v>
          </cell>
          <cell r="E13">
            <v>3.08</v>
          </cell>
          <cell r="F13">
            <v>1.01</v>
          </cell>
          <cell r="G13">
            <v>329.55</v>
          </cell>
          <cell r="H13">
            <v>22.4735449735449</v>
          </cell>
          <cell r="I13" t="str">
            <v>Proposed coal pipeline; Operating coal capacity = 0 MW</v>
          </cell>
          <cell r="J13" t="str">
            <v>Coal capacity under construction; Operating coal capacity = 0 MW</v>
          </cell>
          <cell r="K13">
            <v>-6.5714285714285727E-3</v>
          </cell>
          <cell r="L13">
            <v>5.7999999999999996E-2</v>
          </cell>
          <cell r="M13">
            <v>-35.90257142857142</v>
          </cell>
          <cell r="N13">
            <v>0</v>
          </cell>
          <cell r="O13" t="str">
            <v/>
          </cell>
          <cell r="P13">
            <v>59.45</v>
          </cell>
          <cell r="Q13">
            <v>37.700000000000003</v>
          </cell>
          <cell r="R13">
            <v>35.43</v>
          </cell>
          <cell r="S13">
            <v>35.79</v>
          </cell>
          <cell r="T13">
            <v>36.15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C13" t="str">
            <v>Missing</v>
          </cell>
          <cell r="AD13">
            <v>5.7853191042799796</v>
          </cell>
          <cell r="AE13">
            <v>38.698999999999998</v>
          </cell>
          <cell r="AF13">
            <v>0</v>
          </cell>
          <cell r="AG13">
            <v>0</v>
          </cell>
          <cell r="AH13">
            <v>8.7893108538948521</v>
          </cell>
          <cell r="AI13">
            <v>5</v>
          </cell>
          <cell r="AJ13">
            <v>36</v>
          </cell>
          <cell r="AK13">
            <v>0.82399999999999995</v>
          </cell>
          <cell r="AL13">
            <v>52.239999999999995</v>
          </cell>
          <cell r="AM13">
            <v>3.4580000000000002</v>
          </cell>
          <cell r="AN13">
            <v>0</v>
          </cell>
        </row>
        <row r="14">
          <cell r="B14" t="str">
            <v>BEL</v>
          </cell>
          <cell r="C14">
            <v>0</v>
          </cell>
          <cell r="D14">
            <v>0</v>
          </cell>
          <cell r="E14">
            <v>35.229999999999997</v>
          </cell>
          <cell r="F14">
            <v>29.76</v>
          </cell>
          <cell r="G14">
            <v>126.96</v>
          </cell>
          <cell r="H14">
            <v>80.592592592592496</v>
          </cell>
          <cell r="I14" t="str">
            <v>Proposed coal pipeline; Operating coal capacity = 0 MW</v>
          </cell>
          <cell r="J14" t="str">
            <v>Coal capacity under construction; Operating coal capacity = 0 MW</v>
          </cell>
          <cell r="K14">
            <v>0</v>
          </cell>
          <cell r="L14">
            <v>2.7085714285714282</v>
          </cell>
          <cell r="M14">
            <v>-6.7460000000000022</v>
          </cell>
          <cell r="N14">
            <v>100</v>
          </cell>
          <cell r="O14" t="str">
            <v/>
          </cell>
          <cell r="P14">
            <v>67.97</v>
          </cell>
          <cell r="Q14">
            <v>74.569999999999993</v>
          </cell>
          <cell r="R14">
            <v>74.48</v>
          </cell>
          <cell r="S14">
            <v>79.040000000000006</v>
          </cell>
          <cell r="T14">
            <v>77.59</v>
          </cell>
          <cell r="U14">
            <v>2</v>
          </cell>
          <cell r="V14">
            <v>0</v>
          </cell>
          <cell r="W14">
            <v>0</v>
          </cell>
          <cell r="X14">
            <v>0</v>
          </cell>
          <cell r="Y14">
            <v>25</v>
          </cell>
          <cell r="Z14">
            <v>0</v>
          </cell>
          <cell r="AA14">
            <v>0</v>
          </cell>
          <cell r="AC14">
            <v>68.098372358698228</v>
          </cell>
          <cell r="AD14">
            <v>3.1434913650004099</v>
          </cell>
          <cell r="AE14">
            <v>103.89</v>
          </cell>
          <cell r="AF14">
            <v>0</v>
          </cell>
          <cell r="AG14">
            <v>0</v>
          </cell>
          <cell r="AH14">
            <v>3.971852141641294</v>
          </cell>
          <cell r="AI14">
            <v>3</v>
          </cell>
          <cell r="AJ14">
            <v>100</v>
          </cell>
          <cell r="AK14">
            <v>0.95099999999999996</v>
          </cell>
          <cell r="AL14">
            <v>98.284999999999997</v>
          </cell>
          <cell r="AM14">
            <v>5.7</v>
          </cell>
          <cell r="AN14">
            <v>0</v>
          </cell>
        </row>
        <row r="15">
          <cell r="B15" t="str">
            <v>BIH</v>
          </cell>
          <cell r="C15">
            <v>1990</v>
          </cell>
          <cell r="D15">
            <v>58.68</v>
          </cell>
          <cell r="E15">
            <v>40.35</v>
          </cell>
          <cell r="F15">
            <v>4.91</v>
          </cell>
          <cell r="G15">
            <v>601.03</v>
          </cell>
          <cell r="H15">
            <v>35.8333333333333</v>
          </cell>
          <cell r="I15">
            <v>1.0552763819095476</v>
          </cell>
          <cell r="J15">
            <v>0</v>
          </cell>
          <cell r="K15">
            <v>-1.6234285714285717</v>
          </cell>
          <cell r="L15">
            <v>1.5148571428571431</v>
          </cell>
          <cell r="M15">
            <v>-14.808857142857155</v>
          </cell>
          <cell r="N15">
            <v>0</v>
          </cell>
          <cell r="O15">
            <v>0</v>
          </cell>
          <cell r="P15">
            <v>57.34</v>
          </cell>
          <cell r="Q15">
            <v>38.99</v>
          </cell>
          <cell r="R15">
            <v>49.35</v>
          </cell>
          <cell r="S15">
            <v>51.47</v>
          </cell>
          <cell r="T15">
            <v>37.47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C15">
            <v>48.267377161078976</v>
          </cell>
          <cell r="AD15">
            <v>1.69212733599723</v>
          </cell>
          <cell r="AE15">
            <v>29.402999999999999</v>
          </cell>
          <cell r="AF15">
            <v>574010000</v>
          </cell>
          <cell r="AG15">
            <v>4</v>
          </cell>
          <cell r="AH15">
            <v>4.0096151932862849</v>
          </cell>
          <cell r="AI15">
            <v>3</v>
          </cell>
          <cell r="AJ15">
            <v>54.5</v>
          </cell>
          <cell r="AK15">
            <v>0.80400000000000005</v>
          </cell>
          <cell r="AL15">
            <v>63.565000000000005</v>
          </cell>
          <cell r="AM15">
            <v>10.69</v>
          </cell>
          <cell r="AN15">
            <v>628.90040714190684</v>
          </cell>
        </row>
        <row r="16">
          <cell r="B16" t="str">
            <v>BWA</v>
          </cell>
          <cell r="C16">
            <v>732</v>
          </cell>
          <cell r="D16">
            <v>98.25</v>
          </cell>
          <cell r="E16">
            <v>0.28999999999999998</v>
          </cell>
          <cell r="F16">
            <v>0.28999999999999998</v>
          </cell>
          <cell r="G16">
            <v>851.31</v>
          </cell>
          <cell r="H16" t="str">
            <v>Missing</v>
          </cell>
          <cell r="I16">
            <v>2.4795081967213113</v>
          </cell>
          <cell r="J16">
            <v>0</v>
          </cell>
          <cell r="K16">
            <v>-7.1428571428570217E-2</v>
          </cell>
          <cell r="L16">
            <v>-2.8857142857142862E-2</v>
          </cell>
          <cell r="M16">
            <v>0.32799999999998752</v>
          </cell>
          <cell r="N16">
            <v>20</v>
          </cell>
          <cell r="O16">
            <v>0</v>
          </cell>
          <cell r="P16">
            <v>83.53</v>
          </cell>
          <cell r="Q16">
            <v>59.45</v>
          </cell>
          <cell r="R16">
            <v>61.2</v>
          </cell>
          <cell r="S16">
            <v>62.34</v>
          </cell>
          <cell r="T16">
            <v>60.63</v>
          </cell>
          <cell r="U16">
            <v>4</v>
          </cell>
          <cell r="V16">
            <v>0</v>
          </cell>
          <cell r="W16">
            <v>0</v>
          </cell>
          <cell r="X16">
            <v>20</v>
          </cell>
          <cell r="Y16">
            <v>25</v>
          </cell>
          <cell r="Z16">
            <v>0</v>
          </cell>
          <cell r="AA16">
            <v>0</v>
          </cell>
          <cell r="AC16">
            <v>32.927920818892744</v>
          </cell>
          <cell r="AD16">
            <v>2.8183513167625098</v>
          </cell>
          <cell r="AE16">
            <v>33.182000000000002</v>
          </cell>
          <cell r="AF16">
            <v>125500000</v>
          </cell>
          <cell r="AG16">
            <v>5</v>
          </cell>
          <cell r="AH16">
            <v>6.0455458099869741</v>
          </cell>
          <cell r="AI16">
            <v>4</v>
          </cell>
          <cell r="AJ16">
            <v>13.5</v>
          </cell>
          <cell r="AK16">
            <v>0.73099999999999998</v>
          </cell>
          <cell r="AL16">
            <v>34.36</v>
          </cell>
          <cell r="AM16">
            <v>23.81</v>
          </cell>
          <cell r="AN16">
            <v>290.34495916329882</v>
          </cell>
        </row>
        <row r="17">
          <cell r="B17" t="str">
            <v>BRA</v>
          </cell>
          <cell r="C17">
            <v>2997</v>
          </cell>
          <cell r="D17">
            <v>2.17</v>
          </cell>
          <cell r="E17">
            <v>87.33</v>
          </cell>
          <cell r="F17">
            <v>24.11</v>
          </cell>
          <cell r="G17">
            <v>106.06</v>
          </cell>
          <cell r="H17">
            <v>65.092592592592595</v>
          </cell>
          <cell r="I17">
            <v>0</v>
          </cell>
          <cell r="J17">
            <v>0</v>
          </cell>
          <cell r="K17">
            <v>-0.30371428571428571</v>
          </cell>
          <cell r="L17">
            <v>1.6460000000000008</v>
          </cell>
          <cell r="M17">
            <v>-10.152285714285716</v>
          </cell>
          <cell r="N17">
            <v>70</v>
          </cell>
          <cell r="O17">
            <v>0</v>
          </cell>
          <cell r="P17">
            <v>57</v>
          </cell>
          <cell r="Q17">
            <v>46.98</v>
          </cell>
          <cell r="R17">
            <v>50.22</v>
          </cell>
          <cell r="S17">
            <v>49.28</v>
          </cell>
          <cell r="T17">
            <v>39.58</v>
          </cell>
          <cell r="U17">
            <v>318</v>
          </cell>
          <cell r="V17">
            <v>134042540</v>
          </cell>
          <cell r="W17">
            <v>73769614</v>
          </cell>
          <cell r="X17">
            <v>60</v>
          </cell>
          <cell r="Y17">
            <v>50</v>
          </cell>
          <cell r="Z17">
            <v>2</v>
          </cell>
          <cell r="AA17">
            <v>0</v>
          </cell>
          <cell r="AC17">
            <v>75.630873093954193</v>
          </cell>
          <cell r="AD17">
            <v>4.3674640765233601</v>
          </cell>
          <cell r="AE17">
            <v>87.028000000000006</v>
          </cell>
          <cell r="AF17">
            <v>25347470000</v>
          </cell>
          <cell r="AG17">
            <v>158</v>
          </cell>
          <cell r="AH17">
            <v>9.3225893529959389</v>
          </cell>
          <cell r="AI17">
            <v>4</v>
          </cell>
          <cell r="AJ17">
            <v>71.2</v>
          </cell>
          <cell r="AK17">
            <v>0.78600000000000003</v>
          </cell>
          <cell r="AL17">
            <v>73.790000000000006</v>
          </cell>
          <cell r="AM17">
            <v>6.8010000000000002</v>
          </cell>
          <cell r="AN17">
            <v>14.136887610087829</v>
          </cell>
        </row>
        <row r="18">
          <cell r="B18" t="str">
            <v>BRN</v>
          </cell>
          <cell r="C18">
            <v>220</v>
          </cell>
          <cell r="D18">
            <v>19.78</v>
          </cell>
          <cell r="E18">
            <v>0.18</v>
          </cell>
          <cell r="F18">
            <v>0.18</v>
          </cell>
          <cell r="G18">
            <v>892.09</v>
          </cell>
          <cell r="H18" t="str">
            <v>Missing</v>
          </cell>
          <cell r="I18">
            <v>0</v>
          </cell>
          <cell r="J18">
            <v>0</v>
          </cell>
          <cell r="K18">
            <v>1.3385714285714287</v>
          </cell>
          <cell r="L18">
            <v>2.5714285714285714E-2</v>
          </cell>
          <cell r="M18">
            <v>-0.76199999999999235</v>
          </cell>
          <cell r="N18">
            <v>20</v>
          </cell>
          <cell r="O18">
            <v>0</v>
          </cell>
          <cell r="P18">
            <v>86.44</v>
          </cell>
          <cell r="Q18">
            <v>67.58</v>
          </cell>
          <cell r="R18">
            <v>68.849999999999994</v>
          </cell>
          <cell r="S18">
            <v>67.08</v>
          </cell>
          <cell r="T18">
            <v>71.86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25</v>
          </cell>
          <cell r="Z18">
            <v>0</v>
          </cell>
          <cell r="AA18">
            <v>0</v>
          </cell>
          <cell r="AC18">
            <v>37.709648247503921</v>
          </cell>
          <cell r="AD18">
            <v>-0.38867416503646002</v>
          </cell>
          <cell r="AE18">
            <v>1.5680000000000001</v>
          </cell>
          <cell r="AF18">
            <v>0</v>
          </cell>
          <cell r="AG18">
            <v>0</v>
          </cell>
          <cell r="AH18">
            <v>1.9018232303704559</v>
          </cell>
          <cell r="AI18" t="str">
            <v>Missing</v>
          </cell>
          <cell r="AJ18">
            <v>36</v>
          </cell>
          <cell r="AK18">
            <v>0.83699999999999997</v>
          </cell>
          <cell r="AL18">
            <v>52.695</v>
          </cell>
          <cell r="AM18">
            <v>5.18</v>
          </cell>
          <cell r="AN18">
            <v>475.44848839797635</v>
          </cell>
        </row>
        <row r="19">
          <cell r="B19" t="str">
            <v>BGR</v>
          </cell>
          <cell r="C19">
            <v>4115</v>
          </cell>
          <cell r="D19">
            <v>22.87</v>
          </cell>
          <cell r="E19">
            <v>29.91</v>
          </cell>
          <cell r="F19">
            <v>18.14</v>
          </cell>
          <cell r="G19">
            <v>278.85000000000002</v>
          </cell>
          <cell r="H19">
            <v>65.074074074074005</v>
          </cell>
          <cell r="I19">
            <v>0</v>
          </cell>
          <cell r="J19">
            <v>0</v>
          </cell>
          <cell r="K19">
            <v>-2.5248571428571429</v>
          </cell>
          <cell r="L19">
            <v>2.302285714285714</v>
          </cell>
          <cell r="M19">
            <v>-24.99942857142857</v>
          </cell>
          <cell r="N19">
            <v>100</v>
          </cell>
          <cell r="O19">
            <v>25</v>
          </cell>
          <cell r="P19">
            <v>66.58</v>
          </cell>
          <cell r="Q19">
            <v>52.17</v>
          </cell>
          <cell r="R19">
            <v>59.41</v>
          </cell>
          <cell r="S19">
            <v>56.39</v>
          </cell>
          <cell r="T19">
            <v>43</v>
          </cell>
          <cell r="U19">
            <v>7</v>
          </cell>
          <cell r="V19">
            <v>3294107</v>
          </cell>
          <cell r="W19">
            <v>2837625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C19">
            <v>47.067902488525043</v>
          </cell>
          <cell r="AD19">
            <v>2.4465194300607802</v>
          </cell>
          <cell r="AE19">
            <v>23.84</v>
          </cell>
          <cell r="AF19">
            <v>691090000</v>
          </cell>
          <cell r="AG19">
            <v>7</v>
          </cell>
          <cell r="AH19">
            <v>4.0194877861182716</v>
          </cell>
          <cell r="AI19">
            <v>3</v>
          </cell>
          <cell r="AJ19">
            <v>82.8</v>
          </cell>
          <cell r="AK19">
            <v>0.84499999999999997</v>
          </cell>
          <cell r="AL19">
            <v>83.394999999999996</v>
          </cell>
          <cell r="AM19">
            <v>4.2</v>
          </cell>
          <cell r="AN19">
            <v>638.83419512557862</v>
          </cell>
        </row>
        <row r="20">
          <cell r="B20" t="str">
            <v>KHM</v>
          </cell>
          <cell r="C20">
            <v>1455</v>
          </cell>
          <cell r="D20">
            <v>60.92</v>
          </cell>
          <cell r="E20">
            <v>35.659999999999997</v>
          </cell>
          <cell r="F20">
            <v>6.91</v>
          </cell>
          <cell r="G20">
            <v>538.76</v>
          </cell>
          <cell r="H20">
            <v>16.507936507936499</v>
          </cell>
          <cell r="I20">
            <v>0</v>
          </cell>
          <cell r="J20">
            <v>0.18213058419243985</v>
          </cell>
          <cell r="K20">
            <v>4.0277142857142856</v>
          </cell>
          <cell r="L20">
            <v>-2.7694285714285716</v>
          </cell>
          <cell r="M20">
            <v>21.459714285714284</v>
          </cell>
          <cell r="N20">
            <v>0</v>
          </cell>
          <cell r="O20">
            <v>0</v>
          </cell>
          <cell r="P20">
            <v>68.09</v>
          </cell>
          <cell r="Q20">
            <v>45.63</v>
          </cell>
          <cell r="R20">
            <v>44.91</v>
          </cell>
          <cell r="S20">
            <v>38.79</v>
          </cell>
          <cell r="T20">
            <v>22.9</v>
          </cell>
          <cell r="U20">
            <v>33</v>
          </cell>
          <cell r="V20">
            <v>53027341</v>
          </cell>
          <cell r="W20">
            <v>21741690</v>
          </cell>
          <cell r="X20">
            <v>100</v>
          </cell>
          <cell r="Y20">
            <v>75</v>
          </cell>
          <cell r="Z20">
            <v>3</v>
          </cell>
          <cell r="AA20">
            <v>0</v>
          </cell>
          <cell r="AC20">
            <v>124.65976574946571</v>
          </cell>
          <cell r="AD20">
            <v>0.80804201653665408</v>
          </cell>
          <cell r="AE20">
            <v>26.138000000000002</v>
          </cell>
          <cell r="AF20">
            <v>588700000</v>
          </cell>
          <cell r="AG20">
            <v>4</v>
          </cell>
          <cell r="AH20">
            <v>0.42931824410321684</v>
          </cell>
          <cell r="AI20">
            <v>5</v>
          </cell>
          <cell r="AJ20">
            <v>20.8</v>
          </cell>
          <cell r="AK20">
            <v>0.60599999999999998</v>
          </cell>
          <cell r="AL20">
            <v>34.730000000000004</v>
          </cell>
          <cell r="AM20">
            <v>0.254</v>
          </cell>
          <cell r="AN20">
            <v>82.488599990441529</v>
          </cell>
        </row>
        <row r="21">
          <cell r="B21" t="str">
            <v>CAN</v>
          </cell>
          <cell r="C21">
            <v>3080.8</v>
          </cell>
          <cell r="D21">
            <v>3.95</v>
          </cell>
          <cell r="E21">
            <v>64.27</v>
          </cell>
          <cell r="F21">
            <v>8.83</v>
          </cell>
          <cell r="G21">
            <v>185.35</v>
          </cell>
          <cell r="H21">
            <v>66.870370370370296</v>
          </cell>
          <cell r="I21">
            <v>0</v>
          </cell>
          <cell r="J21">
            <v>0</v>
          </cell>
          <cell r="K21">
            <v>-0.76</v>
          </cell>
          <cell r="L21">
            <v>-0.2202857142857145</v>
          </cell>
          <cell r="M21">
            <v>3.1448571428571412</v>
          </cell>
          <cell r="N21">
            <v>100</v>
          </cell>
          <cell r="O21">
            <v>75</v>
          </cell>
          <cell r="P21">
            <v>76.12</v>
          </cell>
          <cell r="Q21">
            <v>85.54</v>
          </cell>
          <cell r="R21">
            <v>76.349999999999994</v>
          </cell>
          <cell r="S21">
            <v>82.11</v>
          </cell>
          <cell r="T21">
            <v>80.89</v>
          </cell>
          <cell r="U21">
            <v>56</v>
          </cell>
          <cell r="V21">
            <v>11222541</v>
          </cell>
          <cell r="W21">
            <v>5052214</v>
          </cell>
          <cell r="X21">
            <v>0</v>
          </cell>
          <cell r="Y21">
            <v>25</v>
          </cell>
          <cell r="Z21">
            <v>0</v>
          </cell>
          <cell r="AA21">
            <v>0</v>
          </cell>
          <cell r="AC21" t="str">
            <v>Missing</v>
          </cell>
          <cell r="AD21">
            <v>2.3815838328117298</v>
          </cell>
          <cell r="AE21">
            <v>110.01900000000001</v>
          </cell>
          <cell r="AF21">
            <v>0</v>
          </cell>
          <cell r="AG21">
            <v>0</v>
          </cell>
          <cell r="AH21">
            <v>3.3231325851537763</v>
          </cell>
          <cell r="AI21">
            <v>3</v>
          </cell>
          <cell r="AJ21">
            <v>95.6</v>
          </cell>
          <cell r="AK21">
            <v>0.93899999999999995</v>
          </cell>
          <cell r="AL21">
            <v>95.004999999999995</v>
          </cell>
          <cell r="AM21">
            <v>6.351</v>
          </cell>
          <cell r="AN21">
            <v>74.616239703362183</v>
          </cell>
        </row>
        <row r="22">
          <cell r="B22" t="str">
            <v>CHL</v>
          </cell>
          <cell r="C22">
            <v>3117</v>
          </cell>
          <cell r="D22">
            <v>15.3</v>
          </cell>
          <cell r="E22">
            <v>70.040000000000006</v>
          </cell>
          <cell r="F22">
            <v>34.549999999999997</v>
          </cell>
          <cell r="G22">
            <v>259.87</v>
          </cell>
          <cell r="H22">
            <v>67.0555555555555</v>
          </cell>
          <cell r="I22">
            <v>0</v>
          </cell>
          <cell r="J22">
            <v>0</v>
          </cell>
          <cell r="K22">
            <v>-4.0505714285714287</v>
          </cell>
          <cell r="L22">
            <v>4.8477142857142868</v>
          </cell>
          <cell r="M22">
            <v>-41.159142857142854</v>
          </cell>
          <cell r="N22">
            <v>100</v>
          </cell>
          <cell r="O22">
            <v>100</v>
          </cell>
          <cell r="P22">
            <v>67.97</v>
          </cell>
          <cell r="Q22">
            <v>70.09</v>
          </cell>
          <cell r="R22">
            <v>67.180000000000007</v>
          </cell>
          <cell r="S22">
            <v>68.86</v>
          </cell>
          <cell r="T22">
            <v>70.239999999999995</v>
          </cell>
          <cell r="U22">
            <v>38</v>
          </cell>
          <cell r="V22">
            <v>8441279</v>
          </cell>
          <cell r="W22">
            <v>6165234</v>
          </cell>
          <cell r="X22">
            <v>80</v>
          </cell>
          <cell r="Y22">
            <v>50</v>
          </cell>
          <cell r="Z22">
            <v>3</v>
          </cell>
          <cell r="AA22">
            <v>0</v>
          </cell>
          <cell r="AC22">
            <v>104.04383547392868</v>
          </cell>
          <cell r="AD22">
            <v>4.2976389157252397</v>
          </cell>
          <cell r="AE22">
            <v>41.65</v>
          </cell>
          <cell r="AF22">
            <v>0</v>
          </cell>
          <cell r="AG22">
            <v>0</v>
          </cell>
          <cell r="AH22">
            <v>9.1832566492538756</v>
          </cell>
          <cell r="AI22">
            <v>3</v>
          </cell>
          <cell r="AJ22">
            <v>75.3</v>
          </cell>
          <cell r="AK22">
            <v>0.878</v>
          </cell>
          <cell r="AL22">
            <v>79.674999999999997</v>
          </cell>
          <cell r="AM22">
            <v>8.718</v>
          </cell>
          <cell r="AN22">
            <v>157.70483756174053</v>
          </cell>
        </row>
        <row r="23">
          <cell r="B23" t="str">
            <v>CHN</v>
          </cell>
          <cell r="C23">
            <v>1239021.8</v>
          </cell>
          <cell r="D23">
            <v>57.77</v>
          </cell>
          <cell r="E23">
            <v>33.700000000000003</v>
          </cell>
          <cell r="F23">
            <v>18.2</v>
          </cell>
          <cell r="G23">
            <v>555.4</v>
          </cell>
          <cell r="H23">
            <v>58.410052910052897</v>
          </cell>
          <cell r="I23">
            <v>0.34141126491882545</v>
          </cell>
          <cell r="J23">
            <v>0.166551548971939</v>
          </cell>
          <cell r="K23">
            <v>-1.2379999999999991</v>
          </cell>
          <cell r="L23">
            <v>1.2371428571428573</v>
          </cell>
          <cell r="M23">
            <v>-11.520000000000001</v>
          </cell>
          <cell r="N23">
            <v>100</v>
          </cell>
          <cell r="O23">
            <v>0</v>
          </cell>
          <cell r="P23">
            <v>63.28</v>
          </cell>
          <cell r="Q23">
            <v>68.760000000000005</v>
          </cell>
          <cell r="R23">
            <v>53.74</v>
          </cell>
          <cell r="S23">
            <v>46.99</v>
          </cell>
          <cell r="T23">
            <v>49.65</v>
          </cell>
          <cell r="U23">
            <v>1509</v>
          </cell>
          <cell r="V23">
            <v>248090673</v>
          </cell>
          <cell r="W23">
            <v>137779021</v>
          </cell>
          <cell r="X23">
            <v>20</v>
          </cell>
          <cell r="Y23">
            <v>25</v>
          </cell>
          <cell r="Z23">
            <v>0</v>
          </cell>
          <cell r="AA23">
            <v>0</v>
          </cell>
          <cell r="AC23">
            <v>194.16599684481059</v>
          </cell>
          <cell r="AD23">
            <v>0.21812893843917699</v>
          </cell>
          <cell r="AE23">
            <v>90.421000000000006</v>
          </cell>
          <cell r="AF23">
            <v>76432280000</v>
          </cell>
          <cell r="AG23">
            <v>91</v>
          </cell>
          <cell r="AH23">
            <v>3.5725187582707991</v>
          </cell>
          <cell r="AI23">
            <v>5</v>
          </cell>
          <cell r="AJ23">
            <v>75.599999999999994</v>
          </cell>
          <cell r="AK23">
            <v>0.95499999999999996</v>
          </cell>
          <cell r="AL23">
            <v>82.564999999999998</v>
          </cell>
          <cell r="AM23">
            <v>4.59</v>
          </cell>
          <cell r="AN23">
            <v>879.37812949129693</v>
          </cell>
        </row>
        <row r="24">
          <cell r="B24" t="str">
            <v>COL</v>
          </cell>
          <cell r="C24">
            <v>1613</v>
          </cell>
          <cell r="D24">
            <v>12.58</v>
          </cell>
          <cell r="E24">
            <v>61.35</v>
          </cell>
          <cell r="F24">
            <v>4.0199999999999996</v>
          </cell>
          <cell r="G24">
            <v>298.3</v>
          </cell>
          <cell r="H24">
            <v>48.923280423280403</v>
          </cell>
          <cell r="I24">
            <v>0</v>
          </cell>
          <cell r="J24">
            <v>0</v>
          </cell>
          <cell r="K24">
            <v>0.25114285714285711</v>
          </cell>
          <cell r="L24">
            <v>-1.0411428571428551</v>
          </cell>
          <cell r="M24">
            <v>7.2737142857142905</v>
          </cell>
          <cell r="N24">
            <v>100</v>
          </cell>
          <cell r="O24">
            <v>50</v>
          </cell>
          <cell r="P24">
            <v>49.31</v>
          </cell>
          <cell r="Q24">
            <v>49.18</v>
          </cell>
          <cell r="R24">
            <v>55.07</v>
          </cell>
          <cell r="S24">
            <v>47.33</v>
          </cell>
          <cell r="T24">
            <v>41.91</v>
          </cell>
          <cell r="U24">
            <v>111</v>
          </cell>
          <cell r="V24">
            <v>42818119</v>
          </cell>
          <cell r="W24">
            <v>28761607</v>
          </cell>
          <cell r="X24">
            <v>40</v>
          </cell>
          <cell r="Y24">
            <v>25</v>
          </cell>
          <cell r="Z24">
            <v>1</v>
          </cell>
          <cell r="AA24">
            <v>0</v>
          </cell>
          <cell r="AC24">
            <v>39.532576060728289</v>
          </cell>
          <cell r="AD24">
            <v>6.6090859372822797</v>
          </cell>
          <cell r="AE24">
            <v>61.008000000000003</v>
          </cell>
          <cell r="AF24">
            <v>1737690000</v>
          </cell>
          <cell r="AG24">
            <v>17</v>
          </cell>
          <cell r="AH24">
            <v>6.723921936948936</v>
          </cell>
          <cell r="AI24">
            <v>5</v>
          </cell>
          <cell r="AJ24">
            <v>58.3</v>
          </cell>
          <cell r="AK24">
            <v>0.78800000000000003</v>
          </cell>
          <cell r="AL24">
            <v>65.474999999999994</v>
          </cell>
          <cell r="AM24">
            <v>9.6189999999999998</v>
          </cell>
          <cell r="AN24">
            <v>30.499355760198522</v>
          </cell>
        </row>
        <row r="25">
          <cell r="B25" t="str">
            <v>HRV</v>
          </cell>
          <cell r="C25">
            <v>217</v>
          </cell>
          <cell r="D25">
            <v>5.23</v>
          </cell>
          <cell r="E25">
            <v>73.45</v>
          </cell>
          <cell r="F25">
            <v>22.89</v>
          </cell>
          <cell r="G25">
            <v>170.7</v>
          </cell>
          <cell r="H25">
            <v>59.2222222222222</v>
          </cell>
          <cell r="I25">
            <v>0</v>
          </cell>
          <cell r="J25">
            <v>0</v>
          </cell>
          <cell r="K25">
            <v>-1.2005714285714284</v>
          </cell>
          <cell r="L25">
            <v>1.3557142857142861</v>
          </cell>
          <cell r="M25">
            <v>-12.03314285714286</v>
          </cell>
          <cell r="N25">
            <v>100</v>
          </cell>
          <cell r="O25">
            <v>25</v>
          </cell>
          <cell r="P25">
            <v>75.83</v>
          </cell>
          <cell r="Q25">
            <v>65.14</v>
          </cell>
          <cell r="R25">
            <v>59.37</v>
          </cell>
          <cell r="S25">
            <v>63.46</v>
          </cell>
          <cell r="T25">
            <v>50.86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C25">
            <v>46.860941011976877</v>
          </cell>
          <cell r="AD25">
            <v>2.9720047764361812</v>
          </cell>
          <cell r="AE25">
            <v>57.369</v>
          </cell>
          <cell r="AF25">
            <v>0</v>
          </cell>
          <cell r="AG25">
            <v>0</v>
          </cell>
          <cell r="AH25">
            <v>44.130147240178175</v>
          </cell>
          <cell r="AI25">
            <v>2</v>
          </cell>
          <cell r="AJ25">
            <v>81.400000000000006</v>
          </cell>
          <cell r="AK25">
            <v>0.88900000000000001</v>
          </cell>
          <cell r="AL25">
            <v>84.025000000000006</v>
          </cell>
          <cell r="AM25">
            <v>5</v>
          </cell>
          <cell r="AN25">
            <v>56.127463659407169</v>
          </cell>
        </row>
        <row r="26">
          <cell r="B26" t="str">
            <v>CZE</v>
          </cell>
          <cell r="C26">
            <v>6803.6</v>
          </cell>
          <cell r="D26">
            <v>36.42</v>
          </cell>
          <cell r="E26">
            <v>16.89</v>
          </cell>
          <cell r="F26">
            <v>5.85</v>
          </cell>
          <cell r="G26">
            <v>414.23</v>
          </cell>
          <cell r="H26">
            <v>77.703703703703695</v>
          </cell>
          <cell r="I26">
            <v>0</v>
          </cell>
          <cell r="J26">
            <v>0</v>
          </cell>
          <cell r="K26">
            <v>-0.85885714285714254</v>
          </cell>
          <cell r="L26">
            <v>0.89314285714285713</v>
          </cell>
          <cell r="M26">
            <v>-13.785428571428568</v>
          </cell>
          <cell r="N26">
            <v>100</v>
          </cell>
          <cell r="O26">
            <v>75</v>
          </cell>
          <cell r="P26">
            <v>82.5</v>
          </cell>
          <cell r="Q26">
            <v>74.23</v>
          </cell>
          <cell r="R26">
            <v>74.290000000000006</v>
          </cell>
          <cell r="S26">
            <v>77.41</v>
          </cell>
          <cell r="T26">
            <v>66.7</v>
          </cell>
          <cell r="U26">
            <v>0</v>
          </cell>
          <cell r="V26">
            <v>0</v>
          </cell>
          <cell r="W26">
            <v>0</v>
          </cell>
          <cell r="X26">
            <v>20</v>
          </cell>
          <cell r="Y26">
            <v>0</v>
          </cell>
          <cell r="Z26">
            <v>0</v>
          </cell>
          <cell r="AA26">
            <v>0</v>
          </cell>
          <cell r="AC26">
            <v>48.027375341192638</v>
          </cell>
          <cell r="AD26">
            <v>2.4353120243531401</v>
          </cell>
          <cell r="AE26">
            <v>43.290999999999997</v>
          </cell>
          <cell r="AF26">
            <v>0</v>
          </cell>
          <cell r="AG26">
            <v>0</v>
          </cell>
          <cell r="AH26">
            <v>5.0138337915159887</v>
          </cell>
          <cell r="AI26">
            <v>2</v>
          </cell>
          <cell r="AJ26">
            <v>78.900000000000006</v>
          </cell>
          <cell r="AK26">
            <v>0.91500000000000004</v>
          </cell>
          <cell r="AL26">
            <v>83.31</v>
          </cell>
          <cell r="AM26">
            <v>2.6</v>
          </cell>
          <cell r="AN26">
            <v>623.89569288588723</v>
          </cell>
        </row>
        <row r="27">
          <cell r="B27" t="str">
            <v>CIV</v>
          </cell>
          <cell r="C27">
            <v>0</v>
          </cell>
          <cell r="D27">
            <v>0</v>
          </cell>
          <cell r="E27">
            <v>28.92</v>
          </cell>
          <cell r="F27">
            <v>0.19</v>
          </cell>
          <cell r="G27">
            <v>405.01</v>
          </cell>
          <cell r="H27">
            <v>28.407407407407401</v>
          </cell>
          <cell r="I27" t="str">
            <v>Proposed coal pipeline; Operating coal capacity = 0 MW</v>
          </cell>
          <cell r="J27" t="str">
            <v>Coal capacity under construction; Operating coal capacity = 0 MW</v>
          </cell>
          <cell r="K27">
            <v>0</v>
          </cell>
          <cell r="L27">
            <v>-0.53428571428571392</v>
          </cell>
          <cell r="M27">
            <v>2.8928571428571446</v>
          </cell>
          <cell r="N27">
            <v>20</v>
          </cell>
          <cell r="O27" t="str">
            <v/>
          </cell>
          <cell r="P27">
            <v>51.48</v>
          </cell>
          <cell r="Q27">
            <v>45.2</v>
          </cell>
          <cell r="R27">
            <v>52.23</v>
          </cell>
          <cell r="S27">
            <v>47.01</v>
          </cell>
          <cell r="T27">
            <v>42.09</v>
          </cell>
          <cell r="U27">
            <v>11</v>
          </cell>
          <cell r="V27">
            <v>5030370</v>
          </cell>
          <cell r="W27">
            <v>305323</v>
          </cell>
          <cell r="X27">
            <v>40</v>
          </cell>
          <cell r="Y27">
            <v>50</v>
          </cell>
          <cell r="Z27">
            <v>0</v>
          </cell>
          <cell r="AA27">
            <v>0</v>
          </cell>
          <cell r="AC27" t="str">
            <v>Missing</v>
          </cell>
          <cell r="AD27">
            <v>3.4505302813101801</v>
          </cell>
          <cell r="AE27">
            <v>59.459000000000003</v>
          </cell>
          <cell r="AF27">
            <v>1347100000</v>
          </cell>
          <cell r="AG27">
            <v>6</v>
          </cell>
          <cell r="AH27">
            <v>4.0200889946654925</v>
          </cell>
          <cell r="AI27">
            <v>3</v>
          </cell>
          <cell r="AJ27">
            <v>12.1</v>
          </cell>
          <cell r="AK27">
            <v>0.58199999999999996</v>
          </cell>
          <cell r="AL27">
            <v>28.234999999999999</v>
          </cell>
          <cell r="AM27">
            <v>2.2730000000000001</v>
          </cell>
          <cell r="AN27">
            <v>0</v>
          </cell>
        </row>
        <row r="28">
          <cell r="B28" t="str">
            <v>COD</v>
          </cell>
          <cell r="C28">
            <v>0</v>
          </cell>
          <cell r="D28">
            <v>0</v>
          </cell>
          <cell r="E28">
            <v>100</v>
          </cell>
          <cell r="F28">
            <v>15.77</v>
          </cell>
          <cell r="G28">
            <v>27.64</v>
          </cell>
          <cell r="H28">
            <v>16.3941798941798</v>
          </cell>
          <cell r="I28" t="str">
            <v>Proposed coal pipeline; Operating coal capacity = 0 MW</v>
          </cell>
          <cell r="J28" t="str">
            <v>Coal capacity under construction; Operating coal capacity = 0 MW</v>
          </cell>
          <cell r="K28">
            <v>0</v>
          </cell>
          <cell r="L28">
            <v>1.9714285714286055E-2</v>
          </cell>
          <cell r="M28">
            <v>0.65028571428571424</v>
          </cell>
          <cell r="N28">
            <v>0</v>
          </cell>
          <cell r="O28" t="str">
            <v/>
          </cell>
          <cell r="P28">
            <v>29.7</v>
          </cell>
          <cell r="Q28">
            <v>18.41</v>
          </cell>
          <cell r="R28">
            <v>34.6</v>
          </cell>
          <cell r="S28">
            <v>28.97</v>
          </cell>
          <cell r="T28">
            <v>17.18</v>
          </cell>
          <cell r="U28">
            <v>48</v>
          </cell>
          <cell r="V28">
            <v>43856715</v>
          </cell>
          <cell r="W28">
            <v>14495257</v>
          </cell>
          <cell r="X28">
            <v>20</v>
          </cell>
          <cell r="Y28">
            <v>50</v>
          </cell>
          <cell r="Z28">
            <v>0</v>
          </cell>
          <cell r="AA28">
            <v>0</v>
          </cell>
          <cell r="AC28" t="str">
            <v>Missing</v>
          </cell>
          <cell r="AD28" t="str">
            <v>Missing</v>
          </cell>
          <cell r="AE28">
            <v>15.840999999999999</v>
          </cell>
          <cell r="AF28">
            <v>785000000</v>
          </cell>
          <cell r="AG28">
            <v>4</v>
          </cell>
          <cell r="AH28" t="str">
            <v>Missing</v>
          </cell>
          <cell r="AI28">
            <v>4</v>
          </cell>
          <cell r="AJ28">
            <v>5.2</v>
          </cell>
          <cell r="AK28">
            <v>0.52200000000000002</v>
          </cell>
          <cell r="AL28">
            <v>21.65</v>
          </cell>
          <cell r="AM28">
            <v>4.4210000000000003</v>
          </cell>
          <cell r="AN28">
            <v>0</v>
          </cell>
        </row>
        <row r="29">
          <cell r="B29" t="str">
            <v>DNK</v>
          </cell>
          <cell r="C29">
            <v>411</v>
          </cell>
          <cell r="D29">
            <v>4.99</v>
          </cell>
          <cell r="E29">
            <v>89.19</v>
          </cell>
          <cell r="F29">
            <v>68.989999999999995</v>
          </cell>
          <cell r="G29">
            <v>131.77000000000001</v>
          </cell>
          <cell r="H29">
            <v>89.518518518518505</v>
          </cell>
          <cell r="I29">
            <v>0</v>
          </cell>
          <cell r="J29">
            <v>0</v>
          </cell>
          <cell r="K29">
            <v>-1.194</v>
          </cell>
          <cell r="L29">
            <v>1.9374285714285719</v>
          </cell>
          <cell r="M29">
            <v>-14.081999999999997</v>
          </cell>
          <cell r="N29">
            <v>100</v>
          </cell>
          <cell r="O29">
            <v>100</v>
          </cell>
          <cell r="P29">
            <v>79.03</v>
          </cell>
          <cell r="Q29">
            <v>88.53</v>
          </cell>
          <cell r="R29">
            <v>85.31</v>
          </cell>
          <cell r="S29">
            <v>91.46</v>
          </cell>
          <cell r="T29">
            <v>94.16</v>
          </cell>
          <cell r="U29">
            <v>2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>
            <v>144.062236896793</v>
          </cell>
          <cell r="AD29">
            <v>1.3722004976892499</v>
          </cell>
          <cell r="AE29">
            <v>30.544</v>
          </cell>
          <cell r="AF29">
            <v>0</v>
          </cell>
          <cell r="AG29">
            <v>0</v>
          </cell>
          <cell r="AH29">
            <v>4.0931766909259917</v>
          </cell>
          <cell r="AI29">
            <v>1</v>
          </cell>
          <cell r="AJ29">
            <v>100</v>
          </cell>
          <cell r="AK29">
            <v>0.96199999999999997</v>
          </cell>
          <cell r="AL29">
            <v>98.67</v>
          </cell>
          <cell r="AM29">
            <v>5.3579999999999997</v>
          </cell>
          <cell r="AN29">
            <v>68.763685813867582</v>
          </cell>
        </row>
        <row r="30">
          <cell r="B30" t="str">
            <v>DJI</v>
          </cell>
          <cell r="C30">
            <v>0</v>
          </cell>
          <cell r="D30">
            <v>0</v>
          </cell>
          <cell r="E30">
            <v>35</v>
          </cell>
          <cell r="F30">
            <v>35</v>
          </cell>
          <cell r="G30">
            <v>450</v>
          </cell>
          <cell r="H30" t="str">
            <v>Missing</v>
          </cell>
          <cell r="I30" t="str">
            <v>Proposed coal pipeline; Operating coal capacity = 0 MW</v>
          </cell>
          <cell r="J30" t="str">
            <v>Coal capacity under construction; Operating coal capacity = 0 MW</v>
          </cell>
          <cell r="K30">
            <v>0</v>
          </cell>
          <cell r="L30">
            <v>8</v>
          </cell>
          <cell r="M30">
            <v>-51.722285714285704</v>
          </cell>
          <cell r="N30">
            <v>0</v>
          </cell>
          <cell r="O30" t="str">
            <v/>
          </cell>
          <cell r="P30">
            <v>56.39</v>
          </cell>
          <cell r="Q30">
            <v>41.75</v>
          </cell>
          <cell r="R30">
            <v>41.41</v>
          </cell>
          <cell r="S30">
            <v>39.58</v>
          </cell>
          <cell r="T30">
            <v>29.82</v>
          </cell>
          <cell r="U30">
            <v>3</v>
          </cell>
          <cell r="V30">
            <v>0</v>
          </cell>
          <cell r="W30">
            <v>0</v>
          </cell>
          <cell r="X30">
            <v>20</v>
          </cell>
          <cell r="Y30">
            <v>0</v>
          </cell>
          <cell r="Z30">
            <v>0</v>
          </cell>
          <cell r="AA30">
            <v>0</v>
          </cell>
          <cell r="AC30">
            <v>23.102527660018566</v>
          </cell>
          <cell r="AD30">
            <v>2.1120116728496998</v>
          </cell>
          <cell r="AE30">
            <v>33.957000000000001</v>
          </cell>
          <cell r="AF30">
            <v>123500000</v>
          </cell>
          <cell r="AG30">
            <v>2</v>
          </cell>
          <cell r="AH30">
            <v>0</v>
          </cell>
          <cell r="AI30">
            <v>4</v>
          </cell>
          <cell r="AJ30">
            <v>12.3</v>
          </cell>
          <cell r="AK30">
            <v>0.51300000000000001</v>
          </cell>
          <cell r="AL30">
            <v>25.950000000000003</v>
          </cell>
          <cell r="AM30">
            <v>26.007000000000001</v>
          </cell>
          <cell r="AN30">
            <v>0</v>
          </cell>
        </row>
        <row r="31">
          <cell r="B31" t="str">
            <v>DOM</v>
          </cell>
          <cell r="C31">
            <v>1064</v>
          </cell>
          <cell r="D31">
            <v>29.96</v>
          </cell>
          <cell r="E31">
            <v>18.850000000000001</v>
          </cell>
          <cell r="F31">
            <v>11.86</v>
          </cell>
          <cell r="G31">
            <v>567.62</v>
          </cell>
          <cell r="H31">
            <v>31.2486772486772</v>
          </cell>
          <cell r="I31">
            <v>0</v>
          </cell>
          <cell r="J31">
            <v>0</v>
          </cell>
          <cell r="K31">
            <v>2.1134285714285714</v>
          </cell>
          <cell r="L31">
            <v>1.0151428571428571</v>
          </cell>
          <cell r="M31">
            <v>-1.7060000000000108</v>
          </cell>
          <cell r="N31">
            <v>20</v>
          </cell>
          <cell r="O31">
            <v>0</v>
          </cell>
          <cell r="P31">
            <v>75.959999999999994</v>
          </cell>
          <cell r="Q31">
            <v>52.79</v>
          </cell>
          <cell r="R31">
            <v>58.13</v>
          </cell>
          <cell r="S31">
            <v>53.83</v>
          </cell>
          <cell r="T31">
            <v>42.48</v>
          </cell>
          <cell r="U31">
            <v>0</v>
          </cell>
          <cell r="V31">
            <v>0</v>
          </cell>
          <cell r="W31">
            <v>0</v>
          </cell>
          <cell r="X31">
            <v>60</v>
          </cell>
          <cell r="Y31">
            <v>75</v>
          </cell>
          <cell r="Z31">
            <v>2</v>
          </cell>
          <cell r="AA31">
            <v>0</v>
          </cell>
          <cell r="AC31">
            <v>31.922086487632335</v>
          </cell>
          <cell r="AD31">
            <v>3.3022333895122702</v>
          </cell>
          <cell r="AE31">
            <v>58.792000000000002</v>
          </cell>
          <cell r="AF31">
            <v>1659120000</v>
          </cell>
          <cell r="AG31">
            <v>19</v>
          </cell>
          <cell r="AH31">
            <v>4.4707819511060256</v>
          </cell>
          <cell r="AI31">
            <v>2</v>
          </cell>
          <cell r="AJ31">
            <v>61</v>
          </cell>
          <cell r="AK31">
            <v>0.77600000000000002</v>
          </cell>
          <cell r="AL31">
            <v>66.81</v>
          </cell>
          <cell r="AM31">
            <v>5.3120000000000003</v>
          </cell>
          <cell r="AN31">
            <v>93.108264522329662</v>
          </cell>
        </row>
        <row r="32">
          <cell r="B32" t="str">
            <v>EGY</v>
          </cell>
          <cell r="C32">
            <v>0</v>
          </cell>
          <cell r="D32">
            <v>0</v>
          </cell>
          <cell r="E32">
            <v>11.2</v>
          </cell>
          <cell r="F32">
            <v>5.15</v>
          </cell>
          <cell r="G32">
            <v>574.5</v>
          </cell>
          <cell r="H32">
            <v>44.187830687830598</v>
          </cell>
          <cell r="I32" t="str">
            <v>Proposed coal pipeline; Operating coal capacity = 0 MW</v>
          </cell>
          <cell r="J32" t="str">
            <v>Coal capacity under construction; Operating coal capacity = 0 MW</v>
          </cell>
          <cell r="K32">
            <v>0</v>
          </cell>
          <cell r="L32">
            <v>0.17542857142857124</v>
          </cell>
          <cell r="M32">
            <v>-0.89542857142857879</v>
          </cell>
          <cell r="N32">
            <v>0</v>
          </cell>
          <cell r="O32" t="str">
            <v/>
          </cell>
          <cell r="P32">
            <v>49.19</v>
          </cell>
          <cell r="Q32">
            <v>49.45</v>
          </cell>
          <cell r="R32">
            <v>46.99</v>
          </cell>
          <cell r="S32">
            <v>44.03</v>
          </cell>
          <cell r="T32">
            <v>31.12</v>
          </cell>
          <cell r="U32">
            <v>20</v>
          </cell>
          <cell r="V32">
            <v>2669267</v>
          </cell>
          <cell r="W32">
            <v>523651</v>
          </cell>
          <cell r="X32">
            <v>40</v>
          </cell>
          <cell r="Y32">
            <v>50</v>
          </cell>
          <cell r="Z32">
            <v>0</v>
          </cell>
          <cell r="AA32">
            <v>0</v>
          </cell>
          <cell r="AC32">
            <v>27.569227972914856</v>
          </cell>
          <cell r="AD32">
            <v>28.2705899322082</v>
          </cell>
          <cell r="AE32">
            <v>90.926000000000002</v>
          </cell>
          <cell r="AF32">
            <v>2081700000</v>
          </cell>
          <cell r="AG32">
            <v>7</v>
          </cell>
          <cell r="AH32">
            <v>22.653492905622745</v>
          </cell>
          <cell r="AI32">
            <v>5</v>
          </cell>
          <cell r="AJ32">
            <v>36.6</v>
          </cell>
          <cell r="AK32">
            <v>0.754</v>
          </cell>
          <cell r="AL32">
            <v>50.180000000000007</v>
          </cell>
          <cell r="AM32">
            <v>6.8170000000000002</v>
          </cell>
          <cell r="AN32">
            <v>0</v>
          </cell>
        </row>
        <row r="33">
          <cell r="B33" t="str">
            <v>SLV</v>
          </cell>
          <cell r="C33">
            <v>0</v>
          </cell>
          <cell r="D33" t="str">
            <v>Missing</v>
          </cell>
          <cell r="E33">
            <v>90.81</v>
          </cell>
          <cell r="F33">
            <v>21.28</v>
          </cell>
          <cell r="G33">
            <v>113.32</v>
          </cell>
          <cell r="H33">
            <v>27.3915343915343</v>
          </cell>
          <cell r="I33" t="str">
            <v>Proposed coal pipeline; Operating coal capacity = 0 MW</v>
          </cell>
          <cell r="J33" t="str">
            <v>Coal capacity under construction; Operating coal capacity = 0 MW</v>
          </cell>
          <cell r="K33" t="str">
            <v>Missing</v>
          </cell>
          <cell r="L33">
            <v>3.1597142857142853</v>
          </cell>
          <cell r="M33">
            <v>-20.17942857142857</v>
          </cell>
          <cell r="N33">
            <v>0</v>
          </cell>
          <cell r="O33" t="str">
            <v/>
          </cell>
          <cell r="P33">
            <v>66</v>
          </cell>
          <cell r="Q33">
            <v>47.78</v>
          </cell>
          <cell r="R33">
            <v>52.08</v>
          </cell>
          <cell r="S33">
            <v>44.69</v>
          </cell>
          <cell r="T33">
            <v>36.18</v>
          </cell>
          <cell r="U33">
            <v>9</v>
          </cell>
          <cell r="V33">
            <v>429475</v>
          </cell>
          <cell r="W33">
            <v>103063</v>
          </cell>
          <cell r="X33">
            <v>40</v>
          </cell>
          <cell r="Y33">
            <v>50</v>
          </cell>
          <cell r="Z33">
            <v>0</v>
          </cell>
          <cell r="AA33">
            <v>0</v>
          </cell>
          <cell r="AC33">
            <v>62.487565722794514</v>
          </cell>
          <cell r="AD33">
            <v>0.85378229256728833</v>
          </cell>
          <cell r="AE33">
            <v>87.369</v>
          </cell>
          <cell r="AF33">
            <v>33100000</v>
          </cell>
          <cell r="AG33">
            <v>2</v>
          </cell>
          <cell r="AH33">
            <v>0</v>
          </cell>
          <cell r="AI33">
            <v>4</v>
          </cell>
          <cell r="AJ33">
            <v>18.8</v>
          </cell>
          <cell r="AK33">
            <v>0.67800000000000005</v>
          </cell>
          <cell r="AL33">
            <v>35.950000000000003</v>
          </cell>
          <cell r="AM33">
            <v>3.2610000000000001</v>
          </cell>
          <cell r="AN33">
            <v>0</v>
          </cell>
        </row>
        <row r="34">
          <cell r="B34" t="str">
            <v>SWZ</v>
          </cell>
          <cell r="C34">
            <v>0</v>
          </cell>
          <cell r="D34">
            <v>3.28</v>
          </cell>
          <cell r="E34">
            <v>96.73</v>
          </cell>
          <cell r="F34">
            <v>4.92</v>
          </cell>
          <cell r="G34">
            <v>131.15</v>
          </cell>
          <cell r="H34" t="str">
            <v>Missing</v>
          </cell>
          <cell r="I34" t="str">
            <v>Proposed coal pipeline; Operating coal capacity = 0 MW</v>
          </cell>
          <cell r="J34" t="str">
            <v>Coal capacity under construction; Operating coal capacity = 0 MW</v>
          </cell>
          <cell r="K34">
            <v>-0.79514285714285715</v>
          </cell>
          <cell r="L34">
            <v>0.79742857142857171</v>
          </cell>
          <cell r="M34">
            <v>-14.309142857142861</v>
          </cell>
          <cell r="N34">
            <v>0</v>
          </cell>
          <cell r="O34" t="str">
            <v/>
          </cell>
          <cell r="P34">
            <v>53.38</v>
          </cell>
          <cell r="Q34">
            <v>36.15</v>
          </cell>
          <cell r="R34">
            <v>44.8</v>
          </cell>
          <cell r="S34">
            <v>42.17</v>
          </cell>
          <cell r="T34">
            <v>31.96</v>
          </cell>
          <cell r="U34">
            <v>0</v>
          </cell>
          <cell r="V34">
            <v>0</v>
          </cell>
          <cell r="W34">
            <v>0</v>
          </cell>
          <cell r="X34">
            <v>20</v>
          </cell>
          <cell r="Y34">
            <v>25</v>
          </cell>
          <cell r="Z34">
            <v>0</v>
          </cell>
          <cell r="AA34">
            <v>0</v>
          </cell>
          <cell r="AC34">
            <v>21.62314087559432</v>
          </cell>
          <cell r="AD34" t="str">
            <v>Missing</v>
          </cell>
          <cell r="AE34">
            <v>40.094999999999999</v>
          </cell>
          <cell r="AF34">
            <v>115000000</v>
          </cell>
          <cell r="AG34">
            <v>1</v>
          </cell>
          <cell r="AH34">
            <v>9.358607257801788</v>
          </cell>
          <cell r="AI34">
            <v>5</v>
          </cell>
          <cell r="AJ34">
            <v>36.1</v>
          </cell>
          <cell r="AK34">
            <v>0.69499999999999995</v>
          </cell>
          <cell r="AL34">
            <v>47.790000000000006</v>
          </cell>
          <cell r="AM34">
            <v>34.643000000000001</v>
          </cell>
          <cell r="AN34">
            <v>0</v>
          </cell>
        </row>
        <row r="35">
          <cell r="B35" t="str">
            <v>ETH</v>
          </cell>
          <cell r="C35">
            <v>0</v>
          </cell>
          <cell r="D35">
            <v>0</v>
          </cell>
          <cell r="E35">
            <v>100</v>
          </cell>
          <cell r="F35">
            <v>2.94</v>
          </cell>
          <cell r="G35">
            <v>23.41</v>
          </cell>
          <cell r="H35">
            <v>33.145502645502603</v>
          </cell>
          <cell r="I35" t="str">
            <v>Proposed coal pipeline; Operating coal capacity = 0 MW</v>
          </cell>
          <cell r="J35" t="str">
            <v>Coal capacity under construction; Operating coal capacity = 0 MW</v>
          </cell>
          <cell r="K35">
            <v>0</v>
          </cell>
          <cell r="L35">
            <v>1.4285714285715097E-2</v>
          </cell>
          <cell r="M35">
            <v>-0.14657142857142855</v>
          </cell>
          <cell r="N35">
            <v>0</v>
          </cell>
          <cell r="O35" t="str">
            <v/>
          </cell>
          <cell r="P35">
            <v>33.700000000000003</v>
          </cell>
          <cell r="Q35">
            <v>38.78</v>
          </cell>
          <cell r="R35">
            <v>41.72</v>
          </cell>
          <cell r="S35">
            <v>38.909999999999997</v>
          </cell>
          <cell r="T35">
            <v>38.99</v>
          </cell>
          <cell r="U35">
            <v>74</v>
          </cell>
          <cell r="V35">
            <v>10890851</v>
          </cell>
          <cell r="W35">
            <v>9142159</v>
          </cell>
          <cell r="X35">
            <v>80</v>
          </cell>
          <cell r="Y35">
            <v>50</v>
          </cell>
          <cell r="Z35">
            <v>2</v>
          </cell>
          <cell r="AA35">
            <v>0</v>
          </cell>
          <cell r="AC35" t="str">
            <v>Missing</v>
          </cell>
          <cell r="AD35">
            <v>21.037746057770999</v>
          </cell>
          <cell r="AE35">
            <v>33.381999999999998</v>
          </cell>
          <cell r="AF35">
            <v>271000000</v>
          </cell>
          <cell r="AG35">
            <v>1</v>
          </cell>
          <cell r="AH35">
            <v>20.886554887413052</v>
          </cell>
          <cell r="AI35">
            <v>4</v>
          </cell>
          <cell r="AJ35">
            <v>11.5</v>
          </cell>
          <cell r="AK35">
            <v>0.497</v>
          </cell>
          <cell r="AL35">
            <v>24.87</v>
          </cell>
          <cell r="AM35">
            <v>3.3570000000000002</v>
          </cell>
          <cell r="AN35">
            <v>0</v>
          </cell>
        </row>
        <row r="36">
          <cell r="B36" t="str">
            <v>FIN</v>
          </cell>
          <cell r="C36">
            <v>903.2</v>
          </cell>
          <cell r="D36">
            <v>1.01</v>
          </cell>
          <cell r="E36">
            <v>55.86</v>
          </cell>
          <cell r="F36">
            <v>25.95</v>
          </cell>
          <cell r="G36">
            <v>66.63</v>
          </cell>
          <cell r="H36">
            <v>80.962962962962905</v>
          </cell>
          <cell r="I36">
            <v>0</v>
          </cell>
          <cell r="J36">
            <v>0</v>
          </cell>
          <cell r="K36">
            <v>-0.87028571428571411</v>
          </cell>
          <cell r="L36">
            <v>1.3605714285714283</v>
          </cell>
          <cell r="M36">
            <v>-19.355428571428572</v>
          </cell>
          <cell r="N36">
            <v>100</v>
          </cell>
          <cell r="O36">
            <v>100</v>
          </cell>
          <cell r="P36">
            <v>80.12</v>
          </cell>
          <cell r="Q36">
            <v>86.67</v>
          </cell>
          <cell r="R36">
            <v>85.83</v>
          </cell>
          <cell r="S36">
            <v>91.75</v>
          </cell>
          <cell r="T36">
            <v>92.23</v>
          </cell>
          <cell r="U36">
            <v>0</v>
          </cell>
          <cell r="V36">
            <v>0</v>
          </cell>
          <cell r="W36">
            <v>0</v>
          </cell>
          <cell r="X36">
            <v>20</v>
          </cell>
          <cell r="Y36">
            <v>25</v>
          </cell>
          <cell r="Z36">
            <v>0</v>
          </cell>
          <cell r="AA36">
            <v>0</v>
          </cell>
          <cell r="AC36">
            <v>92.034439399484711</v>
          </cell>
          <cell r="AD36">
            <v>1.5656890623161499</v>
          </cell>
          <cell r="AE36">
            <v>82.447000000000003</v>
          </cell>
          <cell r="AF36">
            <v>0</v>
          </cell>
          <cell r="AG36">
            <v>0</v>
          </cell>
          <cell r="AH36">
            <v>3.971852141641294</v>
          </cell>
          <cell r="AI36">
            <v>2</v>
          </cell>
          <cell r="AJ36">
            <v>100</v>
          </cell>
          <cell r="AK36">
            <v>0.94799999999999995</v>
          </cell>
          <cell r="AL36">
            <v>98.18</v>
          </cell>
          <cell r="AM36">
            <v>8.4</v>
          </cell>
          <cell r="AN36">
            <v>160.7142888917636</v>
          </cell>
        </row>
        <row r="37">
          <cell r="B37" t="str">
            <v>FRA</v>
          </cell>
          <cell r="C37">
            <v>1907</v>
          </cell>
          <cell r="D37">
            <v>0.18</v>
          </cell>
          <cell r="E37">
            <v>27.2</v>
          </cell>
          <cell r="F37">
            <v>12.54</v>
          </cell>
          <cell r="G37">
            <v>40.479999999999997</v>
          </cell>
          <cell r="H37">
            <v>88.074074074074005</v>
          </cell>
          <cell r="I37">
            <v>0</v>
          </cell>
          <cell r="J37">
            <v>0</v>
          </cell>
          <cell r="K37">
            <v>-9.2571428571428582E-2</v>
          </cell>
          <cell r="L37">
            <v>1.3614285714285717</v>
          </cell>
          <cell r="M37">
            <v>-2.7217142857142864</v>
          </cell>
          <cell r="N37">
            <v>100</v>
          </cell>
          <cell r="O37">
            <v>100</v>
          </cell>
          <cell r="P37">
            <v>61.77</v>
          </cell>
          <cell r="Q37">
            <v>74.69</v>
          </cell>
          <cell r="R37">
            <v>72.94</v>
          </cell>
          <cell r="S37">
            <v>73.81</v>
          </cell>
          <cell r="T37">
            <v>72.510000000000005</v>
          </cell>
          <cell r="U37">
            <v>6</v>
          </cell>
          <cell r="V37">
            <v>173300</v>
          </cell>
          <cell r="W37">
            <v>41217</v>
          </cell>
          <cell r="X37">
            <v>20</v>
          </cell>
          <cell r="Y37">
            <v>25</v>
          </cell>
          <cell r="Z37">
            <v>0</v>
          </cell>
          <cell r="AA37">
            <v>0</v>
          </cell>
          <cell r="AC37">
            <v>107.58266062477004</v>
          </cell>
          <cell r="AD37">
            <v>1.9990494229146201</v>
          </cell>
          <cell r="AE37">
            <v>113.17100000000001</v>
          </cell>
          <cell r="AF37">
            <v>0</v>
          </cell>
          <cell r="AG37">
            <v>0</v>
          </cell>
          <cell r="AH37">
            <v>3.971852141641294</v>
          </cell>
          <cell r="AI37">
            <v>2</v>
          </cell>
          <cell r="AJ37">
            <v>99.4</v>
          </cell>
          <cell r="AK37">
            <v>0.92</v>
          </cell>
          <cell r="AL37">
            <v>96.81</v>
          </cell>
          <cell r="AM37">
            <v>7.4</v>
          </cell>
          <cell r="AN37">
            <v>27.818439330704397</v>
          </cell>
        </row>
        <row r="38">
          <cell r="B38" t="str">
            <v>GEO</v>
          </cell>
          <cell r="C38">
            <v>0</v>
          </cell>
          <cell r="D38">
            <v>0</v>
          </cell>
          <cell r="E38">
            <v>79.84</v>
          </cell>
          <cell r="F38">
            <v>0.87</v>
          </cell>
          <cell r="G38">
            <v>145.01</v>
          </cell>
          <cell r="H38">
            <v>47.2804232804232</v>
          </cell>
          <cell r="I38" t="str">
            <v>Proposed coal pipeline; Operating coal capacity = 0 MW</v>
          </cell>
          <cell r="J38" t="str">
            <v>Coal capacity under construction; Operating coal capacity = 0 MW</v>
          </cell>
          <cell r="K38">
            <v>0</v>
          </cell>
          <cell r="L38">
            <v>0.51485714285714279</v>
          </cell>
          <cell r="M38">
            <v>-3.0717142857142847</v>
          </cell>
          <cell r="N38">
            <v>0</v>
          </cell>
          <cell r="O38" t="str">
            <v/>
          </cell>
          <cell r="P38">
            <v>55.43</v>
          </cell>
          <cell r="Q38">
            <v>60.21</v>
          </cell>
          <cell r="R38">
            <v>65.11</v>
          </cell>
          <cell r="S38">
            <v>59.53</v>
          </cell>
          <cell r="T38">
            <v>55.57</v>
          </cell>
          <cell r="U38">
            <v>3</v>
          </cell>
          <cell r="V38">
            <v>442368</v>
          </cell>
          <cell r="W38">
            <v>293779</v>
          </cell>
          <cell r="X38">
            <v>80</v>
          </cell>
          <cell r="Y38">
            <v>50</v>
          </cell>
          <cell r="Z38">
            <v>3</v>
          </cell>
          <cell r="AA38">
            <v>0</v>
          </cell>
          <cell r="AC38">
            <v>68.28892758166505</v>
          </cell>
          <cell r="AD38">
            <v>1.109717580220962</v>
          </cell>
          <cell r="AE38">
            <v>35.655999999999999</v>
          </cell>
          <cell r="AF38">
            <v>235220000</v>
          </cell>
          <cell r="AG38">
            <v>3</v>
          </cell>
          <cell r="AH38">
            <v>7.4419121178069387</v>
          </cell>
          <cell r="AI38">
            <v>3</v>
          </cell>
          <cell r="AJ38">
            <v>94.6</v>
          </cell>
          <cell r="AK38">
            <v>0.84399999999999997</v>
          </cell>
          <cell r="AL38">
            <v>91.029999999999987</v>
          </cell>
          <cell r="AM38">
            <v>11.557</v>
          </cell>
          <cell r="AN38">
            <v>0</v>
          </cell>
        </row>
        <row r="39">
          <cell r="B39" t="str">
            <v>DEU</v>
          </cell>
          <cell r="C39">
            <v>28323.1</v>
          </cell>
          <cell r="D39">
            <v>21.44</v>
          </cell>
          <cell r="E39">
            <v>58.64</v>
          </cell>
          <cell r="F39">
            <v>43.5</v>
          </cell>
          <cell r="G39">
            <v>336.38</v>
          </cell>
          <cell r="H39">
            <v>85.941798941798893</v>
          </cell>
          <cell r="I39">
            <v>0</v>
          </cell>
          <cell r="J39">
            <v>0</v>
          </cell>
          <cell r="K39">
            <v>-0.84914285714285709</v>
          </cell>
          <cell r="L39">
            <v>3.640857142857143</v>
          </cell>
          <cell r="M39">
            <v>-6.6748571428571415</v>
          </cell>
          <cell r="N39">
            <v>100</v>
          </cell>
          <cell r="O39">
            <v>100</v>
          </cell>
          <cell r="P39">
            <v>68.02</v>
          </cell>
          <cell r="Q39">
            <v>81.41</v>
          </cell>
          <cell r="R39">
            <v>78.489999999999995</v>
          </cell>
          <cell r="S39">
            <v>84.95</v>
          </cell>
          <cell r="T39">
            <v>83.75</v>
          </cell>
          <cell r="U39">
            <v>48</v>
          </cell>
          <cell r="V39">
            <v>10018519</v>
          </cell>
          <cell r="W39">
            <v>9227433</v>
          </cell>
          <cell r="X39">
            <v>20</v>
          </cell>
          <cell r="Y39">
            <v>25</v>
          </cell>
          <cell r="Z39">
            <v>0</v>
          </cell>
          <cell r="AA39">
            <v>0</v>
          </cell>
          <cell r="AC39" t="str">
            <v>Missing</v>
          </cell>
          <cell r="AD39">
            <v>2.2564981433876001</v>
          </cell>
          <cell r="AE39">
            <v>62.226999999999997</v>
          </cell>
          <cell r="AF39">
            <v>0</v>
          </cell>
          <cell r="AG39">
            <v>0</v>
          </cell>
          <cell r="AH39">
            <v>3.971852141641294</v>
          </cell>
          <cell r="AI39">
            <v>1</v>
          </cell>
          <cell r="AJ39">
            <v>100</v>
          </cell>
          <cell r="AK39">
            <v>0.95899999999999996</v>
          </cell>
          <cell r="AL39">
            <v>98.564999999999998</v>
          </cell>
          <cell r="AM39">
            <v>3.4</v>
          </cell>
          <cell r="AN39">
            <v>339.13141068865201</v>
          </cell>
        </row>
        <row r="40">
          <cell r="B40" t="str">
            <v>GHA</v>
          </cell>
          <cell r="C40">
            <v>0</v>
          </cell>
          <cell r="D40">
            <v>0</v>
          </cell>
          <cell r="E40">
            <v>36.21</v>
          </cell>
          <cell r="F40">
            <v>0.7</v>
          </cell>
          <cell r="G40">
            <v>468.89</v>
          </cell>
          <cell r="H40">
            <v>30.962962962962902</v>
          </cell>
          <cell r="I40" t="str">
            <v>Proposed coal pipeline; Operating coal capacity = 0 MW</v>
          </cell>
          <cell r="J40" t="str">
            <v>Coal capacity under construction; Operating coal capacity = 0 MW</v>
          </cell>
          <cell r="K40">
            <v>0</v>
          </cell>
          <cell r="L40">
            <v>-0.73628571428571421</v>
          </cell>
          <cell r="M40">
            <v>6.635714285714287</v>
          </cell>
          <cell r="N40">
            <v>0</v>
          </cell>
          <cell r="O40" t="str">
            <v/>
          </cell>
          <cell r="P40">
            <v>66.09</v>
          </cell>
          <cell r="Q40">
            <v>52.5</v>
          </cell>
          <cell r="R40">
            <v>53.45</v>
          </cell>
          <cell r="S40">
            <v>57.89</v>
          </cell>
          <cell r="T40">
            <v>43.94</v>
          </cell>
          <cell r="U40">
            <v>48</v>
          </cell>
          <cell r="V40">
            <v>14128352</v>
          </cell>
          <cell r="W40">
            <v>9401156</v>
          </cell>
          <cell r="X40">
            <v>100</v>
          </cell>
          <cell r="Y40">
            <v>100</v>
          </cell>
          <cell r="Z40">
            <v>5</v>
          </cell>
          <cell r="AA40">
            <v>11700</v>
          </cell>
          <cell r="AC40">
            <v>9.0306631442275389</v>
          </cell>
          <cell r="AD40">
            <v>22.84832811578422</v>
          </cell>
          <cell r="AE40">
            <v>70.341999999999999</v>
          </cell>
          <cell r="AF40">
            <v>0</v>
          </cell>
          <cell r="AG40">
            <v>0</v>
          </cell>
          <cell r="AH40">
            <v>19.99953274117383</v>
          </cell>
          <cell r="AI40">
            <v>2</v>
          </cell>
          <cell r="AJ40">
            <v>25.2</v>
          </cell>
          <cell r="AK40">
            <v>0.628</v>
          </cell>
          <cell r="AL40">
            <v>38.36</v>
          </cell>
          <cell r="AM40">
            <v>2.82</v>
          </cell>
          <cell r="AN40">
            <v>0</v>
          </cell>
        </row>
        <row r="41">
          <cell r="B41" t="str">
            <v>GRC</v>
          </cell>
          <cell r="C41">
            <v>1655</v>
          </cell>
          <cell r="D41">
            <v>5.73</v>
          </cell>
          <cell r="E41">
            <v>49.23</v>
          </cell>
          <cell r="F41">
            <v>41.72</v>
          </cell>
          <cell r="G41">
            <v>321.64999999999998</v>
          </cell>
          <cell r="H41">
            <v>76.6666666666666</v>
          </cell>
          <cell r="I41">
            <v>0</v>
          </cell>
          <cell r="J41">
            <v>0</v>
          </cell>
          <cell r="K41">
            <v>-3.1428571428571428</v>
          </cell>
          <cell r="L41">
            <v>3.4168571428571419</v>
          </cell>
          <cell r="M41">
            <v>-32.655999999999999</v>
          </cell>
          <cell r="N41">
            <v>100</v>
          </cell>
          <cell r="O41">
            <v>100</v>
          </cell>
          <cell r="P41">
            <v>68.28</v>
          </cell>
          <cell r="Q41">
            <v>55.06</v>
          </cell>
          <cell r="R41">
            <v>62.43</v>
          </cell>
          <cell r="S41">
            <v>62.1</v>
          </cell>
          <cell r="T41">
            <v>53.92</v>
          </cell>
          <cell r="U41">
            <v>2</v>
          </cell>
          <cell r="V41">
            <v>0</v>
          </cell>
          <cell r="W41">
            <v>0</v>
          </cell>
          <cell r="X41">
            <v>20</v>
          </cell>
          <cell r="Y41">
            <v>0</v>
          </cell>
          <cell r="Z41">
            <v>0</v>
          </cell>
          <cell r="AA41">
            <v>0</v>
          </cell>
          <cell r="AC41">
            <v>48.541000445335818</v>
          </cell>
          <cell r="AD41">
            <v>2.741018756794773</v>
          </cell>
          <cell r="AE41">
            <v>155.37299999999999</v>
          </cell>
          <cell r="AF41">
            <v>0</v>
          </cell>
          <cell r="AG41">
            <v>0</v>
          </cell>
          <cell r="AH41">
            <v>3.971852141641294</v>
          </cell>
          <cell r="AI41">
            <v>4</v>
          </cell>
          <cell r="AJ41">
            <v>84.6</v>
          </cell>
          <cell r="AK41">
            <v>0.90800000000000003</v>
          </cell>
          <cell r="AL41">
            <v>86.77</v>
          </cell>
          <cell r="AM41">
            <v>10.02</v>
          </cell>
          <cell r="AN41">
            <v>159.05609673071004</v>
          </cell>
        </row>
        <row r="42">
          <cell r="B42" t="str">
            <v>GLP</v>
          </cell>
          <cell r="C42">
            <v>0</v>
          </cell>
          <cell r="D42" t="str">
            <v>Missing</v>
          </cell>
          <cell r="E42" t="str">
            <v>Missing</v>
          </cell>
          <cell r="F42" t="str">
            <v>Missing</v>
          </cell>
          <cell r="G42" t="str">
            <v>Missing</v>
          </cell>
          <cell r="H42" t="str">
            <v>Missing</v>
          </cell>
          <cell r="I42" t="str">
            <v>Proposed coal pipeline; Operating coal capacity = 0 MW</v>
          </cell>
          <cell r="J42" t="str">
            <v>Coal capacity under construction; Operating coal capacity = 0 MW</v>
          </cell>
          <cell r="K42" t="str">
            <v>Missing</v>
          </cell>
          <cell r="L42" t="str">
            <v>Missing</v>
          </cell>
          <cell r="M42" t="str">
            <v>Missing</v>
          </cell>
          <cell r="N42">
            <v>0</v>
          </cell>
          <cell r="O42" t="str">
            <v/>
          </cell>
          <cell r="P42" t="str">
            <v>Missing</v>
          </cell>
          <cell r="Q42" t="str">
            <v>Missing</v>
          </cell>
          <cell r="R42" t="str">
            <v>Missing</v>
          </cell>
          <cell r="S42" t="str">
            <v>Missing</v>
          </cell>
          <cell r="T42" t="str">
            <v>Missing</v>
          </cell>
          <cell r="U42">
            <v>0</v>
          </cell>
          <cell r="V42">
            <v>0</v>
          </cell>
          <cell r="W42">
            <v>0</v>
          </cell>
          <cell r="X42" t="str">
            <v>Missing</v>
          </cell>
          <cell r="Y42" t="str">
            <v>Missing</v>
          </cell>
          <cell r="Z42">
            <v>0</v>
          </cell>
          <cell r="AA42">
            <v>0</v>
          </cell>
          <cell r="AC42" t="str">
            <v>Missing</v>
          </cell>
          <cell r="AD42" t="str">
            <v>Missing</v>
          </cell>
          <cell r="AE42" t="str">
            <v>Missing</v>
          </cell>
          <cell r="AF42" t="str">
            <v>Missing</v>
          </cell>
          <cell r="AG42">
            <v>0</v>
          </cell>
          <cell r="AH42" t="str">
            <v>Missing</v>
          </cell>
          <cell r="AI42" t="str">
            <v>Missing</v>
          </cell>
          <cell r="AJ42">
            <v>88.2</v>
          </cell>
          <cell r="AK42" t="str">
            <v>Missing</v>
          </cell>
          <cell r="AL42" t="str">
            <v>Missing</v>
          </cell>
          <cell r="AM42" t="str">
            <v>Missing</v>
          </cell>
          <cell r="AN42" t="str">
            <v>Missing</v>
          </cell>
        </row>
        <row r="43">
          <cell r="B43" t="str">
            <v>GTM</v>
          </cell>
          <cell r="C43">
            <v>439</v>
          </cell>
          <cell r="D43">
            <v>15.83</v>
          </cell>
          <cell r="E43">
            <v>68.33</v>
          </cell>
          <cell r="F43">
            <v>4.1100000000000003</v>
          </cell>
          <cell r="G43">
            <v>301.45999999999998</v>
          </cell>
          <cell r="H43">
            <v>22.457671957671899</v>
          </cell>
          <cell r="I43">
            <v>0</v>
          </cell>
          <cell r="J43">
            <v>0</v>
          </cell>
          <cell r="K43">
            <v>-3.0939999999999999</v>
          </cell>
          <cell r="L43">
            <v>0.22857142857142856</v>
          </cell>
          <cell r="M43">
            <v>-7.8122857142857116</v>
          </cell>
          <cell r="N43">
            <v>0</v>
          </cell>
          <cell r="O43">
            <v>0</v>
          </cell>
          <cell r="P43">
            <v>62.31</v>
          </cell>
          <cell r="Q43">
            <v>33.659999999999997</v>
          </cell>
          <cell r="R43">
            <v>49.98</v>
          </cell>
          <cell r="S43">
            <v>40.4</v>
          </cell>
          <cell r="T43">
            <v>28.66</v>
          </cell>
          <cell r="U43">
            <v>31</v>
          </cell>
          <cell r="V43">
            <v>12510079</v>
          </cell>
          <cell r="W43">
            <v>7965999</v>
          </cell>
          <cell r="X43">
            <v>40</v>
          </cell>
          <cell r="Y43">
            <v>50</v>
          </cell>
          <cell r="Z43">
            <v>0</v>
          </cell>
          <cell r="AA43">
            <v>0</v>
          </cell>
          <cell r="AC43">
            <v>36.783486094618191</v>
          </cell>
          <cell r="AD43">
            <v>2.869927529182938</v>
          </cell>
          <cell r="AE43">
            <v>26.321999999999999</v>
          </cell>
          <cell r="AF43">
            <v>64000000</v>
          </cell>
          <cell r="AG43">
            <v>1</v>
          </cell>
          <cell r="AH43">
            <v>0.53687829229410711</v>
          </cell>
          <cell r="AI43">
            <v>5</v>
          </cell>
          <cell r="AJ43">
            <v>12.1</v>
          </cell>
          <cell r="AK43">
            <v>0.66200000000000003</v>
          </cell>
          <cell r="AL43">
            <v>31.034999999999997</v>
          </cell>
          <cell r="AM43">
            <v>2.613</v>
          </cell>
          <cell r="AN43">
            <v>23.850452987470256</v>
          </cell>
        </row>
        <row r="44">
          <cell r="B44" t="str">
            <v>GIN</v>
          </cell>
          <cell r="C44">
            <v>0</v>
          </cell>
          <cell r="D44">
            <v>0</v>
          </cell>
          <cell r="E44">
            <v>75.180000000000007</v>
          </cell>
          <cell r="F44">
            <v>0.74</v>
          </cell>
          <cell r="G44">
            <v>181.14</v>
          </cell>
          <cell r="H44">
            <v>9.5634920634920597</v>
          </cell>
          <cell r="I44" t="str">
            <v>Proposed coal pipeline; Operating coal capacity = 0 MW</v>
          </cell>
          <cell r="J44" t="str">
            <v>Coal capacity under construction; Operating coal capacity = 0 MW</v>
          </cell>
          <cell r="K44">
            <v>0</v>
          </cell>
          <cell r="L44">
            <v>2.8171428571428585</v>
          </cell>
          <cell r="M44">
            <v>-18.213714285714286</v>
          </cell>
          <cell r="N44">
            <v>0</v>
          </cell>
          <cell r="O44" t="str">
            <v/>
          </cell>
          <cell r="P44">
            <v>48.17</v>
          </cell>
          <cell r="Q44">
            <v>34.07</v>
          </cell>
          <cell r="R44">
            <v>40.799999999999997</v>
          </cell>
          <cell r="S44">
            <v>37.21</v>
          </cell>
          <cell r="T44">
            <v>24.08</v>
          </cell>
          <cell r="U44">
            <v>6</v>
          </cell>
          <cell r="V44">
            <v>11779</v>
          </cell>
          <cell r="W44">
            <v>11779</v>
          </cell>
          <cell r="X44">
            <v>40</v>
          </cell>
          <cell r="Y44">
            <v>25</v>
          </cell>
          <cell r="Z44">
            <v>0</v>
          </cell>
          <cell r="AA44">
            <v>0</v>
          </cell>
          <cell r="AC44">
            <v>10.666874322674818</v>
          </cell>
          <cell r="AD44">
            <v>8.1231391494859615</v>
          </cell>
          <cell r="AE44">
            <v>48.281999999999996</v>
          </cell>
          <cell r="AF44">
            <v>76500000</v>
          </cell>
          <cell r="AG44">
            <v>2</v>
          </cell>
          <cell r="AH44" t="str">
            <v>Missing</v>
          </cell>
          <cell r="AI44">
            <v>4</v>
          </cell>
          <cell r="AJ44">
            <v>3.7</v>
          </cell>
          <cell r="AK44">
            <v>0.5</v>
          </cell>
          <cell r="AL44">
            <v>19.905000000000001</v>
          </cell>
          <cell r="AM44">
            <v>5.1319999999999997</v>
          </cell>
          <cell r="AN44">
            <v>0</v>
          </cell>
        </row>
        <row r="45">
          <cell r="B45" t="str">
            <v>HND</v>
          </cell>
          <cell r="C45">
            <v>0</v>
          </cell>
          <cell r="D45">
            <v>0.48</v>
          </cell>
          <cell r="E45">
            <v>55.45</v>
          </cell>
          <cell r="F45">
            <v>15.47</v>
          </cell>
          <cell r="G45">
            <v>322.12</v>
          </cell>
          <cell r="H45">
            <v>22.756613756613699</v>
          </cell>
          <cell r="I45" t="str">
            <v>Proposed coal pipeline; Operating coal capacity = 0 MW</v>
          </cell>
          <cell r="J45" t="str">
            <v>Coal capacity under construction; Operating coal capacity = 0 MW</v>
          </cell>
          <cell r="K45">
            <v>2.8571428571428567E-3</v>
          </cell>
          <cell r="L45">
            <v>0.28914285714285809</v>
          </cell>
          <cell r="M45">
            <v>-2.3862857142857123</v>
          </cell>
          <cell r="N45">
            <v>0</v>
          </cell>
          <cell r="O45" t="str">
            <v/>
          </cell>
          <cell r="P45">
            <v>56.21</v>
          </cell>
          <cell r="Q45">
            <v>39.29</v>
          </cell>
          <cell r="R45">
            <v>44.96</v>
          </cell>
          <cell r="S45">
            <v>36.71</v>
          </cell>
          <cell r="T45">
            <v>22.66</v>
          </cell>
          <cell r="U45">
            <v>42</v>
          </cell>
          <cell r="V45">
            <v>4769481</v>
          </cell>
          <cell r="W45">
            <v>2836357</v>
          </cell>
          <cell r="X45">
            <v>80</v>
          </cell>
          <cell r="Y45">
            <v>50</v>
          </cell>
          <cell r="Z45">
            <v>0</v>
          </cell>
          <cell r="AA45">
            <v>0</v>
          </cell>
          <cell r="AC45">
            <v>78.223440422739998</v>
          </cell>
          <cell r="AD45">
            <v>4.6062109812710688</v>
          </cell>
          <cell r="AE45">
            <v>41.503</v>
          </cell>
          <cell r="AF45">
            <v>370000000</v>
          </cell>
          <cell r="AG45">
            <v>1</v>
          </cell>
          <cell r="AH45">
            <v>1.1663445274525295</v>
          </cell>
          <cell r="AI45">
            <v>5</v>
          </cell>
          <cell r="AJ45">
            <v>30.1</v>
          </cell>
          <cell r="AK45">
            <v>0.64500000000000002</v>
          </cell>
          <cell r="AL45">
            <v>42.14</v>
          </cell>
          <cell r="AM45">
            <v>4.91</v>
          </cell>
          <cell r="AN45">
            <v>0</v>
          </cell>
        </row>
        <row r="46">
          <cell r="B46" t="str">
            <v>HKG</v>
          </cell>
          <cell r="C46">
            <v>4110</v>
          </cell>
          <cell r="D46">
            <v>33.65</v>
          </cell>
          <cell r="E46">
            <v>1.04</v>
          </cell>
          <cell r="F46">
            <v>0.61</v>
          </cell>
          <cell r="G46">
            <v>675.48</v>
          </cell>
          <cell r="H46" t="str">
            <v>Missing</v>
          </cell>
          <cell r="I46">
            <v>0</v>
          </cell>
          <cell r="J46">
            <v>0</v>
          </cell>
          <cell r="K46">
            <v>-3.5694285714285714</v>
          </cell>
          <cell r="L46">
            <v>0.12628571428571428</v>
          </cell>
          <cell r="M46">
            <v>-15.553142857142845</v>
          </cell>
          <cell r="N46">
            <v>0</v>
          </cell>
          <cell r="O46">
            <v>75</v>
          </cell>
          <cell r="P46">
            <v>76.67</v>
          </cell>
          <cell r="Q46">
            <v>83.18</v>
          </cell>
          <cell r="R46">
            <v>82.3</v>
          </cell>
          <cell r="S46">
            <v>72.819999999999993</v>
          </cell>
          <cell r="T46">
            <v>79.680000000000007</v>
          </cell>
          <cell r="U46">
            <v>1</v>
          </cell>
          <cell r="V46">
            <v>0</v>
          </cell>
          <cell r="W46">
            <v>0</v>
          </cell>
          <cell r="X46" t="str">
            <v>Missing</v>
          </cell>
          <cell r="Y46" t="str">
            <v>Missing</v>
          </cell>
          <cell r="Z46">
            <v>0</v>
          </cell>
          <cell r="AA46">
            <v>0</v>
          </cell>
          <cell r="AC46">
            <v>231.03777166912224</v>
          </cell>
          <cell r="AD46">
            <v>1.7297211910591399</v>
          </cell>
          <cell r="AE46">
            <v>9.2110000000000003</v>
          </cell>
          <cell r="AF46">
            <v>0</v>
          </cell>
          <cell r="AG46">
            <v>0</v>
          </cell>
          <cell r="AH46">
            <v>0.46267725760562084</v>
          </cell>
          <cell r="AI46">
            <v>5</v>
          </cell>
          <cell r="AJ46">
            <v>63.3</v>
          </cell>
          <cell r="AK46" t="str">
            <v>Missing</v>
          </cell>
          <cell r="AL46" t="str">
            <v>Missing</v>
          </cell>
          <cell r="AM46">
            <v>2.988</v>
          </cell>
          <cell r="AN46">
            <v>546.2447335893994</v>
          </cell>
        </row>
        <row r="47">
          <cell r="B47" t="str">
            <v>HUN</v>
          </cell>
          <cell r="C47">
            <v>884</v>
          </cell>
          <cell r="D47">
            <v>6.42</v>
          </cell>
          <cell r="E47">
            <v>31.49</v>
          </cell>
          <cell r="F47">
            <v>26.03</v>
          </cell>
          <cell r="G47">
            <v>184.47</v>
          </cell>
          <cell r="H47">
            <v>72.314814814814795</v>
          </cell>
          <cell r="I47">
            <v>0</v>
          </cell>
          <cell r="J47">
            <v>0</v>
          </cell>
          <cell r="K47">
            <v>-1.0717142857142854</v>
          </cell>
          <cell r="L47">
            <v>3.5105714285714278</v>
          </cell>
          <cell r="M47">
            <v>-17.184000000000001</v>
          </cell>
          <cell r="N47">
            <v>100</v>
          </cell>
          <cell r="O47">
            <v>100</v>
          </cell>
          <cell r="P47">
            <v>73.349999999999994</v>
          </cell>
          <cell r="Q47">
            <v>61.1</v>
          </cell>
          <cell r="R47">
            <v>60.15</v>
          </cell>
          <cell r="S47">
            <v>60.27</v>
          </cell>
          <cell r="T47">
            <v>48.65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C47">
            <v>32.384486423085136</v>
          </cell>
          <cell r="AD47">
            <v>3.7037037037036891</v>
          </cell>
          <cell r="AE47">
            <v>73.513000000000005</v>
          </cell>
          <cell r="AF47">
            <v>0</v>
          </cell>
          <cell r="AG47">
            <v>0</v>
          </cell>
          <cell r="AH47">
            <v>7.3793803961189788</v>
          </cell>
          <cell r="AI47">
            <v>4</v>
          </cell>
          <cell r="AJ47">
            <v>89</v>
          </cell>
          <cell r="AK47">
            <v>0.87</v>
          </cell>
          <cell r="AL47">
            <v>88.3</v>
          </cell>
          <cell r="AM47">
            <v>4.5</v>
          </cell>
          <cell r="AN47">
            <v>92.448649951657927</v>
          </cell>
        </row>
        <row r="48">
          <cell r="B48" t="str">
            <v>IND</v>
          </cell>
          <cell r="C48">
            <v>249872.7</v>
          </cell>
          <cell r="D48">
            <v>74.53</v>
          </cell>
          <cell r="E48">
            <v>19.809999999999999</v>
          </cell>
          <cell r="F48">
            <v>11.03</v>
          </cell>
          <cell r="G48">
            <v>705.4</v>
          </cell>
          <cell r="H48">
            <v>67.785185185185099</v>
          </cell>
          <cell r="I48">
            <v>0.72016670888816581</v>
          </cell>
          <cell r="J48">
            <v>9.4007868806796416E-2</v>
          </cell>
          <cell r="K48">
            <v>0.12942857142857186</v>
          </cell>
          <cell r="L48">
            <v>0.37657142857142806</v>
          </cell>
          <cell r="M48">
            <v>-2.3711428571428508</v>
          </cell>
          <cell r="N48">
            <v>100</v>
          </cell>
          <cell r="O48">
            <v>0</v>
          </cell>
          <cell r="P48">
            <v>52.47</v>
          </cell>
          <cell r="Q48">
            <v>59.21</v>
          </cell>
          <cell r="R48">
            <v>53.35</v>
          </cell>
          <cell r="S48">
            <v>56.29</v>
          </cell>
          <cell r="T48">
            <v>41.88</v>
          </cell>
          <cell r="U48">
            <v>1720</v>
          </cell>
          <cell r="V48">
            <v>369859019</v>
          </cell>
          <cell r="W48">
            <v>213250504</v>
          </cell>
          <cell r="X48">
            <v>60</v>
          </cell>
          <cell r="Y48">
            <v>25</v>
          </cell>
          <cell r="Z48">
            <v>2</v>
          </cell>
          <cell r="AA48">
            <v>0</v>
          </cell>
          <cell r="AC48">
            <v>40.02152248188802</v>
          </cell>
          <cell r="AD48">
            <v>4.9530355097365568</v>
          </cell>
          <cell r="AE48">
            <v>84.781999999999996</v>
          </cell>
          <cell r="AF48">
            <v>15933570000</v>
          </cell>
          <cell r="AG48">
            <v>59</v>
          </cell>
          <cell r="AH48">
            <v>3.5459208164331715</v>
          </cell>
          <cell r="AI48">
            <v>5</v>
          </cell>
          <cell r="AJ48">
            <v>64.3</v>
          </cell>
          <cell r="AK48">
            <v>0.68500000000000005</v>
          </cell>
          <cell r="AL48">
            <v>65.77</v>
          </cell>
          <cell r="AM48">
            <v>4.173</v>
          </cell>
          <cell r="AN48">
            <v>172.2148571631727</v>
          </cell>
        </row>
        <row r="49">
          <cell r="B49" t="str">
            <v>IDN</v>
          </cell>
          <cell r="C49">
            <v>60704.6</v>
          </cell>
          <cell r="D49">
            <v>61.48</v>
          </cell>
          <cell r="E49">
            <v>18.09</v>
          </cell>
          <cell r="F49">
            <v>0.49</v>
          </cell>
          <cell r="G49">
            <v>680.25</v>
          </cell>
          <cell r="H49">
            <v>46.6666666666666</v>
          </cell>
          <cell r="I49">
            <v>0.24553328742797087</v>
          </cell>
          <cell r="J49">
            <v>5.1725898861041834E-2</v>
          </cell>
          <cell r="K49">
            <v>0.33714285714285647</v>
          </cell>
          <cell r="L49">
            <v>0.34199999999999986</v>
          </cell>
          <cell r="M49">
            <v>-2.5557142857142807</v>
          </cell>
          <cell r="N49">
            <v>100</v>
          </cell>
          <cell r="O49">
            <v>0</v>
          </cell>
          <cell r="P49">
            <v>55.49</v>
          </cell>
          <cell r="Q49">
            <v>54.84</v>
          </cell>
          <cell r="R49">
            <v>56.83</v>
          </cell>
          <cell r="S49">
            <v>53.41</v>
          </cell>
          <cell r="T49">
            <v>36.83</v>
          </cell>
          <cell r="U49">
            <v>62</v>
          </cell>
          <cell r="V49">
            <v>96964905</v>
          </cell>
          <cell r="W49">
            <v>71120395</v>
          </cell>
          <cell r="X49">
            <v>80</v>
          </cell>
          <cell r="Y49">
            <v>50</v>
          </cell>
          <cell r="Z49">
            <v>4</v>
          </cell>
          <cell r="AA49">
            <v>0</v>
          </cell>
          <cell r="AC49">
            <v>36.392450763811269</v>
          </cell>
          <cell r="AD49">
            <v>2.181512736151888</v>
          </cell>
          <cell r="AE49">
            <v>40.164999999999999</v>
          </cell>
          <cell r="AF49">
            <v>444500000</v>
          </cell>
          <cell r="AG49">
            <v>5</v>
          </cell>
          <cell r="AH49">
            <v>3.0381814231638176</v>
          </cell>
          <cell r="AI49">
            <v>5</v>
          </cell>
          <cell r="AJ49">
            <v>54.3</v>
          </cell>
          <cell r="AK49">
            <v>0.72799999999999998</v>
          </cell>
          <cell r="AL49">
            <v>60.774999999999999</v>
          </cell>
          <cell r="AM49">
            <v>3.3010000000000002</v>
          </cell>
          <cell r="AN49">
            <v>214.13468921186629</v>
          </cell>
        </row>
        <row r="50">
          <cell r="B50" t="str">
            <v>IRN</v>
          </cell>
          <cell r="C50">
            <v>0</v>
          </cell>
          <cell r="D50">
            <v>0.18</v>
          </cell>
          <cell r="E50">
            <v>5.33</v>
          </cell>
          <cell r="F50">
            <v>0.55000000000000004</v>
          </cell>
          <cell r="G50">
            <v>648.67999999999995</v>
          </cell>
          <cell r="H50">
            <v>38.3333333333333</v>
          </cell>
          <cell r="I50" t="str">
            <v>Proposed coal pipeline; Operating coal capacity = 0 MW</v>
          </cell>
          <cell r="J50" t="str">
            <v>Coal capacity under construction; Operating coal capacity = 0 MW</v>
          </cell>
          <cell r="K50">
            <v>-1.4571428571428572E-2</v>
          </cell>
          <cell r="L50">
            <v>-0.89257142857142857</v>
          </cell>
          <cell r="M50">
            <v>6.4442857142857033</v>
          </cell>
          <cell r="N50">
            <v>0</v>
          </cell>
          <cell r="O50" t="str">
            <v/>
          </cell>
          <cell r="P50">
            <v>38.89</v>
          </cell>
          <cell r="Q50">
            <v>37.61</v>
          </cell>
          <cell r="R50">
            <v>31.03</v>
          </cell>
          <cell r="S50">
            <v>35.71</v>
          </cell>
          <cell r="T50">
            <v>24.63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25</v>
          </cell>
          <cell r="Z50">
            <v>0</v>
          </cell>
          <cell r="AA50">
            <v>0</v>
          </cell>
          <cell r="AC50" t="str">
            <v>Missing</v>
          </cell>
          <cell r="AD50">
            <v>32.455871402916991</v>
          </cell>
          <cell r="AE50">
            <v>31.228999999999999</v>
          </cell>
          <cell r="AF50">
            <v>0</v>
          </cell>
          <cell r="AG50">
            <v>0</v>
          </cell>
          <cell r="AH50" t="str">
            <v>Missing</v>
          </cell>
          <cell r="AI50">
            <v>5</v>
          </cell>
          <cell r="AJ50">
            <v>100</v>
          </cell>
          <cell r="AK50">
            <v>0.79900000000000004</v>
          </cell>
          <cell r="AL50">
            <v>92.965000000000003</v>
          </cell>
          <cell r="AM50">
            <v>8.1460000000000008</v>
          </cell>
          <cell r="AN50">
            <v>0</v>
          </cell>
        </row>
        <row r="51">
          <cell r="B51" t="str">
            <v>IRL</v>
          </cell>
          <cell r="C51">
            <v>0</v>
          </cell>
          <cell r="D51">
            <v>2.0299999999999998</v>
          </cell>
          <cell r="E51">
            <v>46.53</v>
          </cell>
          <cell r="F51">
            <v>40.83</v>
          </cell>
          <cell r="G51">
            <v>270.91000000000003</v>
          </cell>
          <cell r="H51">
            <v>84.629629629629605</v>
          </cell>
          <cell r="I51" t="str">
            <v>Proposed coal pipeline; Operating coal capacity = 0 MW</v>
          </cell>
          <cell r="J51" t="str">
            <v>Coal capacity under construction; Operating coal capacity = 0 MW</v>
          </cell>
          <cell r="K51">
            <v>0.16057142857142845</v>
          </cell>
          <cell r="L51">
            <v>1.4214285714285719</v>
          </cell>
          <cell r="M51">
            <v>-7.1888571428571382</v>
          </cell>
          <cell r="N51">
            <v>100</v>
          </cell>
          <cell r="O51" t="str">
            <v/>
          </cell>
          <cell r="P51">
            <v>78.02</v>
          </cell>
          <cell r="Q51">
            <v>82.68</v>
          </cell>
          <cell r="R51">
            <v>83.16</v>
          </cell>
          <cell r="S51">
            <v>84.35</v>
          </cell>
          <cell r="T51">
            <v>79.69</v>
          </cell>
          <cell r="U51">
            <v>1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C51">
            <v>23.78453755553835</v>
          </cell>
          <cell r="AD51">
            <v>2.1134499957731672</v>
          </cell>
          <cell r="AE51">
            <v>38.270000000000003</v>
          </cell>
          <cell r="AF51">
            <v>0</v>
          </cell>
          <cell r="AG51">
            <v>0</v>
          </cell>
          <cell r="AH51">
            <v>3.971852141641294</v>
          </cell>
          <cell r="AI51">
            <v>1</v>
          </cell>
          <cell r="AJ51">
            <v>100</v>
          </cell>
          <cell r="AK51">
            <v>0.94899999999999995</v>
          </cell>
          <cell r="AL51">
            <v>98.215000000000003</v>
          </cell>
          <cell r="AM51">
            <v>4.3</v>
          </cell>
          <cell r="AN51">
            <v>0</v>
          </cell>
        </row>
        <row r="52">
          <cell r="B52" t="str">
            <v>ISR</v>
          </cell>
          <cell r="C52">
            <v>4325</v>
          </cell>
          <cell r="D52">
            <v>14.3</v>
          </cell>
          <cell r="E52">
            <v>13.8</v>
          </cell>
          <cell r="F52">
            <v>13.65</v>
          </cell>
          <cell r="G52">
            <v>540.54999999999995</v>
          </cell>
          <cell r="H52">
            <v>35.920634920634903</v>
          </cell>
          <cell r="I52">
            <v>0</v>
          </cell>
          <cell r="J52">
            <v>0</v>
          </cell>
          <cell r="K52">
            <v>-3.0794285714285716</v>
          </cell>
          <cell r="L52">
            <v>1.8240000000000001</v>
          </cell>
          <cell r="M52">
            <v>-18.55857142857143</v>
          </cell>
          <cell r="N52">
            <v>100</v>
          </cell>
          <cell r="O52">
            <v>100</v>
          </cell>
          <cell r="P52">
            <v>48.17</v>
          </cell>
          <cell r="Q52">
            <v>74.14</v>
          </cell>
          <cell r="R52">
            <v>72.430000000000007</v>
          </cell>
          <cell r="S52">
            <v>67.290000000000006</v>
          </cell>
          <cell r="T52">
            <v>65.13</v>
          </cell>
          <cell r="U52">
            <v>5</v>
          </cell>
          <cell r="V52">
            <v>16574</v>
          </cell>
          <cell r="W52">
            <v>13113</v>
          </cell>
          <cell r="X52">
            <v>20</v>
          </cell>
          <cell r="Y52">
            <v>25</v>
          </cell>
          <cell r="Z52">
            <v>0</v>
          </cell>
          <cell r="AA52">
            <v>0</v>
          </cell>
          <cell r="AC52">
            <v>69.754968912758514</v>
          </cell>
          <cell r="AD52">
            <v>3.0748088980502462</v>
          </cell>
          <cell r="AE52">
            <v>67.673000000000002</v>
          </cell>
          <cell r="AF52">
            <v>0</v>
          </cell>
          <cell r="AG52">
            <v>0</v>
          </cell>
          <cell r="AH52">
            <v>4.684028777912939</v>
          </cell>
          <cell r="AI52">
            <v>4</v>
          </cell>
          <cell r="AJ52">
            <v>100</v>
          </cell>
          <cell r="AK52">
            <v>0.91900000000000004</v>
          </cell>
          <cell r="AL52">
            <v>97.164999999999992</v>
          </cell>
          <cell r="AM52">
            <v>3.5950000000000002</v>
          </cell>
          <cell r="AN52">
            <v>433.61004170676938</v>
          </cell>
        </row>
        <row r="53">
          <cell r="B53" t="str">
            <v>ITA</v>
          </cell>
          <cell r="C53">
            <v>1230</v>
          </cell>
          <cell r="D53">
            <v>1.48</v>
          </cell>
          <cell r="E53">
            <v>50.17</v>
          </cell>
          <cell r="F53">
            <v>21.75</v>
          </cell>
          <cell r="G53">
            <v>281.39999999999998</v>
          </cell>
          <cell r="H53">
            <v>84.1111111111111</v>
          </cell>
          <cell r="I53">
            <v>0</v>
          </cell>
          <cell r="J53">
            <v>0</v>
          </cell>
          <cell r="K53">
            <v>-0.60799999999999998</v>
          </cell>
          <cell r="L53">
            <v>1.5197142857142858</v>
          </cell>
          <cell r="M53">
            <v>-9.822000000000001</v>
          </cell>
          <cell r="N53">
            <v>100</v>
          </cell>
          <cell r="O53">
            <v>75</v>
          </cell>
          <cell r="P53">
            <v>71.17</v>
          </cell>
          <cell r="Q53">
            <v>66.75</v>
          </cell>
          <cell r="R53">
            <v>64.959999999999994</v>
          </cell>
          <cell r="S53">
            <v>67.62</v>
          </cell>
          <cell r="T53">
            <v>59.05</v>
          </cell>
          <cell r="U53">
            <v>15</v>
          </cell>
          <cell r="V53">
            <v>0</v>
          </cell>
          <cell r="W53">
            <v>0</v>
          </cell>
          <cell r="X53">
            <v>0</v>
          </cell>
          <cell r="Y53">
            <v>25</v>
          </cell>
          <cell r="Z53">
            <v>0</v>
          </cell>
          <cell r="AA53">
            <v>0</v>
          </cell>
          <cell r="AC53">
            <v>60.370125849953901</v>
          </cell>
          <cell r="AD53">
            <v>0.98237302306141705</v>
          </cell>
          <cell r="AE53">
            <v>134.73500000000001</v>
          </cell>
          <cell r="AF53">
            <v>0</v>
          </cell>
          <cell r="AG53">
            <v>0</v>
          </cell>
          <cell r="AH53">
            <v>3.971852141641294</v>
          </cell>
          <cell r="AI53">
            <v>1</v>
          </cell>
          <cell r="AJ53">
            <v>88.8</v>
          </cell>
          <cell r="AK53">
            <v>0.91500000000000004</v>
          </cell>
          <cell r="AL53">
            <v>89.745000000000005</v>
          </cell>
          <cell r="AM53">
            <v>6.5</v>
          </cell>
          <cell r="AN53">
            <v>20.864182921957237</v>
          </cell>
        </row>
        <row r="54">
          <cell r="B54" t="str">
            <v>JAM</v>
          </cell>
          <cell r="C54">
            <v>0</v>
          </cell>
          <cell r="D54">
            <v>0</v>
          </cell>
          <cell r="E54">
            <v>12.6</v>
          </cell>
          <cell r="F54">
            <v>8.94</v>
          </cell>
          <cell r="G54">
            <v>563.01</v>
          </cell>
          <cell r="H54">
            <v>32.9444444444444</v>
          </cell>
          <cell r="I54" t="str">
            <v>Proposed coal pipeline; Operating coal capacity = 0 MW</v>
          </cell>
          <cell r="J54" t="str">
            <v>Coal capacity under construction; Operating coal capacity = 0 MW</v>
          </cell>
          <cell r="K54">
            <v>0</v>
          </cell>
          <cell r="L54">
            <v>-0.16714285714285723</v>
          </cell>
          <cell r="M54">
            <v>-0.14342857142857091</v>
          </cell>
          <cell r="N54">
            <v>0</v>
          </cell>
          <cell r="O54" t="str">
            <v/>
          </cell>
          <cell r="P54">
            <v>74.040000000000006</v>
          </cell>
          <cell r="Q54">
            <v>54.67</v>
          </cell>
          <cell r="R54">
            <v>56.3</v>
          </cell>
          <cell r="S54">
            <v>55.63</v>
          </cell>
          <cell r="T54">
            <v>45.91</v>
          </cell>
          <cell r="U54">
            <v>0</v>
          </cell>
          <cell r="V54">
            <v>0</v>
          </cell>
          <cell r="W54">
            <v>0</v>
          </cell>
          <cell r="X54">
            <v>20</v>
          </cell>
          <cell r="Y54">
            <v>25</v>
          </cell>
          <cell r="Z54">
            <v>0</v>
          </cell>
          <cell r="AA54">
            <v>0</v>
          </cell>
          <cell r="AC54">
            <v>45.128874342246689</v>
          </cell>
          <cell r="AD54">
            <v>5.4119444798165883</v>
          </cell>
          <cell r="AE54">
            <v>62.465000000000003</v>
          </cell>
          <cell r="AF54">
            <v>124300000</v>
          </cell>
          <cell r="AG54">
            <v>2</v>
          </cell>
          <cell r="AH54">
            <v>3.1995295376142914</v>
          </cell>
          <cell r="AI54">
            <v>3</v>
          </cell>
          <cell r="AJ54">
            <v>32.6</v>
          </cell>
          <cell r="AK54">
            <v>0.72</v>
          </cell>
          <cell r="AL54">
            <v>46.39</v>
          </cell>
          <cell r="AM54">
            <v>3.1509999999999998</v>
          </cell>
          <cell r="AN54">
            <v>0</v>
          </cell>
        </row>
        <row r="55">
          <cell r="B55" t="str">
            <v>JPN</v>
          </cell>
          <cell r="C55">
            <v>53000</v>
          </cell>
          <cell r="D55">
            <v>32.19</v>
          </cell>
          <cell r="E55">
            <v>22.94</v>
          </cell>
          <cell r="F55">
            <v>10.65</v>
          </cell>
          <cell r="G55">
            <v>483.43</v>
          </cell>
          <cell r="H55">
            <v>63.537037037037003</v>
          </cell>
          <cell r="I55">
            <v>1.8867924528301886E-2</v>
          </cell>
          <cell r="J55">
            <v>0</v>
          </cell>
          <cell r="K55">
            <v>-0.28485714285714342</v>
          </cell>
          <cell r="L55">
            <v>1.1414285714285712</v>
          </cell>
          <cell r="M55">
            <v>-9.3168571428571436</v>
          </cell>
          <cell r="N55">
            <v>100</v>
          </cell>
          <cell r="O55">
            <v>0</v>
          </cell>
          <cell r="P55">
            <v>85.27</v>
          </cell>
          <cell r="Q55">
            <v>91.94</v>
          </cell>
          <cell r="R55">
            <v>75.83</v>
          </cell>
          <cell r="S55">
            <v>82.98</v>
          </cell>
          <cell r="T55">
            <v>75.319999999999993</v>
          </cell>
          <cell r="U55">
            <v>4</v>
          </cell>
          <cell r="V55">
            <v>0</v>
          </cell>
          <cell r="W55">
            <v>0</v>
          </cell>
          <cell r="X55">
            <v>60</v>
          </cell>
          <cell r="Y55">
            <v>100</v>
          </cell>
          <cell r="Z55">
            <v>32</v>
          </cell>
          <cell r="AA55">
            <v>0</v>
          </cell>
          <cell r="AC55">
            <v>194.61139930369026</v>
          </cell>
          <cell r="AD55">
            <v>2.7385368163524069</v>
          </cell>
          <cell r="AE55">
            <v>214.48699999999999</v>
          </cell>
          <cell r="AF55">
            <v>0</v>
          </cell>
          <cell r="AG55">
            <v>0</v>
          </cell>
          <cell r="AH55">
            <v>7.393988341607141</v>
          </cell>
          <cell r="AI55">
            <v>2</v>
          </cell>
          <cell r="AJ55">
            <v>94.6</v>
          </cell>
          <cell r="AK55">
            <v>0.92500000000000004</v>
          </cell>
          <cell r="AL55">
            <v>93.864999999999995</v>
          </cell>
          <cell r="AM55">
            <v>2.5</v>
          </cell>
          <cell r="AN55">
            <v>427.50426614976618</v>
          </cell>
        </row>
        <row r="56">
          <cell r="B56" t="str">
            <v>KAZ</v>
          </cell>
          <cell r="C56">
            <v>13251</v>
          </cell>
          <cell r="D56">
            <v>54.03</v>
          </cell>
          <cell r="E56">
            <v>15.21</v>
          </cell>
          <cell r="F56">
            <v>5.72</v>
          </cell>
          <cell r="G56">
            <v>802.04</v>
          </cell>
          <cell r="H56">
            <v>24.923280423280399</v>
          </cell>
          <cell r="I56">
            <v>0.89381933438985739</v>
          </cell>
          <cell r="J56">
            <v>1.0565240359218173E-2</v>
          </cell>
          <cell r="K56">
            <v>-3.2697142857142865</v>
          </cell>
          <cell r="L56">
            <v>0.85628571428571443</v>
          </cell>
          <cell r="M56">
            <v>-6.1928571428571457</v>
          </cell>
          <cell r="N56">
            <v>100</v>
          </cell>
          <cell r="O56">
            <v>0</v>
          </cell>
          <cell r="P56">
            <v>61.06</v>
          </cell>
          <cell r="Q56">
            <v>54.19</v>
          </cell>
          <cell r="R56">
            <v>55.6</v>
          </cell>
          <cell r="S56">
            <v>50.4</v>
          </cell>
          <cell r="T56">
            <v>46.5</v>
          </cell>
          <cell r="U56">
            <v>11</v>
          </cell>
          <cell r="V56">
            <v>339170</v>
          </cell>
          <cell r="W56">
            <v>28072</v>
          </cell>
          <cell r="X56">
            <v>60</v>
          </cell>
          <cell r="Y56">
            <v>25</v>
          </cell>
          <cell r="Z56">
            <v>2</v>
          </cell>
          <cell r="AA56">
            <v>0</v>
          </cell>
          <cell r="AC56">
            <v>27.279679577965325</v>
          </cell>
          <cell r="AD56">
            <v>8.6908215610449435</v>
          </cell>
          <cell r="AE56">
            <v>24.376999999999999</v>
          </cell>
          <cell r="AF56">
            <v>727910000</v>
          </cell>
          <cell r="AG56">
            <v>7</v>
          </cell>
          <cell r="AH56">
            <v>4.4121773836153819</v>
          </cell>
          <cell r="AI56">
            <v>5</v>
          </cell>
          <cell r="AJ56">
            <v>94.3</v>
          </cell>
          <cell r="AK56">
            <v>0.83699999999999997</v>
          </cell>
          <cell r="AL56">
            <v>90.59</v>
          </cell>
          <cell r="AM56">
            <v>4.8330000000000002</v>
          </cell>
          <cell r="AN56">
            <v>643.48448768247545</v>
          </cell>
        </row>
        <row r="57">
          <cell r="B57" t="str">
            <v>KEN</v>
          </cell>
          <cell r="C57">
            <v>0</v>
          </cell>
          <cell r="D57">
            <v>0</v>
          </cell>
          <cell r="E57">
            <v>91.49</v>
          </cell>
          <cell r="F57">
            <v>21.35</v>
          </cell>
          <cell r="G57">
            <v>85.22</v>
          </cell>
          <cell r="H57">
            <v>42.925925925925903</v>
          </cell>
          <cell r="I57" t="str">
            <v>Proposed coal pipeline; Operating coal capacity = 0 MW</v>
          </cell>
          <cell r="J57" t="str">
            <v>Coal capacity under construction; Operating coal capacity = 0 MW</v>
          </cell>
          <cell r="K57">
            <v>0</v>
          </cell>
          <cell r="L57">
            <v>1.8285714285713895E-2</v>
          </cell>
          <cell r="M57">
            <v>-7.7142857142864125E-3</v>
          </cell>
          <cell r="N57">
            <v>20</v>
          </cell>
          <cell r="O57" t="str">
            <v/>
          </cell>
          <cell r="P57">
            <v>42.74</v>
          </cell>
          <cell r="Q57">
            <v>45.55</v>
          </cell>
          <cell r="R57">
            <v>49.6</v>
          </cell>
          <cell r="S57">
            <v>48.97</v>
          </cell>
          <cell r="T57">
            <v>31.62</v>
          </cell>
          <cell r="U57">
            <v>307</v>
          </cell>
          <cell r="V57">
            <v>71034833</v>
          </cell>
          <cell r="W57">
            <v>37034225</v>
          </cell>
          <cell r="X57">
            <v>80</v>
          </cell>
          <cell r="Y57">
            <v>75</v>
          </cell>
          <cell r="Z57">
            <v>4</v>
          </cell>
          <cell r="AA57">
            <v>0</v>
          </cell>
          <cell r="AC57" t="str">
            <v>Missing</v>
          </cell>
          <cell r="AD57">
            <v>4.4897885424344786</v>
          </cell>
          <cell r="AE57">
            <v>67.337999999999994</v>
          </cell>
          <cell r="AF57">
            <v>379760000</v>
          </cell>
          <cell r="AG57">
            <v>7</v>
          </cell>
          <cell r="AH57">
            <v>7.0448529685443324</v>
          </cell>
          <cell r="AI57">
            <v>4</v>
          </cell>
          <cell r="AJ57">
            <v>9</v>
          </cell>
          <cell r="AK57">
            <v>0.628</v>
          </cell>
          <cell r="AL57">
            <v>27.83</v>
          </cell>
          <cell r="AM57">
            <v>5.4870000000000001</v>
          </cell>
          <cell r="AN57">
            <v>0</v>
          </cell>
        </row>
        <row r="58">
          <cell r="B58" t="str">
            <v>XKX</v>
          </cell>
          <cell r="C58">
            <v>1325</v>
          </cell>
          <cell r="D58">
            <v>91.26</v>
          </cell>
          <cell r="E58">
            <v>8.59</v>
          </cell>
          <cell r="F58">
            <v>5.48</v>
          </cell>
          <cell r="G58">
            <v>924.44</v>
          </cell>
          <cell r="H58">
            <v>36.248677248677197</v>
          </cell>
          <cell r="I58">
            <v>0</v>
          </cell>
          <cell r="J58">
            <v>0</v>
          </cell>
          <cell r="K58">
            <v>-1.1279999999999992</v>
          </cell>
          <cell r="L58">
            <v>1.1499999999999999</v>
          </cell>
          <cell r="M58">
            <v>-11.45714285714285</v>
          </cell>
          <cell r="N58">
            <v>0</v>
          </cell>
          <cell r="O58">
            <v>75</v>
          </cell>
          <cell r="P58">
            <v>60.4</v>
          </cell>
          <cell r="Q58">
            <v>50.15</v>
          </cell>
          <cell r="R58">
            <v>51.35</v>
          </cell>
          <cell r="S58">
            <v>57.86</v>
          </cell>
          <cell r="T58">
            <v>42.7</v>
          </cell>
          <cell r="U58">
            <v>1</v>
          </cell>
          <cell r="V58">
            <v>0</v>
          </cell>
          <cell r="W58">
            <v>0</v>
          </cell>
          <cell r="X58" t="str">
            <v>Missing</v>
          </cell>
          <cell r="Y58" t="str">
            <v>Missing</v>
          </cell>
          <cell r="Z58">
            <v>0</v>
          </cell>
          <cell r="AA58">
            <v>0</v>
          </cell>
          <cell r="AC58">
            <v>60.712830712094615</v>
          </cell>
          <cell r="AD58">
            <v>1.619449945594762</v>
          </cell>
          <cell r="AE58">
            <v>17.916</v>
          </cell>
          <cell r="AF58">
            <v>0</v>
          </cell>
          <cell r="AG58">
            <v>0</v>
          </cell>
          <cell r="AH58">
            <v>4.0200889946655103</v>
          </cell>
          <cell r="AI58" t="str">
            <v>Missing</v>
          </cell>
          <cell r="AJ58" t="str">
            <v>Missing</v>
          </cell>
          <cell r="AK58" t="str">
            <v>Missing</v>
          </cell>
          <cell r="AL58" t="str">
            <v>Missing</v>
          </cell>
          <cell r="AM58" t="str">
            <v>Missing</v>
          </cell>
          <cell r="AN58">
            <v>831.05811573723008</v>
          </cell>
        </row>
        <row r="59">
          <cell r="B59" t="str">
            <v>KGZ</v>
          </cell>
          <cell r="C59">
            <v>813</v>
          </cell>
          <cell r="D59">
            <v>9.6999999999999993</v>
          </cell>
          <cell r="E59">
            <v>88.78</v>
          </cell>
          <cell r="F59">
            <v>0</v>
          </cell>
          <cell r="G59">
            <v>119.21</v>
          </cell>
          <cell r="H59">
            <v>17.068783068782999</v>
          </cell>
          <cell r="I59">
            <v>1.4760147601476015</v>
          </cell>
          <cell r="J59">
            <v>0</v>
          </cell>
          <cell r="K59">
            <v>0.58314285714285707</v>
          </cell>
          <cell r="L59">
            <v>-0.75485714285714245</v>
          </cell>
          <cell r="M59">
            <v>5.8345714285714276</v>
          </cell>
          <cell r="N59">
            <v>0</v>
          </cell>
          <cell r="O59">
            <v>0</v>
          </cell>
          <cell r="P59">
            <v>57.28</v>
          </cell>
          <cell r="Q59">
            <v>34.06</v>
          </cell>
          <cell r="R59">
            <v>46.71</v>
          </cell>
          <cell r="S59">
            <v>40.85</v>
          </cell>
          <cell r="T59">
            <v>24.85</v>
          </cell>
          <cell r="U59">
            <v>0</v>
          </cell>
          <cell r="V59">
            <v>0</v>
          </cell>
          <cell r="W59">
            <v>0</v>
          </cell>
          <cell r="X59">
            <v>60</v>
          </cell>
          <cell r="Y59">
            <v>0</v>
          </cell>
          <cell r="Z59">
            <v>1</v>
          </cell>
          <cell r="AA59">
            <v>0</v>
          </cell>
          <cell r="AC59">
            <v>23.162955299139242</v>
          </cell>
          <cell r="AD59">
            <v>4.9976070120732308</v>
          </cell>
          <cell r="AE59">
            <v>36.229999999999997</v>
          </cell>
          <cell r="AF59">
            <v>335790000</v>
          </cell>
          <cell r="AG59">
            <v>3</v>
          </cell>
          <cell r="AH59">
            <v>5.0143956722791527</v>
          </cell>
          <cell r="AI59">
            <v>5</v>
          </cell>
          <cell r="AJ59">
            <v>42.9</v>
          </cell>
          <cell r="AK59">
            <v>0.72</v>
          </cell>
          <cell r="AL59">
            <v>53.085000000000001</v>
          </cell>
          <cell r="AM59">
            <v>3.4910000000000001</v>
          </cell>
          <cell r="AN59">
            <v>112.57475212784283</v>
          </cell>
        </row>
        <row r="60">
          <cell r="B60" t="str">
            <v>LAO</v>
          </cell>
          <cell r="C60">
            <v>1878</v>
          </cell>
          <cell r="D60">
            <v>23.28</v>
          </cell>
          <cell r="E60">
            <v>76.72</v>
          </cell>
          <cell r="F60">
            <v>0.17</v>
          </cell>
          <cell r="G60">
            <v>232.08</v>
          </cell>
          <cell r="H60">
            <v>23.8941798941798</v>
          </cell>
          <cell r="I60">
            <v>2.4494142705005326</v>
          </cell>
          <cell r="J60">
            <v>0.15974440894568689</v>
          </cell>
          <cell r="K60">
            <v>-2.4037142857142859</v>
          </cell>
          <cell r="L60">
            <v>2.4037142857142859</v>
          </cell>
          <cell r="M60">
            <v>-21.513428571428566</v>
          </cell>
          <cell r="N60">
            <v>0</v>
          </cell>
          <cell r="O60">
            <v>0</v>
          </cell>
          <cell r="P60">
            <v>75.42</v>
          </cell>
          <cell r="Q60">
            <v>40.03</v>
          </cell>
          <cell r="R60">
            <v>44.83</v>
          </cell>
          <cell r="S60">
            <v>44.19</v>
          </cell>
          <cell r="T60">
            <v>28.02</v>
          </cell>
          <cell r="U60">
            <v>35</v>
          </cell>
          <cell r="V60">
            <v>2589769</v>
          </cell>
          <cell r="W60">
            <v>737746</v>
          </cell>
          <cell r="X60">
            <v>80</v>
          </cell>
          <cell r="Y60">
            <v>50</v>
          </cell>
          <cell r="Z60">
            <v>3</v>
          </cell>
          <cell r="AA60">
            <v>0</v>
          </cell>
          <cell r="AC60" t="str">
            <v>Missing</v>
          </cell>
          <cell r="AD60">
            <v>23.130569594258809</v>
          </cell>
          <cell r="AE60">
            <v>94.682000000000002</v>
          </cell>
          <cell r="AF60">
            <v>959000000</v>
          </cell>
          <cell r="AG60">
            <v>1</v>
          </cell>
          <cell r="AH60">
            <v>16.862211746201321</v>
          </cell>
          <cell r="AI60">
            <v>5</v>
          </cell>
          <cell r="AJ60">
            <v>15.5</v>
          </cell>
          <cell r="AK60">
            <v>0.61699999999999999</v>
          </cell>
          <cell r="AL60">
            <v>31.67</v>
          </cell>
          <cell r="AM60">
            <v>1.1739999999999999</v>
          </cell>
          <cell r="AN60">
            <v>241.70447213763924</v>
          </cell>
        </row>
        <row r="61">
          <cell r="B61" t="str">
            <v>LVA</v>
          </cell>
          <cell r="C61">
            <v>0</v>
          </cell>
          <cell r="D61">
            <v>0</v>
          </cell>
          <cell r="E61">
            <v>73.45</v>
          </cell>
          <cell r="F61">
            <v>12.95</v>
          </cell>
          <cell r="G61">
            <v>134.28</v>
          </cell>
          <cell r="H61" t="str">
            <v>Missing</v>
          </cell>
          <cell r="I61" t="str">
            <v>Proposed coal pipeline; Operating coal capacity = 0 MW</v>
          </cell>
          <cell r="J61" t="str">
            <v>Coal capacity under construction; Operating coal capacity = 0 MW</v>
          </cell>
          <cell r="K61">
            <v>0</v>
          </cell>
          <cell r="L61">
            <v>4.9788571428571426</v>
          </cell>
          <cell r="M61">
            <v>-18.852285714285713</v>
          </cell>
          <cell r="N61">
            <v>100</v>
          </cell>
          <cell r="O61" t="str">
            <v/>
          </cell>
          <cell r="P61">
            <v>76.489999999999995</v>
          </cell>
          <cell r="Q61">
            <v>65.790000000000006</v>
          </cell>
          <cell r="R61">
            <v>72.209999999999994</v>
          </cell>
          <cell r="S61">
            <v>75.75</v>
          </cell>
          <cell r="T61">
            <v>64.56</v>
          </cell>
          <cell r="U61">
            <v>3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C61">
            <v>29.539567782752908</v>
          </cell>
          <cell r="AD61">
            <v>1.265798858287287</v>
          </cell>
          <cell r="AE61">
            <v>46.25</v>
          </cell>
          <cell r="AF61">
            <v>0</v>
          </cell>
          <cell r="AG61">
            <v>0</v>
          </cell>
          <cell r="AH61">
            <v>3.971852141641294</v>
          </cell>
          <cell r="AI61">
            <v>2</v>
          </cell>
          <cell r="AJ61">
            <v>99.4</v>
          </cell>
          <cell r="AK61">
            <v>0.88900000000000001</v>
          </cell>
          <cell r="AL61">
            <v>95.724999999999994</v>
          </cell>
          <cell r="AM61">
            <v>6.9</v>
          </cell>
          <cell r="AN61">
            <v>0</v>
          </cell>
        </row>
        <row r="62">
          <cell r="B62" t="str">
            <v>MDG</v>
          </cell>
          <cell r="C62">
            <v>120</v>
          </cell>
          <cell r="D62">
            <v>20.58</v>
          </cell>
          <cell r="E62">
            <v>42.39</v>
          </cell>
          <cell r="F62">
            <v>4.12</v>
          </cell>
          <cell r="G62">
            <v>432.1</v>
          </cell>
          <cell r="H62">
            <v>9.4682539682539595</v>
          </cell>
          <cell r="I62">
            <v>0</v>
          </cell>
          <cell r="J62">
            <v>0</v>
          </cell>
          <cell r="K62">
            <v>1.1145714285714283</v>
          </cell>
          <cell r="L62">
            <v>0.89542857142857113</v>
          </cell>
          <cell r="M62">
            <v>-2.1482857142857128</v>
          </cell>
          <cell r="N62">
            <v>0</v>
          </cell>
          <cell r="O62">
            <v>0</v>
          </cell>
          <cell r="P62">
            <v>57.69</v>
          </cell>
          <cell r="Q62">
            <v>34.56</v>
          </cell>
          <cell r="R62">
            <v>43.06</v>
          </cell>
          <cell r="S62">
            <v>41.77</v>
          </cell>
          <cell r="T62">
            <v>27.41</v>
          </cell>
          <cell r="U62">
            <v>119</v>
          </cell>
          <cell r="V62">
            <v>10119518</v>
          </cell>
          <cell r="W62">
            <v>3743886</v>
          </cell>
          <cell r="X62">
            <v>80</v>
          </cell>
          <cell r="Y62">
            <v>100</v>
          </cell>
          <cell r="Z62">
            <v>0</v>
          </cell>
          <cell r="AA62">
            <v>2720000</v>
          </cell>
          <cell r="AC62">
            <v>16.640945144649454</v>
          </cell>
          <cell r="AD62">
            <v>7.6133578431372326</v>
          </cell>
          <cell r="AE62">
            <v>49.805</v>
          </cell>
          <cell r="AF62">
            <v>70470000</v>
          </cell>
          <cell r="AG62">
            <v>4</v>
          </cell>
          <cell r="AH62">
            <v>4.4740218096004005</v>
          </cell>
          <cell r="AI62">
            <v>4</v>
          </cell>
          <cell r="AJ62">
            <v>15.4</v>
          </cell>
          <cell r="AK62">
            <v>0.48699999999999999</v>
          </cell>
          <cell r="AL62">
            <v>27.055</v>
          </cell>
          <cell r="AM62">
            <v>3.0510000000000002</v>
          </cell>
          <cell r="AN62">
            <v>3.7541112210509535</v>
          </cell>
        </row>
        <row r="63">
          <cell r="B63" t="str">
            <v>MWI</v>
          </cell>
          <cell r="C63">
            <v>0</v>
          </cell>
          <cell r="D63">
            <v>0</v>
          </cell>
          <cell r="E63">
            <v>95.63</v>
          </cell>
          <cell r="F63">
            <v>0.55000000000000004</v>
          </cell>
          <cell r="G63">
            <v>54.65</v>
          </cell>
          <cell r="H63">
            <v>38.037037037037003</v>
          </cell>
          <cell r="I63" t="str">
            <v>Proposed coal pipeline; Operating coal capacity = 0 MW</v>
          </cell>
          <cell r="J63" t="str">
            <v>Coal capacity under construction; Operating coal capacity = 0 MW</v>
          </cell>
          <cell r="K63">
            <v>0</v>
          </cell>
          <cell r="L63">
            <v>-0.39571428571428796</v>
          </cell>
          <cell r="M63">
            <v>1.6151428571428565</v>
          </cell>
          <cell r="N63">
            <v>0</v>
          </cell>
          <cell r="O63" t="str">
            <v/>
          </cell>
          <cell r="P63">
            <v>59.4</v>
          </cell>
          <cell r="Q63">
            <v>37.229999999999997</v>
          </cell>
          <cell r="R63">
            <v>45.64</v>
          </cell>
          <cell r="S63">
            <v>54.45</v>
          </cell>
          <cell r="T63">
            <v>34.72</v>
          </cell>
          <cell r="U63">
            <v>144</v>
          </cell>
          <cell r="V63">
            <v>18967528</v>
          </cell>
          <cell r="W63">
            <v>9360190</v>
          </cell>
          <cell r="X63">
            <v>100</v>
          </cell>
          <cell r="Y63">
            <v>50</v>
          </cell>
          <cell r="Z63">
            <v>2</v>
          </cell>
          <cell r="AA63">
            <v>0</v>
          </cell>
          <cell r="AC63">
            <v>7.9072348894576079</v>
          </cell>
          <cell r="AD63">
            <v>32.179650422502512</v>
          </cell>
          <cell r="AE63">
            <v>87.628</v>
          </cell>
          <cell r="AF63">
            <v>27600000</v>
          </cell>
          <cell r="AG63">
            <v>1</v>
          </cell>
          <cell r="AH63" t="str">
            <v>Missing</v>
          </cell>
          <cell r="AI63">
            <v>2</v>
          </cell>
          <cell r="AJ63">
            <v>19.899999999999999</v>
          </cell>
          <cell r="AK63">
            <v>0.51700000000000002</v>
          </cell>
          <cell r="AL63">
            <v>31.029999999999998</v>
          </cell>
          <cell r="AM63">
            <v>5.0510000000000002</v>
          </cell>
          <cell r="AN63">
            <v>0</v>
          </cell>
        </row>
        <row r="64">
          <cell r="B64" t="str">
            <v>MYS</v>
          </cell>
          <cell r="C64">
            <v>13280</v>
          </cell>
          <cell r="D64">
            <v>43.05</v>
          </cell>
          <cell r="E64">
            <v>20.36</v>
          </cell>
          <cell r="F64">
            <v>2.08</v>
          </cell>
          <cell r="G64">
            <v>600.44000000000005</v>
          </cell>
          <cell r="H64">
            <v>27.955026455026399</v>
          </cell>
          <cell r="I64">
            <v>0</v>
          </cell>
          <cell r="J64">
            <v>0</v>
          </cell>
          <cell r="K64">
            <v>-0.71342857142857186</v>
          </cell>
          <cell r="L64">
            <v>0.74485714285714288</v>
          </cell>
          <cell r="M64">
            <v>-6.0831428571428496</v>
          </cell>
          <cell r="N64">
            <v>70</v>
          </cell>
          <cell r="O64">
            <v>100</v>
          </cell>
          <cell r="P64">
            <v>72.47</v>
          </cell>
          <cell r="Q64">
            <v>69.13</v>
          </cell>
          <cell r="R64">
            <v>65.59</v>
          </cell>
          <cell r="S64">
            <v>62.9</v>
          </cell>
          <cell r="T64">
            <v>57.94</v>
          </cell>
          <cell r="U64">
            <v>19</v>
          </cell>
          <cell r="V64">
            <v>4815752</v>
          </cell>
          <cell r="W64">
            <v>1385442</v>
          </cell>
          <cell r="X64">
            <v>60</v>
          </cell>
          <cell r="Y64">
            <v>50</v>
          </cell>
          <cell r="Z64">
            <v>2</v>
          </cell>
          <cell r="AA64">
            <v>0</v>
          </cell>
          <cell r="AC64">
            <v>116.10741080739186</v>
          </cell>
          <cell r="AD64">
            <v>1.834100204499002</v>
          </cell>
          <cell r="AE64">
            <v>69.838999999999999</v>
          </cell>
          <cell r="AF64">
            <v>1921270000</v>
          </cell>
          <cell r="AG64">
            <v>8</v>
          </cell>
          <cell r="AH64">
            <v>2.5693809477954836</v>
          </cell>
          <cell r="AI64">
            <v>5</v>
          </cell>
          <cell r="AJ64">
            <v>29.2</v>
          </cell>
          <cell r="AK64">
            <v>0.81899999999999995</v>
          </cell>
          <cell r="AL64">
            <v>47.644999999999996</v>
          </cell>
          <cell r="AM64">
            <v>3.8460000000000001</v>
          </cell>
          <cell r="AN64">
            <v>373.47775823237924</v>
          </cell>
        </row>
        <row r="65">
          <cell r="B65" t="str">
            <v>MUS</v>
          </cell>
          <cell r="C65">
            <v>195</v>
          </cell>
          <cell r="D65">
            <v>39.299999999999997</v>
          </cell>
          <cell r="E65">
            <v>17.89</v>
          </cell>
          <cell r="F65">
            <v>5.28</v>
          </cell>
          <cell r="G65">
            <v>642.23</v>
          </cell>
          <cell r="H65" t="str">
            <v>Missing</v>
          </cell>
          <cell r="I65">
            <v>0</v>
          </cell>
          <cell r="J65">
            <v>0</v>
          </cell>
          <cell r="K65">
            <v>-0.34314285714285758</v>
          </cell>
          <cell r="L65">
            <v>-1.166857142857143</v>
          </cell>
          <cell r="M65">
            <v>4.5571428571428543</v>
          </cell>
          <cell r="N65">
            <v>0</v>
          </cell>
          <cell r="O65">
            <v>25</v>
          </cell>
          <cell r="P65">
            <v>79.39</v>
          </cell>
          <cell r="Q65">
            <v>66.22</v>
          </cell>
          <cell r="R65">
            <v>69.69</v>
          </cell>
          <cell r="S65">
            <v>67.959999999999994</v>
          </cell>
          <cell r="T65">
            <v>54.75</v>
          </cell>
          <cell r="U65">
            <v>4</v>
          </cell>
          <cell r="V65">
            <v>562058</v>
          </cell>
          <cell r="W65">
            <v>346163</v>
          </cell>
          <cell r="X65">
            <v>40</v>
          </cell>
          <cell r="Y65">
            <v>50</v>
          </cell>
          <cell r="Z65">
            <v>0</v>
          </cell>
          <cell r="AA65">
            <v>0</v>
          </cell>
          <cell r="AC65">
            <v>69.86585658870078</v>
          </cell>
          <cell r="AD65">
            <v>3.6045220384795971</v>
          </cell>
          <cell r="AE65">
            <v>86.070999999999998</v>
          </cell>
          <cell r="AF65">
            <v>23170000</v>
          </cell>
          <cell r="AG65">
            <v>2</v>
          </cell>
          <cell r="AH65">
            <v>5.3765854418480883</v>
          </cell>
          <cell r="AI65">
            <v>3</v>
          </cell>
          <cell r="AJ65">
            <v>74.7</v>
          </cell>
          <cell r="AK65">
            <v>0.80600000000000005</v>
          </cell>
          <cell r="AL65">
            <v>76.765000000000015</v>
          </cell>
          <cell r="AM65">
            <v>5.548</v>
          </cell>
          <cell r="AN65">
            <v>156.52856566052245</v>
          </cell>
        </row>
        <row r="66">
          <cell r="B66" t="str">
            <v>MEX</v>
          </cell>
          <cell r="C66">
            <v>5378</v>
          </cell>
          <cell r="D66">
            <v>3.49</v>
          </cell>
          <cell r="E66">
            <v>21.12</v>
          </cell>
          <cell r="F66">
            <v>12.8</v>
          </cell>
          <cell r="G66">
            <v>483.14</v>
          </cell>
          <cell r="H66">
            <v>74.962962962962905</v>
          </cell>
          <cell r="I66">
            <v>0</v>
          </cell>
          <cell r="J66">
            <v>0</v>
          </cell>
          <cell r="K66">
            <v>-0.90571428571428581</v>
          </cell>
          <cell r="L66">
            <v>0.53085714285714303</v>
          </cell>
          <cell r="M66">
            <v>-5.4234285714285759</v>
          </cell>
          <cell r="N66">
            <v>100</v>
          </cell>
          <cell r="O66">
            <v>0</v>
          </cell>
          <cell r="P66">
            <v>53.67</v>
          </cell>
          <cell r="Q66">
            <v>47.06</v>
          </cell>
          <cell r="R66">
            <v>51.77</v>
          </cell>
          <cell r="S66">
            <v>37.11</v>
          </cell>
          <cell r="T66">
            <v>28.81</v>
          </cell>
          <cell r="U66">
            <v>396</v>
          </cell>
          <cell r="V66">
            <v>17609212</v>
          </cell>
          <cell r="W66">
            <v>6015946</v>
          </cell>
          <cell r="X66">
            <v>60</v>
          </cell>
          <cell r="Y66">
            <v>50</v>
          </cell>
          <cell r="Z66">
            <v>1</v>
          </cell>
          <cell r="AA66">
            <v>0</v>
          </cell>
          <cell r="AC66">
            <v>34.585904011010108</v>
          </cell>
          <cell r="AD66">
            <v>4.7222558845293161</v>
          </cell>
          <cell r="AE66">
            <v>59.134999999999998</v>
          </cell>
          <cell r="AF66">
            <v>5225610000</v>
          </cell>
          <cell r="AG66">
            <v>8</v>
          </cell>
          <cell r="AH66">
            <v>6.599223681220094</v>
          </cell>
          <cell r="AI66">
            <v>4</v>
          </cell>
          <cell r="AJ66">
            <v>80.8</v>
          </cell>
          <cell r="AK66">
            <v>0.78900000000000003</v>
          </cell>
          <cell r="AL66">
            <v>80.135000000000005</v>
          </cell>
          <cell r="AM66">
            <v>2.6779999999999999</v>
          </cell>
          <cell r="AN66">
            <v>41.097039701062364</v>
          </cell>
        </row>
        <row r="67">
          <cell r="B67" t="str">
            <v>MDA</v>
          </cell>
          <cell r="C67">
            <v>0</v>
          </cell>
          <cell r="D67">
            <v>0</v>
          </cell>
          <cell r="E67">
            <v>10.71</v>
          </cell>
          <cell r="F67">
            <v>5.1100000000000003</v>
          </cell>
          <cell r="G67">
            <v>634.27</v>
          </cell>
          <cell r="H67">
            <v>24.746031746031701</v>
          </cell>
          <cell r="I67" t="str">
            <v>Proposed coal pipeline; Operating coal capacity = 0 MW</v>
          </cell>
          <cell r="J67" t="str">
            <v>Coal capacity under construction; Operating coal capacity = 0 MW</v>
          </cell>
          <cell r="K67">
            <v>0</v>
          </cell>
          <cell r="L67">
            <v>1.0102857142857142</v>
          </cell>
          <cell r="M67">
            <v>-8.268571428571434</v>
          </cell>
          <cell r="N67">
            <v>0</v>
          </cell>
          <cell r="O67" t="str">
            <v/>
          </cell>
          <cell r="P67">
            <v>60</v>
          </cell>
          <cell r="Q67">
            <v>56.35</v>
          </cell>
          <cell r="R67">
            <v>54.13</v>
          </cell>
          <cell r="S67">
            <v>54.19</v>
          </cell>
          <cell r="T67">
            <v>41.95</v>
          </cell>
          <cell r="U67">
            <v>0</v>
          </cell>
          <cell r="V67">
            <v>0</v>
          </cell>
          <cell r="W67">
            <v>0</v>
          </cell>
          <cell r="X67">
            <v>40</v>
          </cell>
          <cell r="Y67">
            <v>0</v>
          </cell>
          <cell r="Z67">
            <v>1</v>
          </cell>
          <cell r="AA67">
            <v>0</v>
          </cell>
          <cell r="AC67">
            <v>29.343688361538494</v>
          </cell>
          <cell r="AD67">
            <v>4.6777351600705153</v>
          </cell>
          <cell r="AE67">
            <v>38.777000000000001</v>
          </cell>
          <cell r="AF67">
            <v>0</v>
          </cell>
          <cell r="AG67">
            <v>0</v>
          </cell>
          <cell r="AH67">
            <v>3.2347459718440308</v>
          </cell>
          <cell r="AI67">
            <v>2</v>
          </cell>
          <cell r="AJ67">
            <v>47.5</v>
          </cell>
          <cell r="AK67">
            <v>0.78500000000000003</v>
          </cell>
          <cell r="AL67">
            <v>58.349999999999994</v>
          </cell>
          <cell r="AM67">
            <v>1.427</v>
          </cell>
          <cell r="AN67">
            <v>0</v>
          </cell>
        </row>
        <row r="68">
          <cell r="B68" t="str">
            <v>MNG</v>
          </cell>
          <cell r="C68">
            <v>1295</v>
          </cell>
          <cell r="D68">
            <v>84.69</v>
          </cell>
          <cell r="E68">
            <v>8.84</v>
          </cell>
          <cell r="F68">
            <v>8.16</v>
          </cell>
          <cell r="G68">
            <v>810.66</v>
          </cell>
          <cell r="H68">
            <v>9.7777777777777803</v>
          </cell>
          <cell r="I68">
            <v>4.9266409266409266</v>
          </cell>
          <cell r="J68">
            <v>0.30888030888030887</v>
          </cell>
          <cell r="K68">
            <v>9.5714285714285141E-2</v>
          </cell>
          <cell r="L68">
            <v>-0.28999999999999992</v>
          </cell>
          <cell r="M68">
            <v>0.59714285714285975</v>
          </cell>
          <cell r="N68">
            <v>0</v>
          </cell>
          <cell r="O68">
            <v>0</v>
          </cell>
          <cell r="P68">
            <v>73.08</v>
          </cell>
          <cell r="Q68">
            <v>43.77</v>
          </cell>
          <cell r="R68">
            <v>53.75</v>
          </cell>
          <cell r="S68">
            <v>55.25</v>
          </cell>
          <cell r="T68">
            <v>38.020000000000003</v>
          </cell>
          <cell r="U68">
            <v>21</v>
          </cell>
          <cell r="V68">
            <v>2433522</v>
          </cell>
          <cell r="W68">
            <v>421051</v>
          </cell>
          <cell r="X68">
            <v>100</v>
          </cell>
          <cell r="Y68">
            <v>50</v>
          </cell>
          <cell r="Z68">
            <v>4</v>
          </cell>
          <cell r="AA68">
            <v>0</v>
          </cell>
          <cell r="AC68">
            <v>44.905883550905514</v>
          </cell>
          <cell r="AD68">
            <v>6.197799016584197</v>
          </cell>
          <cell r="AE68">
            <v>44.091000000000001</v>
          </cell>
          <cell r="AF68">
            <v>0</v>
          </cell>
          <cell r="AG68">
            <v>0</v>
          </cell>
          <cell r="AH68">
            <v>5.707385782198541</v>
          </cell>
          <cell r="AI68" t="str">
            <v>Missing</v>
          </cell>
          <cell r="AJ68">
            <v>93.5</v>
          </cell>
          <cell r="AK68">
            <v>0.747</v>
          </cell>
          <cell r="AL68">
            <v>86.92</v>
          </cell>
          <cell r="AM68">
            <v>5.1580000000000004</v>
          </cell>
          <cell r="AN68">
            <v>367.39798251696271</v>
          </cell>
        </row>
        <row r="69">
          <cell r="B69" t="str">
            <v>MNE</v>
          </cell>
          <cell r="C69">
            <v>225</v>
          </cell>
          <cell r="D69">
            <v>40.51</v>
          </cell>
          <cell r="E69">
            <v>59.49</v>
          </cell>
          <cell r="F69">
            <v>9.35</v>
          </cell>
          <cell r="G69">
            <v>422.1</v>
          </cell>
          <cell r="H69">
            <v>42.788359788359699</v>
          </cell>
          <cell r="I69">
            <v>0</v>
          </cell>
          <cell r="J69">
            <v>0</v>
          </cell>
          <cell r="K69">
            <v>-0.95485714285714274</v>
          </cell>
          <cell r="L69">
            <v>0.95457142857142829</v>
          </cell>
          <cell r="M69">
            <v>-9.5982857142857085</v>
          </cell>
          <cell r="N69">
            <v>100</v>
          </cell>
          <cell r="O69">
            <v>100</v>
          </cell>
          <cell r="P69">
            <v>71.56</v>
          </cell>
          <cell r="Q69">
            <v>58.47</v>
          </cell>
          <cell r="R69">
            <v>56.87</v>
          </cell>
          <cell r="S69">
            <v>60.09</v>
          </cell>
          <cell r="T69">
            <v>46.65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C69">
            <v>45.27366330738036</v>
          </cell>
          <cell r="AD69">
            <v>3.3367500928228142</v>
          </cell>
          <cell r="AE69">
            <v>60.756</v>
          </cell>
          <cell r="AF69">
            <v>0</v>
          </cell>
          <cell r="AG69">
            <v>0</v>
          </cell>
          <cell r="AH69">
            <v>4.0200889946655103</v>
          </cell>
          <cell r="AI69">
            <v>3</v>
          </cell>
          <cell r="AJ69">
            <v>72.2</v>
          </cell>
          <cell r="AK69">
            <v>0.86199999999999999</v>
          </cell>
          <cell r="AL69">
            <v>77.100000000000009</v>
          </cell>
          <cell r="AM69">
            <v>13.206</v>
          </cell>
          <cell r="AN69">
            <v>360.85160979912592</v>
          </cell>
        </row>
        <row r="70">
          <cell r="B70" t="str">
            <v>MAR</v>
          </cell>
          <cell r="C70">
            <v>4092</v>
          </cell>
          <cell r="D70">
            <v>61.75</v>
          </cell>
          <cell r="E70">
            <v>24.4</v>
          </cell>
          <cell r="F70">
            <v>22.4</v>
          </cell>
          <cell r="G70">
            <v>594.80999999999995</v>
          </cell>
          <cell r="H70">
            <v>41.1719576719576</v>
          </cell>
          <cell r="I70">
            <v>0</v>
          </cell>
          <cell r="J70">
            <v>0</v>
          </cell>
          <cell r="K70">
            <v>-1.1817142857142862</v>
          </cell>
          <cell r="L70">
            <v>0.82971428571428563</v>
          </cell>
          <cell r="M70">
            <v>-7.1377142857142939</v>
          </cell>
          <cell r="N70">
            <v>20</v>
          </cell>
          <cell r="O70">
            <v>25</v>
          </cell>
          <cell r="P70">
            <v>58.36</v>
          </cell>
          <cell r="Q70">
            <v>54.77</v>
          </cell>
          <cell r="R70">
            <v>54.44</v>
          </cell>
          <cell r="S70">
            <v>50.63</v>
          </cell>
          <cell r="T70">
            <v>37.36</v>
          </cell>
          <cell r="U70">
            <v>14</v>
          </cell>
          <cell r="V70">
            <v>1223982</v>
          </cell>
          <cell r="W70">
            <v>359748</v>
          </cell>
          <cell r="X70">
            <v>60</v>
          </cell>
          <cell r="Y70">
            <v>50</v>
          </cell>
          <cell r="Z70">
            <v>3</v>
          </cell>
          <cell r="AA70">
            <v>0</v>
          </cell>
          <cell r="AC70">
            <v>77.763553381747116</v>
          </cell>
          <cell r="AD70">
            <v>0.98525659200450688</v>
          </cell>
          <cell r="AE70">
            <v>67.734999999999999</v>
          </cell>
          <cell r="AF70">
            <v>1206690000</v>
          </cell>
          <cell r="AG70">
            <v>4</v>
          </cell>
          <cell r="AH70">
            <v>4.2378875873029491</v>
          </cell>
          <cell r="AI70">
            <v>3</v>
          </cell>
          <cell r="AJ70">
            <v>20.5</v>
          </cell>
          <cell r="AK70">
            <v>0.71</v>
          </cell>
          <cell r="AL70">
            <v>38.174999999999997</v>
          </cell>
          <cell r="AM70">
            <v>9.1029999999999998</v>
          </cell>
          <cell r="AN70">
            <v>107.45467320557589</v>
          </cell>
        </row>
        <row r="71">
          <cell r="B71" t="str">
            <v>MOZ</v>
          </cell>
          <cell r="C71">
            <v>0</v>
          </cell>
          <cell r="D71">
            <v>0</v>
          </cell>
          <cell r="E71">
            <v>83.42</v>
          </cell>
          <cell r="F71">
            <v>0.4</v>
          </cell>
          <cell r="G71">
            <v>129.36000000000001</v>
          </cell>
          <cell r="H71">
            <v>33.5</v>
          </cell>
          <cell r="I71" t="str">
            <v>Proposed coal pipeline; Operating coal capacity = 0 MW</v>
          </cell>
          <cell r="J71" t="str">
            <v>Coal capacity under construction; Operating coal capacity = 0 MW</v>
          </cell>
          <cell r="K71">
            <v>0</v>
          </cell>
          <cell r="L71">
            <v>0.6071428571428571</v>
          </cell>
          <cell r="M71">
            <v>-3.6265714285714257</v>
          </cell>
          <cell r="N71">
            <v>0</v>
          </cell>
          <cell r="O71" t="str">
            <v/>
          </cell>
          <cell r="P71">
            <v>35.86</v>
          </cell>
          <cell r="Q71">
            <v>37.42</v>
          </cell>
          <cell r="R71">
            <v>42.82</v>
          </cell>
          <cell r="S71">
            <v>36.4</v>
          </cell>
          <cell r="T71">
            <v>26.36</v>
          </cell>
          <cell r="U71">
            <v>1</v>
          </cell>
          <cell r="V71">
            <v>2773477</v>
          </cell>
          <cell r="W71">
            <v>851255</v>
          </cell>
          <cell r="X71">
            <v>40</v>
          </cell>
          <cell r="Y71">
            <v>50</v>
          </cell>
          <cell r="Z71">
            <v>0</v>
          </cell>
          <cell r="AA71">
            <v>0</v>
          </cell>
          <cell r="AC71">
            <v>17.612334223530564</v>
          </cell>
          <cell r="AD71">
            <v>4.0785683481202186</v>
          </cell>
          <cell r="AE71">
            <v>91.411000000000001</v>
          </cell>
          <cell r="AF71">
            <v>1545650000</v>
          </cell>
          <cell r="AG71">
            <v>6</v>
          </cell>
          <cell r="AH71">
            <v>3.8000960789163596</v>
          </cell>
          <cell r="AI71">
            <v>3</v>
          </cell>
          <cell r="AJ71">
            <v>6</v>
          </cell>
          <cell r="AK71">
            <v>0.49299999999999999</v>
          </cell>
          <cell r="AL71">
            <v>21.155000000000001</v>
          </cell>
          <cell r="AM71">
            <v>6.6680000000000001</v>
          </cell>
          <cell r="AN71">
            <v>0</v>
          </cell>
        </row>
        <row r="72">
          <cell r="B72" t="str">
            <v>MMR</v>
          </cell>
          <cell r="C72">
            <v>150</v>
          </cell>
          <cell r="D72">
            <v>5.53</v>
          </cell>
          <cell r="E72">
            <v>47.85</v>
          </cell>
          <cell r="F72">
            <v>0.55000000000000004</v>
          </cell>
          <cell r="G72">
            <v>502.99</v>
          </cell>
          <cell r="H72">
            <v>14.9629629629629</v>
          </cell>
          <cell r="I72">
            <v>0</v>
          </cell>
          <cell r="J72">
            <v>0</v>
          </cell>
          <cell r="K72">
            <v>-1.5857142857142856</v>
          </cell>
          <cell r="L72">
            <v>-1.6322857142857146</v>
          </cell>
          <cell r="M72">
            <v>16.665714285714284</v>
          </cell>
          <cell r="N72">
            <v>0</v>
          </cell>
          <cell r="O72">
            <v>25</v>
          </cell>
          <cell r="P72">
            <v>30.19</v>
          </cell>
          <cell r="Q72">
            <v>21.04</v>
          </cell>
          <cell r="R72">
            <v>32.47</v>
          </cell>
          <cell r="S72">
            <v>25.79</v>
          </cell>
          <cell r="T72">
            <v>22.5</v>
          </cell>
          <cell r="U72">
            <v>46</v>
          </cell>
          <cell r="V72">
            <v>581593</v>
          </cell>
          <cell r="W72">
            <v>414645</v>
          </cell>
          <cell r="X72">
            <v>60</v>
          </cell>
          <cell r="Y72">
            <v>100</v>
          </cell>
          <cell r="Z72">
            <v>1</v>
          </cell>
          <cell r="AA72">
            <v>0</v>
          </cell>
          <cell r="AC72" t="str">
            <v>Missing</v>
          </cell>
          <cell r="AD72" t="str">
            <v>Missing</v>
          </cell>
          <cell r="AE72">
            <v>50.643000000000001</v>
          </cell>
          <cell r="AF72">
            <v>0</v>
          </cell>
          <cell r="AG72">
            <v>0</v>
          </cell>
          <cell r="AH72" t="str">
            <v>Missing</v>
          </cell>
          <cell r="AI72" t="str">
            <v>5+</v>
          </cell>
          <cell r="AJ72">
            <v>6.3</v>
          </cell>
          <cell r="AK72">
            <v>0.60899999999999999</v>
          </cell>
          <cell r="AL72">
            <v>25.409999999999997</v>
          </cell>
          <cell r="AM72">
            <v>2.887</v>
          </cell>
          <cell r="AN72">
            <v>2.7522889824165615</v>
          </cell>
        </row>
        <row r="73">
          <cell r="B73" t="str">
            <v>NAM</v>
          </cell>
          <cell r="C73">
            <v>120</v>
          </cell>
          <cell r="D73">
            <v>2.44</v>
          </cell>
          <cell r="E73">
            <v>97.57</v>
          </cell>
          <cell r="F73">
            <v>36.590000000000003</v>
          </cell>
          <cell r="G73">
            <v>48.78</v>
          </cell>
          <cell r="H73" t="str">
            <v>Missing</v>
          </cell>
          <cell r="I73">
            <v>0</v>
          </cell>
          <cell r="J73">
            <v>0</v>
          </cell>
          <cell r="K73">
            <v>-0.21885714285714286</v>
          </cell>
          <cell r="L73">
            <v>0.32085714285714217</v>
          </cell>
          <cell r="M73">
            <v>-2.3997142857142859</v>
          </cell>
          <cell r="N73">
            <v>0</v>
          </cell>
          <cell r="O73">
            <v>0</v>
          </cell>
          <cell r="P73">
            <v>75.23</v>
          </cell>
          <cell r="Q73">
            <v>53.27</v>
          </cell>
          <cell r="R73">
            <v>56.99</v>
          </cell>
          <cell r="S73">
            <v>62.61</v>
          </cell>
          <cell r="T73">
            <v>50.42</v>
          </cell>
          <cell r="U73">
            <v>7</v>
          </cell>
          <cell r="V73">
            <v>419732</v>
          </cell>
          <cell r="W73">
            <v>274300</v>
          </cell>
          <cell r="X73">
            <v>20</v>
          </cell>
          <cell r="Y73">
            <v>0</v>
          </cell>
          <cell r="Z73">
            <v>0</v>
          </cell>
          <cell r="AA73">
            <v>0</v>
          </cell>
          <cell r="AC73">
            <v>57.487699738448129</v>
          </cell>
          <cell r="AD73">
            <v>4.2390392287703618</v>
          </cell>
          <cell r="AE73">
            <v>69.837000000000003</v>
          </cell>
          <cell r="AF73">
            <v>20000000</v>
          </cell>
          <cell r="AG73">
            <v>1</v>
          </cell>
          <cell r="AH73">
            <v>9.3310324132069482</v>
          </cell>
          <cell r="AI73">
            <v>3</v>
          </cell>
          <cell r="AJ73">
            <v>52.1</v>
          </cell>
          <cell r="AK73">
            <v>0.66500000000000004</v>
          </cell>
          <cell r="AL73">
            <v>57.14</v>
          </cell>
          <cell r="AM73">
            <v>19.157</v>
          </cell>
          <cell r="AN73">
            <v>39.602248219631427</v>
          </cell>
        </row>
        <row r="74">
          <cell r="B74" t="str">
            <v>NLD</v>
          </cell>
          <cell r="C74">
            <v>3500</v>
          </cell>
          <cell r="D74">
            <v>6.11</v>
          </cell>
          <cell r="E74">
            <v>50.74</v>
          </cell>
          <cell r="F74">
            <v>45.21</v>
          </cell>
          <cell r="G74">
            <v>250.72</v>
          </cell>
          <cell r="H74">
            <v>82.6111111111111</v>
          </cell>
          <cell r="I74">
            <v>0</v>
          </cell>
          <cell r="J74">
            <v>0</v>
          </cell>
          <cell r="K74">
            <v>-1.1388571428571428</v>
          </cell>
          <cell r="L74">
            <v>6.4857142857142858</v>
          </cell>
          <cell r="M74">
            <v>-29.912857142857138</v>
          </cell>
          <cell r="N74">
            <v>100</v>
          </cell>
          <cell r="O74">
            <v>100</v>
          </cell>
          <cell r="P74">
            <v>73.209999999999994</v>
          </cell>
          <cell r="Q74">
            <v>85.41</v>
          </cell>
          <cell r="R74">
            <v>82.02</v>
          </cell>
          <cell r="S74">
            <v>86.34</v>
          </cell>
          <cell r="T74">
            <v>86.52</v>
          </cell>
          <cell r="U74">
            <v>7</v>
          </cell>
          <cell r="V74">
            <v>1187647</v>
          </cell>
          <cell r="W74">
            <v>751292</v>
          </cell>
          <cell r="X74">
            <v>0</v>
          </cell>
          <cell r="Y74">
            <v>25</v>
          </cell>
          <cell r="Z74">
            <v>0</v>
          </cell>
          <cell r="AA74">
            <v>0</v>
          </cell>
          <cell r="AC74">
            <v>82.332094089850898</v>
          </cell>
          <cell r="AD74">
            <v>3.34754304219953</v>
          </cell>
          <cell r="AE74">
            <v>43.747999999999998</v>
          </cell>
          <cell r="AF74">
            <v>0</v>
          </cell>
          <cell r="AG74">
            <v>0</v>
          </cell>
          <cell r="AH74">
            <v>3.971852141641294</v>
          </cell>
          <cell r="AI74">
            <v>2</v>
          </cell>
          <cell r="AJ74">
            <v>100</v>
          </cell>
          <cell r="AK74">
            <v>0.95499999999999996</v>
          </cell>
          <cell r="AL74">
            <v>98.424999999999997</v>
          </cell>
          <cell r="AM74">
            <v>3.7</v>
          </cell>
          <cell r="AN74">
            <v>194.51484801304471</v>
          </cell>
        </row>
        <row r="75">
          <cell r="B75" t="str">
            <v>NCL</v>
          </cell>
          <cell r="C75">
            <v>370</v>
          </cell>
          <cell r="D75">
            <v>36.54</v>
          </cell>
          <cell r="E75">
            <v>26.92</v>
          </cell>
          <cell r="F75">
            <v>9.61</v>
          </cell>
          <cell r="G75">
            <v>560.9</v>
          </cell>
          <cell r="H75" t="str">
            <v>Missing</v>
          </cell>
          <cell r="I75">
            <v>0</v>
          </cell>
          <cell r="J75">
            <v>0</v>
          </cell>
          <cell r="K75">
            <v>-2.209428571428572</v>
          </cell>
          <cell r="L75">
            <v>2.8808571428571432</v>
          </cell>
          <cell r="M75">
            <v>-23.388857142857137</v>
          </cell>
          <cell r="N75">
            <v>0</v>
          </cell>
          <cell r="O75">
            <v>0</v>
          </cell>
          <cell r="P75">
            <v>84.64</v>
          </cell>
          <cell r="Q75" t="str">
            <v>-</v>
          </cell>
          <cell r="R75" t="str">
            <v>-</v>
          </cell>
          <cell r="S75">
            <v>75.64</v>
          </cell>
          <cell r="T75">
            <v>50.41</v>
          </cell>
          <cell r="U75">
            <v>1</v>
          </cell>
          <cell r="V75">
            <v>507905</v>
          </cell>
          <cell r="W75">
            <v>485753</v>
          </cell>
          <cell r="X75" t="str">
            <v>Missing</v>
          </cell>
          <cell r="Y75" t="str">
            <v>Missing</v>
          </cell>
          <cell r="Z75">
            <v>0</v>
          </cell>
          <cell r="AA75">
            <v>0</v>
          </cell>
          <cell r="AC75" t="str">
            <v>Missing</v>
          </cell>
          <cell r="AD75" t="str">
            <v>Missing</v>
          </cell>
          <cell r="AE75" t="str">
            <v>Missing</v>
          </cell>
          <cell r="AF75">
            <v>0</v>
          </cell>
          <cell r="AG75">
            <v>0</v>
          </cell>
          <cell r="AH75">
            <v>4.0200889946656826</v>
          </cell>
          <cell r="AI75" t="str">
            <v>Missing</v>
          </cell>
          <cell r="AJ75">
            <v>72.599999999999994</v>
          </cell>
          <cell r="AK75" t="str">
            <v>Missing</v>
          </cell>
          <cell r="AL75" t="str">
            <v>Missing</v>
          </cell>
          <cell r="AM75">
            <v>10.991</v>
          </cell>
          <cell r="AN75">
            <v>1264.3564254935263</v>
          </cell>
        </row>
        <row r="76">
          <cell r="B76" t="str">
            <v>NZL</v>
          </cell>
          <cell r="C76">
            <v>750</v>
          </cell>
          <cell r="D76">
            <v>2.73</v>
          </cell>
          <cell r="E76">
            <v>85.97</v>
          </cell>
          <cell r="F76">
            <v>10.63</v>
          </cell>
          <cell r="G76">
            <v>112.02</v>
          </cell>
          <cell r="H76">
            <v>59.240740740740698</v>
          </cell>
          <cell r="I76">
            <v>0</v>
          </cell>
          <cell r="J76">
            <v>0</v>
          </cell>
          <cell r="K76">
            <v>-0.48142857142857148</v>
          </cell>
          <cell r="L76">
            <v>1.3999999999999992</v>
          </cell>
          <cell r="M76">
            <v>-8.9977142857142862</v>
          </cell>
          <cell r="N76">
            <v>100</v>
          </cell>
          <cell r="O76">
            <v>100</v>
          </cell>
          <cell r="P76">
            <v>85.55</v>
          </cell>
          <cell r="Q76">
            <v>87.3</v>
          </cell>
          <cell r="R76">
            <v>83.95</v>
          </cell>
          <cell r="S76">
            <v>85.66</v>
          </cell>
          <cell r="T76">
            <v>86.89</v>
          </cell>
          <cell r="U76">
            <v>10</v>
          </cell>
          <cell r="V76">
            <v>730489</v>
          </cell>
          <cell r="W76">
            <v>698865</v>
          </cell>
          <cell r="X76">
            <v>20</v>
          </cell>
          <cell r="Y76">
            <v>25</v>
          </cell>
          <cell r="Z76">
            <v>0</v>
          </cell>
          <cell r="AA76">
            <v>0</v>
          </cell>
          <cell r="AC76">
            <v>142.62104516324132</v>
          </cell>
          <cell r="AD76">
            <v>2.9227978230195668</v>
          </cell>
          <cell r="AE76">
            <v>51.424999999999997</v>
          </cell>
          <cell r="AF76">
            <v>0</v>
          </cell>
          <cell r="AG76">
            <v>0</v>
          </cell>
          <cell r="AH76">
            <v>5.1707189680739098</v>
          </cell>
          <cell r="AI76">
            <v>2</v>
          </cell>
          <cell r="AJ76">
            <v>100</v>
          </cell>
          <cell r="AK76">
            <v>0.93799999999999994</v>
          </cell>
          <cell r="AL76">
            <v>97.83</v>
          </cell>
          <cell r="AM76">
            <v>4.7240000000000002</v>
          </cell>
          <cell r="AN76">
            <v>141.84397163120568</v>
          </cell>
        </row>
        <row r="77">
          <cell r="B77" t="str">
            <v>NER</v>
          </cell>
          <cell r="C77">
            <v>30</v>
          </cell>
          <cell r="D77">
            <v>17.89</v>
          </cell>
          <cell r="E77">
            <v>3.16</v>
          </cell>
          <cell r="F77">
            <v>3.16</v>
          </cell>
          <cell r="G77">
            <v>673.68</v>
          </cell>
          <cell r="H77">
            <v>16.425925925925899</v>
          </cell>
          <cell r="I77">
            <v>26.666666666666668</v>
          </cell>
          <cell r="J77">
            <v>0</v>
          </cell>
          <cell r="K77">
            <v>-3.0060000000000002</v>
          </cell>
          <cell r="L77">
            <v>-6.3714285714285737E-2</v>
          </cell>
          <cell r="M77">
            <v>-3.8368571428571614</v>
          </cell>
          <cell r="N77">
            <v>0</v>
          </cell>
          <cell r="O77">
            <v>0</v>
          </cell>
          <cell r="P77">
            <v>35.770000000000003</v>
          </cell>
          <cell r="Q77">
            <v>36.380000000000003</v>
          </cell>
          <cell r="R77">
            <v>42.84</v>
          </cell>
          <cell r="S77">
            <v>40.69</v>
          </cell>
          <cell r="T77">
            <v>35.369999999999997</v>
          </cell>
          <cell r="U77">
            <v>2</v>
          </cell>
          <cell r="V77">
            <v>38769</v>
          </cell>
          <cell r="W77">
            <v>26631</v>
          </cell>
          <cell r="X77">
            <v>40</v>
          </cell>
          <cell r="Y77">
            <v>0</v>
          </cell>
          <cell r="Z77">
            <v>0</v>
          </cell>
          <cell r="AA77">
            <v>0</v>
          </cell>
          <cell r="AC77" t="str">
            <v>Missing</v>
          </cell>
          <cell r="AD77">
            <v>9.0715199772501336</v>
          </cell>
          <cell r="AE77">
            <v>47.741</v>
          </cell>
          <cell r="AF77">
            <v>0</v>
          </cell>
          <cell r="AG77">
            <v>0</v>
          </cell>
          <cell r="AH77">
            <v>4.0200889946654925</v>
          </cell>
          <cell r="AI77">
            <v>3</v>
          </cell>
          <cell r="AJ77">
            <v>20.6</v>
          </cell>
          <cell r="AK77">
            <v>0.41899999999999998</v>
          </cell>
          <cell r="AL77">
            <v>28.055</v>
          </cell>
          <cell r="AM77">
            <v>0.376</v>
          </cell>
          <cell r="AN77">
            <v>1.1097788832161923</v>
          </cell>
        </row>
        <row r="78">
          <cell r="B78" t="str">
            <v>NGA</v>
          </cell>
          <cell r="C78">
            <v>344.5</v>
          </cell>
          <cell r="D78">
            <v>0</v>
          </cell>
          <cell r="E78">
            <v>25</v>
          </cell>
          <cell r="F78">
            <v>0.35</v>
          </cell>
          <cell r="G78">
            <v>495.74</v>
          </cell>
          <cell r="H78">
            <v>32.415343915343897</v>
          </cell>
          <cell r="I78">
            <v>3.7735849056603774</v>
          </cell>
          <cell r="J78">
            <v>0</v>
          </cell>
          <cell r="K78">
            <v>0</v>
          </cell>
          <cell r="L78">
            <v>0.53428571428571436</v>
          </cell>
          <cell r="M78">
            <v>-3.2831428571428529</v>
          </cell>
          <cell r="N78">
            <v>100</v>
          </cell>
          <cell r="O78">
            <v>0</v>
          </cell>
          <cell r="P78">
            <v>31.69</v>
          </cell>
          <cell r="Q78">
            <v>31.77</v>
          </cell>
          <cell r="R78">
            <v>44.87</v>
          </cell>
          <cell r="S78">
            <v>39.630000000000003</v>
          </cell>
          <cell r="T78">
            <v>25.29</v>
          </cell>
          <cell r="U78">
            <v>112</v>
          </cell>
          <cell r="V78">
            <v>9637882</v>
          </cell>
          <cell r="W78">
            <v>4404992</v>
          </cell>
          <cell r="X78">
            <v>40</v>
          </cell>
          <cell r="Y78">
            <v>50</v>
          </cell>
          <cell r="Z78">
            <v>0</v>
          </cell>
          <cell r="AA78">
            <v>0</v>
          </cell>
          <cell r="AC78" t="str">
            <v>Missing</v>
          </cell>
          <cell r="AD78">
            <v>33.242096654540568</v>
          </cell>
          <cell r="AE78">
            <v>39.332999999999998</v>
          </cell>
          <cell r="AF78">
            <v>2724500000</v>
          </cell>
          <cell r="AG78">
            <v>4</v>
          </cell>
          <cell r="AH78">
            <v>31.450154076378006</v>
          </cell>
          <cell r="AI78">
            <v>5</v>
          </cell>
          <cell r="AJ78">
            <v>14.8</v>
          </cell>
          <cell r="AK78">
            <v>0.56000000000000005</v>
          </cell>
          <cell r="AL78">
            <v>29.220000000000002</v>
          </cell>
          <cell r="AM78">
            <v>3.0449999999999999</v>
          </cell>
          <cell r="AN78">
            <v>1.4805775006938946</v>
          </cell>
        </row>
        <row r="79">
          <cell r="B79" t="str">
            <v>PRK</v>
          </cell>
          <cell r="C79">
            <v>3250</v>
          </cell>
          <cell r="D79">
            <v>34.06</v>
          </cell>
          <cell r="E79">
            <v>63.36</v>
          </cell>
          <cell r="F79">
            <v>0.63</v>
          </cell>
          <cell r="G79">
            <v>340.59</v>
          </cell>
          <cell r="H79" t="str">
            <v>Missing</v>
          </cell>
          <cell r="I79">
            <v>0</v>
          </cell>
          <cell r="J79">
            <v>0</v>
          </cell>
          <cell r="K79">
            <v>-2.9545714285714286</v>
          </cell>
          <cell r="L79">
            <v>3.2017142857142851</v>
          </cell>
          <cell r="M79">
            <v>-27.521714285714289</v>
          </cell>
          <cell r="N79">
            <v>0</v>
          </cell>
          <cell r="O79">
            <v>0</v>
          </cell>
          <cell r="P79">
            <v>71.400000000000006</v>
          </cell>
          <cell r="Q79">
            <v>26.62</v>
          </cell>
          <cell r="R79">
            <v>25.3</v>
          </cell>
          <cell r="S79">
            <v>30.71</v>
          </cell>
          <cell r="T79">
            <v>16.329999999999998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25</v>
          </cell>
          <cell r="Z79">
            <v>0</v>
          </cell>
          <cell r="AA79">
            <v>0</v>
          </cell>
          <cell r="AC79" t="str">
            <v>Missing</v>
          </cell>
          <cell r="AD79" t="str">
            <v>Missing</v>
          </cell>
          <cell r="AE79" t="str">
            <v>Missing</v>
          </cell>
          <cell r="AF79">
            <v>0</v>
          </cell>
          <cell r="AG79">
            <v>0</v>
          </cell>
          <cell r="AH79" t="str">
            <v>Missing</v>
          </cell>
          <cell r="AI79" t="str">
            <v>Missing</v>
          </cell>
          <cell r="AJ79" t="str">
            <v>Missing</v>
          </cell>
          <cell r="AK79" t="str">
            <v>Missing</v>
          </cell>
          <cell r="AL79" t="str">
            <v>Missing</v>
          </cell>
          <cell r="AM79">
            <v>3.5390000000000001</v>
          </cell>
          <cell r="AN79">
            <v>122.64695681011945</v>
          </cell>
        </row>
        <row r="80">
          <cell r="B80" t="str">
            <v>MKD</v>
          </cell>
          <cell r="C80">
            <v>824</v>
          </cell>
          <cell r="D80">
            <v>37.4</v>
          </cell>
          <cell r="E80">
            <v>39.450000000000003</v>
          </cell>
          <cell r="F80">
            <v>16.79</v>
          </cell>
          <cell r="G80">
            <v>510.3</v>
          </cell>
          <cell r="H80">
            <v>39.383597883597801</v>
          </cell>
          <cell r="I80">
            <v>0</v>
          </cell>
          <cell r="J80">
            <v>0</v>
          </cell>
          <cell r="K80">
            <v>-3.7800000000000002</v>
          </cell>
          <cell r="L80">
            <v>2.68</v>
          </cell>
          <cell r="M80">
            <v>-30.102857142857133</v>
          </cell>
          <cell r="N80">
            <v>0</v>
          </cell>
          <cell r="O80">
            <v>100</v>
          </cell>
          <cell r="P80">
            <v>68.56</v>
          </cell>
          <cell r="Q80">
            <v>50.71</v>
          </cell>
          <cell r="R80">
            <v>59.06</v>
          </cell>
          <cell r="S80">
            <v>53.09</v>
          </cell>
          <cell r="T80">
            <v>41.19</v>
          </cell>
          <cell r="U80">
            <v>3</v>
          </cell>
          <cell r="V80">
            <v>0</v>
          </cell>
          <cell r="W80">
            <v>0</v>
          </cell>
          <cell r="X80">
            <v>0</v>
          </cell>
          <cell r="Y80">
            <v>25</v>
          </cell>
          <cell r="Z80">
            <v>0</v>
          </cell>
          <cell r="AA80">
            <v>0</v>
          </cell>
          <cell r="AC80">
            <v>53.92352566353793</v>
          </cell>
          <cell r="AD80">
            <v>3.4897408602695368</v>
          </cell>
          <cell r="AE80">
            <v>52.929000000000002</v>
          </cell>
          <cell r="AF80">
            <v>75040000</v>
          </cell>
          <cell r="AG80">
            <v>2</v>
          </cell>
          <cell r="AH80">
            <v>3.9948181550580482</v>
          </cell>
          <cell r="AI80">
            <v>4</v>
          </cell>
          <cell r="AJ80">
            <v>50.5</v>
          </cell>
          <cell r="AK80">
            <v>0.81499999999999995</v>
          </cell>
          <cell r="AL80">
            <v>61.35</v>
          </cell>
          <cell r="AM80">
            <v>12.265000000000001</v>
          </cell>
          <cell r="AN80">
            <v>451.66548908411119</v>
          </cell>
        </row>
        <row r="81">
          <cell r="B81" t="str">
            <v>OMN</v>
          </cell>
          <cell r="C81">
            <v>0</v>
          </cell>
          <cell r="D81">
            <v>0</v>
          </cell>
          <cell r="E81">
            <v>4.88</v>
          </cell>
          <cell r="F81">
            <v>4.88</v>
          </cell>
          <cell r="G81">
            <v>542.77</v>
          </cell>
          <cell r="H81">
            <v>35.351851851851798</v>
          </cell>
          <cell r="I81" t="str">
            <v>Proposed coal pipeline; Operating coal capacity = 0 MW</v>
          </cell>
          <cell r="J81" t="str">
            <v>Coal capacity under construction; Operating coal capacity = 0 MW</v>
          </cell>
          <cell r="K81">
            <v>0</v>
          </cell>
          <cell r="L81">
            <v>1.1508571428571428</v>
          </cell>
          <cell r="M81">
            <v>-5.7345714285714262</v>
          </cell>
          <cell r="N81">
            <v>0</v>
          </cell>
          <cell r="O81" t="str">
            <v/>
          </cell>
          <cell r="P81">
            <v>76.61</v>
          </cell>
          <cell r="Q81">
            <v>62.38</v>
          </cell>
          <cell r="R81">
            <v>65.709999999999994</v>
          </cell>
          <cell r="S81">
            <v>64.7</v>
          </cell>
          <cell r="T81">
            <v>58.12</v>
          </cell>
          <cell r="U81">
            <v>6</v>
          </cell>
          <cell r="V81">
            <v>1420138</v>
          </cell>
          <cell r="W81">
            <v>0</v>
          </cell>
          <cell r="X81">
            <v>60</v>
          </cell>
          <cell r="Y81">
            <v>50</v>
          </cell>
          <cell r="Z81">
            <v>1</v>
          </cell>
          <cell r="AA81">
            <v>0</v>
          </cell>
          <cell r="AC81">
            <v>63.20772255082823</v>
          </cell>
          <cell r="AD81">
            <v>0.59358923624846904</v>
          </cell>
          <cell r="AE81">
            <v>35.451000000000001</v>
          </cell>
          <cell r="AF81">
            <v>0</v>
          </cell>
          <cell r="AG81">
            <v>0</v>
          </cell>
          <cell r="AH81">
            <v>0</v>
          </cell>
          <cell r="AI81">
            <v>4</v>
          </cell>
          <cell r="AJ81">
            <v>21.8</v>
          </cell>
          <cell r="AK81">
            <v>0.85799999999999998</v>
          </cell>
          <cell r="AL81">
            <v>44.2</v>
          </cell>
          <cell r="AM81">
            <v>3.2029999999999998</v>
          </cell>
          <cell r="AN81">
            <v>0</v>
          </cell>
        </row>
        <row r="82">
          <cell r="B82" t="str">
            <v>PAK</v>
          </cell>
          <cell r="C82">
            <v>8329.5</v>
          </cell>
          <cell r="D82">
            <v>15.45</v>
          </cell>
          <cell r="E82">
            <v>41.13</v>
          </cell>
          <cell r="F82">
            <v>15.11</v>
          </cell>
          <cell r="G82" t="str">
            <v>Missing</v>
          </cell>
          <cell r="H82">
            <v>23.031746031746</v>
          </cell>
          <cell r="I82">
            <v>0.46821537907437422</v>
          </cell>
          <cell r="J82">
            <v>6.0027612701842844E-3</v>
          </cell>
          <cell r="K82">
            <v>-1.1385714285714288</v>
          </cell>
          <cell r="L82">
            <v>2.1619999999999999</v>
          </cell>
          <cell r="M82" t="str">
            <v>Missing</v>
          </cell>
          <cell r="N82">
            <v>20</v>
          </cell>
          <cell r="O82">
            <v>0</v>
          </cell>
          <cell r="P82">
            <v>30.65</v>
          </cell>
          <cell r="Q82">
            <v>39.67</v>
          </cell>
          <cell r="R82">
            <v>42.36</v>
          </cell>
          <cell r="S82">
            <v>39.46</v>
          </cell>
          <cell r="T82">
            <v>26.28</v>
          </cell>
          <cell r="U82">
            <v>27</v>
          </cell>
          <cell r="V82">
            <v>7176027</v>
          </cell>
          <cell r="W82">
            <v>3375348</v>
          </cell>
          <cell r="X82">
            <v>60</v>
          </cell>
          <cell r="Y82">
            <v>50</v>
          </cell>
          <cell r="Z82">
            <v>1</v>
          </cell>
          <cell r="AA82">
            <v>0</v>
          </cell>
          <cell r="AC82">
            <v>11.466081613642674</v>
          </cell>
          <cell r="AD82">
            <v>12.63253185304518</v>
          </cell>
          <cell r="AE82">
            <v>70.22</v>
          </cell>
          <cell r="AF82">
            <v>2301750000</v>
          </cell>
          <cell r="AG82">
            <v>5</v>
          </cell>
          <cell r="AH82">
            <v>12.630728912979865</v>
          </cell>
          <cell r="AI82">
            <v>5</v>
          </cell>
          <cell r="AJ82">
            <v>20.2</v>
          </cell>
          <cell r="AK82">
            <v>0.54400000000000004</v>
          </cell>
          <cell r="AL82">
            <v>32.17</v>
          </cell>
          <cell r="AM82">
            <v>5.492</v>
          </cell>
          <cell r="AN82">
            <v>33.149710324184468</v>
          </cell>
        </row>
        <row r="83">
          <cell r="B83" t="str">
            <v>PAN</v>
          </cell>
          <cell r="C83">
            <v>153</v>
          </cell>
          <cell r="D83">
            <v>3.72</v>
          </cell>
          <cell r="E83">
            <v>67.98</v>
          </cell>
          <cell r="F83">
            <v>14.52</v>
          </cell>
          <cell r="G83">
            <v>221.15</v>
          </cell>
          <cell r="H83">
            <v>29.314814814814799</v>
          </cell>
          <cell r="I83">
            <v>0</v>
          </cell>
          <cell r="J83">
            <v>0</v>
          </cell>
          <cell r="K83">
            <v>-0.9602857142857143</v>
          </cell>
          <cell r="L83">
            <v>0.85457142857142832</v>
          </cell>
          <cell r="M83">
            <v>-7.413142857142863</v>
          </cell>
          <cell r="N83">
            <v>0</v>
          </cell>
          <cell r="O83">
            <v>25</v>
          </cell>
          <cell r="P83">
            <v>70.42</v>
          </cell>
          <cell r="Q83">
            <v>56.11</v>
          </cell>
          <cell r="R83">
            <v>53.7</v>
          </cell>
          <cell r="S83">
            <v>52.43</v>
          </cell>
          <cell r="T83">
            <v>36.64</v>
          </cell>
          <cell r="U83">
            <v>11</v>
          </cell>
          <cell r="V83">
            <v>3178398</v>
          </cell>
          <cell r="W83">
            <v>2050635</v>
          </cell>
          <cell r="X83">
            <v>60</v>
          </cell>
          <cell r="Y83">
            <v>50</v>
          </cell>
          <cell r="Z83">
            <v>1</v>
          </cell>
          <cell r="AA83">
            <v>0</v>
          </cell>
          <cell r="AC83" t="str">
            <v>Missing</v>
          </cell>
          <cell r="AD83">
            <v>0.69322555100453787</v>
          </cell>
          <cell r="AE83">
            <v>57.814</v>
          </cell>
          <cell r="AF83">
            <v>0</v>
          </cell>
          <cell r="AG83">
            <v>0</v>
          </cell>
          <cell r="AH83">
            <v>0</v>
          </cell>
          <cell r="AI83">
            <v>3</v>
          </cell>
          <cell r="AJ83">
            <v>66.099999999999994</v>
          </cell>
          <cell r="AK83">
            <v>0.83899999999999997</v>
          </cell>
          <cell r="AL83">
            <v>72.329999999999984</v>
          </cell>
          <cell r="AM83">
            <v>8.4510000000000005</v>
          </cell>
          <cell r="AN83">
            <v>33.882713106209899</v>
          </cell>
        </row>
        <row r="84">
          <cell r="B84" t="str">
            <v>PNG</v>
          </cell>
          <cell r="C84">
            <v>0</v>
          </cell>
          <cell r="D84">
            <v>0</v>
          </cell>
          <cell r="E84">
            <v>23.67</v>
          </cell>
          <cell r="F84">
            <v>0.21</v>
          </cell>
          <cell r="G84">
            <v>513.74</v>
          </cell>
          <cell r="H84">
            <v>24.5873015873015</v>
          </cell>
          <cell r="I84" t="str">
            <v>Proposed coal pipeline; Operating coal capacity = 0 MW</v>
          </cell>
          <cell r="J84" t="str">
            <v>Coal capacity under construction; Operating coal capacity = 0 MW</v>
          </cell>
          <cell r="K84">
            <v>0</v>
          </cell>
          <cell r="L84">
            <v>-0.80599999999999949</v>
          </cell>
          <cell r="M84">
            <v>5.263714285714288</v>
          </cell>
          <cell r="N84">
            <v>0</v>
          </cell>
          <cell r="O84" t="str">
            <v/>
          </cell>
          <cell r="P84">
            <v>54.73</v>
          </cell>
          <cell r="Q84">
            <v>33.83</v>
          </cell>
          <cell r="R84">
            <v>45.39</v>
          </cell>
          <cell r="S84">
            <v>47.13</v>
          </cell>
          <cell r="T84">
            <v>31.72</v>
          </cell>
          <cell r="U84">
            <v>14</v>
          </cell>
          <cell r="V84">
            <v>3603674</v>
          </cell>
          <cell r="W84">
            <v>1391879</v>
          </cell>
          <cell r="X84">
            <v>60</v>
          </cell>
          <cell r="Y84">
            <v>25</v>
          </cell>
          <cell r="Z84">
            <v>2</v>
          </cell>
          <cell r="AA84">
            <v>0</v>
          </cell>
          <cell r="AC84">
            <v>15.782944538973931</v>
          </cell>
          <cell r="AD84">
            <v>0.60240392110791674</v>
          </cell>
          <cell r="AE84">
            <v>53.335000000000001</v>
          </cell>
          <cell r="AF84">
            <v>1200000</v>
          </cell>
          <cell r="AG84">
            <v>1</v>
          </cell>
          <cell r="AH84">
            <v>2.5736787766093627</v>
          </cell>
          <cell r="AI84" t="str">
            <v>Missing</v>
          </cell>
          <cell r="AJ84">
            <v>9.1</v>
          </cell>
          <cell r="AK84">
            <v>0.57599999999999996</v>
          </cell>
          <cell r="AL84">
            <v>26.074999999999996</v>
          </cell>
          <cell r="AM84">
            <v>2.625</v>
          </cell>
          <cell r="AN84">
            <v>0</v>
          </cell>
        </row>
        <row r="85">
          <cell r="B85" t="str">
            <v>PER</v>
          </cell>
          <cell r="C85">
            <v>0</v>
          </cell>
          <cell r="D85">
            <v>0</v>
          </cell>
          <cell r="E85">
            <v>60.11</v>
          </cell>
          <cell r="F85">
            <v>5.13</v>
          </cell>
          <cell r="G85">
            <v>258.73</v>
          </cell>
          <cell r="H85">
            <v>26.089947089947</v>
          </cell>
          <cell r="I85" t="str">
            <v>Proposed coal pipeline; Operating coal capacity = 0 MW</v>
          </cell>
          <cell r="J85" t="str">
            <v>Coal capacity under construction; Operating coal capacity = 0 MW</v>
          </cell>
          <cell r="K85">
            <v>-5.5428571428571431E-2</v>
          </cell>
          <cell r="L85">
            <v>-1.0234285714285714</v>
          </cell>
          <cell r="M85">
            <v>5.8054285714285712</v>
          </cell>
          <cell r="N85">
            <v>0</v>
          </cell>
          <cell r="O85" t="str">
            <v/>
          </cell>
          <cell r="P85">
            <v>54.72</v>
          </cell>
          <cell r="Q85">
            <v>47.44</v>
          </cell>
          <cell r="R85">
            <v>56.17</v>
          </cell>
          <cell r="S85">
            <v>48.26</v>
          </cell>
          <cell r="T85">
            <v>33.270000000000003</v>
          </cell>
          <cell r="U85">
            <v>63</v>
          </cell>
          <cell r="V85">
            <v>95367868</v>
          </cell>
          <cell r="W85">
            <v>53203140</v>
          </cell>
          <cell r="X85">
            <v>100</v>
          </cell>
          <cell r="Y85">
            <v>50</v>
          </cell>
          <cell r="Z85">
            <v>2</v>
          </cell>
          <cell r="AA85">
            <v>0</v>
          </cell>
          <cell r="AC85">
            <v>39.965227498842751</v>
          </cell>
          <cell r="AD85">
            <v>2.0077073941271202</v>
          </cell>
          <cell r="AE85">
            <v>32.076999999999998</v>
          </cell>
          <cell r="AF85">
            <v>4000500000</v>
          </cell>
          <cell r="AG85">
            <v>21</v>
          </cell>
          <cell r="AH85">
            <v>3.7802030956031274</v>
          </cell>
          <cell r="AI85">
            <v>4</v>
          </cell>
          <cell r="AJ85">
            <v>30.1</v>
          </cell>
          <cell r="AK85">
            <v>0.79400000000000004</v>
          </cell>
          <cell r="AL85">
            <v>47.355000000000004</v>
          </cell>
          <cell r="AM85">
            <v>5.1989999999999998</v>
          </cell>
          <cell r="AN85">
            <v>0</v>
          </cell>
        </row>
        <row r="86">
          <cell r="B86" t="str">
            <v>PHL</v>
          </cell>
          <cell r="C86">
            <v>12642.4</v>
          </cell>
          <cell r="D86">
            <v>63.91</v>
          </cell>
          <cell r="E86">
            <v>20.48</v>
          </cell>
          <cell r="F86">
            <v>2.89</v>
          </cell>
          <cell r="G86">
            <v>621.73</v>
          </cell>
          <cell r="H86">
            <v>39.341269841269799</v>
          </cell>
          <cell r="I86">
            <v>0.38489527304942101</v>
          </cell>
          <cell r="J86">
            <v>7.672593811301652E-2</v>
          </cell>
          <cell r="K86">
            <v>1.8694285714285708</v>
          </cell>
          <cell r="L86">
            <v>-2.4857142857142987E-2</v>
          </cell>
          <cell r="M86">
            <v>5.7197142857142875</v>
          </cell>
          <cell r="N86">
            <v>20</v>
          </cell>
          <cell r="O86">
            <v>0</v>
          </cell>
          <cell r="P86">
            <v>52.67</v>
          </cell>
          <cell r="Q86">
            <v>54.15</v>
          </cell>
          <cell r="R86">
            <v>56.11</v>
          </cell>
          <cell r="S86">
            <v>47.09</v>
          </cell>
          <cell r="T86">
            <v>36.18</v>
          </cell>
          <cell r="U86">
            <v>24</v>
          </cell>
          <cell r="V86">
            <v>999160</v>
          </cell>
          <cell r="W86">
            <v>622510</v>
          </cell>
          <cell r="X86">
            <v>80</v>
          </cell>
          <cell r="Y86">
            <v>50</v>
          </cell>
          <cell r="Z86">
            <v>2</v>
          </cell>
          <cell r="AA86">
            <v>0</v>
          </cell>
          <cell r="AC86">
            <v>49.850790642456957</v>
          </cell>
          <cell r="AD86">
            <v>3.21260487006347</v>
          </cell>
          <cell r="AE86">
            <v>56.627000000000002</v>
          </cell>
          <cell r="AF86">
            <v>6979210000</v>
          </cell>
          <cell r="AG86">
            <v>29</v>
          </cell>
          <cell r="AH86">
            <v>4.0288163255077674</v>
          </cell>
          <cell r="AI86">
            <v>5</v>
          </cell>
          <cell r="AJ86">
            <v>34.9</v>
          </cell>
          <cell r="AK86">
            <v>0.72</v>
          </cell>
          <cell r="AL86">
            <v>47.884999999999998</v>
          </cell>
          <cell r="AM86">
            <v>2.202</v>
          </cell>
          <cell r="AN86">
            <v>109.13328281122308</v>
          </cell>
        </row>
        <row r="87">
          <cell r="B87" t="str">
            <v>POL</v>
          </cell>
          <cell r="C87">
            <v>27262</v>
          </cell>
          <cell r="D87">
            <v>54.32</v>
          </cell>
          <cell r="E87">
            <v>31.15</v>
          </cell>
          <cell r="F87">
            <v>25.3</v>
          </cell>
          <cell r="G87">
            <v>608.17999999999995</v>
          </cell>
          <cell r="H87">
            <v>62.886243386243301</v>
          </cell>
          <cell r="I87">
            <v>0</v>
          </cell>
          <cell r="J87">
            <v>3.6681094563861785E-3</v>
          </cell>
          <cell r="K87">
            <v>-3.3619999999999997</v>
          </cell>
          <cell r="L87">
            <v>3.1714285714285713</v>
          </cell>
          <cell r="M87">
            <v>-31.54514285714286</v>
          </cell>
          <cell r="N87">
            <v>100</v>
          </cell>
          <cell r="O87">
            <v>75</v>
          </cell>
          <cell r="P87">
            <v>74.41</v>
          </cell>
          <cell r="Q87">
            <v>64.430000000000007</v>
          </cell>
          <cell r="R87">
            <v>65.680000000000007</v>
          </cell>
          <cell r="S87">
            <v>66.89</v>
          </cell>
          <cell r="T87">
            <v>63.93</v>
          </cell>
          <cell r="U87">
            <v>3</v>
          </cell>
          <cell r="V87">
            <v>0</v>
          </cell>
          <cell r="W87">
            <v>0</v>
          </cell>
          <cell r="X87">
            <v>0</v>
          </cell>
          <cell r="Y87">
            <v>25</v>
          </cell>
          <cell r="Z87">
            <v>0</v>
          </cell>
          <cell r="AA87">
            <v>0</v>
          </cell>
          <cell r="AC87">
            <v>33.58579001880971</v>
          </cell>
          <cell r="AD87">
            <v>3.7906089763019661</v>
          </cell>
          <cell r="AE87">
            <v>55.088999999999999</v>
          </cell>
          <cell r="AF87">
            <v>0</v>
          </cell>
          <cell r="AG87">
            <v>0</v>
          </cell>
          <cell r="AH87">
            <v>5.6399449723408681</v>
          </cell>
          <cell r="AI87">
            <v>3</v>
          </cell>
          <cell r="AJ87">
            <v>84.2</v>
          </cell>
          <cell r="AK87">
            <v>0.90600000000000003</v>
          </cell>
          <cell r="AL87">
            <v>86.44</v>
          </cell>
          <cell r="AM87">
            <v>2.8069999999999999</v>
          </cell>
          <cell r="AN87">
            <v>745.69398105261132</v>
          </cell>
        </row>
        <row r="88">
          <cell r="B88" t="str">
            <v>PRT</v>
          </cell>
          <cell r="C88">
            <v>0</v>
          </cell>
          <cell r="D88">
            <v>0</v>
          </cell>
          <cell r="E88">
            <v>85.19</v>
          </cell>
          <cell r="F88">
            <v>45.34</v>
          </cell>
          <cell r="G88">
            <v>110.64</v>
          </cell>
          <cell r="H88">
            <v>79.3333333333333</v>
          </cell>
          <cell r="I88" t="str">
            <v>Proposed coal pipeline; Operating coal capacity = 0 MW</v>
          </cell>
          <cell r="J88" t="str">
            <v>Coal capacity under construction; Operating coal capacity = 0 MW</v>
          </cell>
          <cell r="K88">
            <v>-1.9714285714285715</v>
          </cell>
          <cell r="L88">
            <v>5.8142857142857132</v>
          </cell>
          <cell r="M88">
            <v>-34.468571428571437</v>
          </cell>
          <cell r="N88">
            <v>100</v>
          </cell>
          <cell r="O88" t="str">
            <v/>
          </cell>
          <cell r="P88">
            <v>75.069999999999993</v>
          </cell>
          <cell r="Q88">
            <v>69.760000000000005</v>
          </cell>
          <cell r="R88">
            <v>66.540000000000006</v>
          </cell>
          <cell r="S88">
            <v>75.42</v>
          </cell>
          <cell r="T88">
            <v>64.540000000000006</v>
          </cell>
          <cell r="U88">
            <v>3</v>
          </cell>
          <cell r="V88">
            <v>0</v>
          </cell>
          <cell r="W88">
            <v>0</v>
          </cell>
          <cell r="X88">
            <v>0</v>
          </cell>
          <cell r="Y88">
            <v>25</v>
          </cell>
          <cell r="Z88">
            <v>0</v>
          </cell>
          <cell r="AA88">
            <v>0</v>
          </cell>
          <cell r="AC88">
            <v>77.21312065437435</v>
          </cell>
          <cell r="AD88">
            <v>2.416131877918839</v>
          </cell>
          <cell r="AE88">
            <v>93.477000000000004</v>
          </cell>
          <cell r="AF88">
            <v>0</v>
          </cell>
          <cell r="AG88">
            <v>0</v>
          </cell>
          <cell r="AH88">
            <v>3.971852141641294</v>
          </cell>
          <cell r="AI88">
            <v>2</v>
          </cell>
          <cell r="AJ88">
            <v>100</v>
          </cell>
          <cell r="AK88">
            <v>0.89</v>
          </cell>
          <cell r="AL88">
            <v>96.15</v>
          </cell>
          <cell r="AM88">
            <v>6.5</v>
          </cell>
          <cell r="AN88">
            <v>0</v>
          </cell>
        </row>
        <row r="89">
          <cell r="B89" t="str">
            <v>ROU</v>
          </cell>
          <cell r="C89">
            <v>2200</v>
          </cell>
          <cell r="D89">
            <v>15.1</v>
          </cell>
          <cell r="E89">
            <v>46.52</v>
          </cell>
          <cell r="F89">
            <v>18.690000000000001</v>
          </cell>
          <cell r="G89">
            <v>259.67</v>
          </cell>
          <cell r="H89">
            <v>65.7777777777777</v>
          </cell>
          <cell r="I89">
            <v>0</v>
          </cell>
          <cell r="J89">
            <v>0</v>
          </cell>
          <cell r="K89">
            <v>-1.3717142857142857</v>
          </cell>
          <cell r="L89">
            <v>1.0540000000000009</v>
          </cell>
          <cell r="M89">
            <v>-12.646857142857147</v>
          </cell>
          <cell r="N89">
            <v>100</v>
          </cell>
          <cell r="O89">
            <v>100</v>
          </cell>
          <cell r="P89">
            <v>68.61</v>
          </cell>
          <cell r="Q89">
            <v>59.47</v>
          </cell>
          <cell r="R89">
            <v>60.91</v>
          </cell>
          <cell r="S89">
            <v>63.35</v>
          </cell>
          <cell r="T89">
            <v>48.38</v>
          </cell>
          <cell r="U89">
            <v>11</v>
          </cell>
          <cell r="V89">
            <v>343722</v>
          </cell>
          <cell r="W89">
            <v>124672</v>
          </cell>
          <cell r="X89">
            <v>0</v>
          </cell>
          <cell r="Y89">
            <v>25</v>
          </cell>
          <cell r="Z89">
            <v>0</v>
          </cell>
          <cell r="AA89">
            <v>0</v>
          </cell>
          <cell r="AC89">
            <v>22.728119541209832</v>
          </cell>
          <cell r="AD89">
            <v>5.7214057435443859</v>
          </cell>
          <cell r="AE89">
            <v>57.468000000000004</v>
          </cell>
          <cell r="AF89">
            <v>0</v>
          </cell>
          <cell r="AG89">
            <v>0</v>
          </cell>
          <cell r="AH89">
            <v>3.4143658536156987</v>
          </cell>
          <cell r="AI89">
            <v>3</v>
          </cell>
          <cell r="AJ89">
            <v>79.8</v>
          </cell>
          <cell r="AK89">
            <v>0.84499999999999997</v>
          </cell>
          <cell r="AL89">
            <v>81.444999999999993</v>
          </cell>
          <cell r="AM89">
            <v>5.4</v>
          </cell>
          <cell r="AN89">
            <v>115.47462906924719</v>
          </cell>
        </row>
        <row r="90">
          <cell r="B90" t="str">
            <v>RUS</v>
          </cell>
          <cell r="C90">
            <v>37193</v>
          </cell>
          <cell r="D90">
            <v>17.79</v>
          </cell>
          <cell r="E90">
            <v>18.100000000000001</v>
          </cell>
          <cell r="F90">
            <v>0.62</v>
          </cell>
          <cell r="G90">
            <v>445.98</v>
          </cell>
          <cell r="H90">
            <v>29.592592592592599</v>
          </cell>
          <cell r="I90">
            <v>0.17844755733605785</v>
          </cell>
          <cell r="J90">
            <v>3.5490549296910708E-2</v>
          </cell>
          <cell r="K90">
            <v>0.25657142857142839</v>
          </cell>
          <cell r="L90">
            <v>-0.14971428571428597</v>
          </cell>
          <cell r="M90">
            <v>3.2711428571428591</v>
          </cell>
          <cell r="N90">
            <v>0</v>
          </cell>
          <cell r="O90">
            <v>0</v>
          </cell>
          <cell r="P90">
            <v>50.46</v>
          </cell>
          <cell r="Q90">
            <v>45.09</v>
          </cell>
          <cell r="R90">
            <v>38.01</v>
          </cell>
          <cell r="S90">
            <v>37.06</v>
          </cell>
          <cell r="T90">
            <v>29.82</v>
          </cell>
          <cell r="U90">
            <v>7</v>
          </cell>
          <cell r="V90">
            <v>1329474</v>
          </cell>
          <cell r="W90">
            <v>635933</v>
          </cell>
          <cell r="X90">
            <v>0</v>
          </cell>
          <cell r="Y90">
            <v>25</v>
          </cell>
          <cell r="Z90">
            <v>0</v>
          </cell>
          <cell r="AA90">
            <v>0</v>
          </cell>
          <cell r="AC90" t="str">
            <v>Missing</v>
          </cell>
          <cell r="AD90">
            <v>8.4348641049672324</v>
          </cell>
          <cell r="AE90">
            <v>14.757999999999999</v>
          </cell>
          <cell r="AF90">
            <v>587970000</v>
          </cell>
          <cell r="AG90">
            <v>11</v>
          </cell>
          <cell r="AH90">
            <v>10.059410377108591</v>
          </cell>
          <cell r="AI90">
            <v>5</v>
          </cell>
          <cell r="AJ90">
            <v>95.4</v>
          </cell>
          <cell r="AK90">
            <v>0.83199999999999996</v>
          </cell>
          <cell r="AL90">
            <v>91.13</v>
          </cell>
          <cell r="AM90">
            <v>2.4300000000000002</v>
          </cell>
          <cell r="AN90">
            <v>259.12354291950265</v>
          </cell>
        </row>
        <row r="91">
          <cell r="B91" t="str">
            <v>SEN</v>
          </cell>
          <cell r="C91">
            <v>155</v>
          </cell>
          <cell r="D91">
            <v>1.31</v>
          </cell>
          <cell r="E91">
            <v>19.78</v>
          </cell>
          <cell r="F91">
            <v>14.28</v>
          </cell>
          <cell r="G91">
            <v>539.97</v>
          </cell>
          <cell r="H91">
            <v>27.629629629629601</v>
          </cell>
          <cell r="I91">
            <v>0</v>
          </cell>
          <cell r="J91">
            <v>0</v>
          </cell>
          <cell r="K91">
            <v>-1.7811428571428571</v>
          </cell>
          <cell r="L91">
            <v>0.90457142857142858</v>
          </cell>
          <cell r="M91">
            <v>-10.35542857142857</v>
          </cell>
          <cell r="N91">
            <v>20</v>
          </cell>
          <cell r="O91">
            <v>0</v>
          </cell>
          <cell r="P91">
            <v>61.99</v>
          </cell>
          <cell r="Q91">
            <v>55.9</v>
          </cell>
          <cell r="R91">
            <v>51.05</v>
          </cell>
          <cell r="S91">
            <v>53.44</v>
          </cell>
          <cell r="T91">
            <v>50.14</v>
          </cell>
          <cell r="U91">
            <v>25</v>
          </cell>
          <cell r="V91">
            <v>2241730</v>
          </cell>
          <cell r="W91">
            <v>903331</v>
          </cell>
          <cell r="X91">
            <v>80</v>
          </cell>
          <cell r="Y91">
            <v>50</v>
          </cell>
          <cell r="Z91">
            <v>4</v>
          </cell>
          <cell r="AA91">
            <v>0</v>
          </cell>
          <cell r="AC91" t="str">
            <v>Missing</v>
          </cell>
          <cell r="AD91">
            <v>0.80450329879243798</v>
          </cell>
          <cell r="AE91">
            <v>132.39500000000001</v>
          </cell>
          <cell r="AF91">
            <v>856900000</v>
          </cell>
          <cell r="AG91">
            <v>6</v>
          </cell>
          <cell r="AH91">
            <v>4.0200889946654925</v>
          </cell>
          <cell r="AI91">
            <v>4</v>
          </cell>
          <cell r="AJ91">
            <v>19.899999999999999</v>
          </cell>
          <cell r="AK91">
            <v>0.53</v>
          </cell>
          <cell r="AL91">
            <v>31.484999999999996</v>
          </cell>
          <cell r="AM91">
            <v>2.7879999999999998</v>
          </cell>
          <cell r="AN91">
            <v>8.3774799502583068</v>
          </cell>
        </row>
        <row r="92">
          <cell r="B92" t="str">
            <v>SRB</v>
          </cell>
          <cell r="C92">
            <v>4785</v>
          </cell>
          <cell r="D92">
            <v>62.93</v>
          </cell>
          <cell r="E92">
            <v>32.06</v>
          </cell>
          <cell r="F92">
            <v>3.81</v>
          </cell>
          <cell r="G92">
            <v>666.4</v>
          </cell>
          <cell r="H92">
            <v>50.711640211640201</v>
          </cell>
          <cell r="I92">
            <v>0</v>
          </cell>
          <cell r="J92">
            <v>0</v>
          </cell>
          <cell r="K92">
            <v>-1.781142857142858</v>
          </cell>
          <cell r="L92">
            <v>1.0100000000000002</v>
          </cell>
          <cell r="M92">
            <v>-14.917999999999997</v>
          </cell>
          <cell r="N92">
            <v>100</v>
          </cell>
          <cell r="O92">
            <v>75</v>
          </cell>
          <cell r="P92">
            <v>63.01</v>
          </cell>
          <cell r="Q92">
            <v>53.32</v>
          </cell>
          <cell r="R92">
            <v>56.1</v>
          </cell>
          <cell r="S92">
            <v>53.52</v>
          </cell>
          <cell r="T92">
            <v>36.5</v>
          </cell>
          <cell r="U92">
            <v>3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C92">
            <v>32.636524490266147</v>
          </cell>
          <cell r="AD92">
            <v>4.6705297488997006</v>
          </cell>
          <cell r="AE92">
            <v>44.064</v>
          </cell>
          <cell r="AF92">
            <v>592080000</v>
          </cell>
          <cell r="AG92">
            <v>5</v>
          </cell>
          <cell r="AH92">
            <v>4.1002995977231818</v>
          </cell>
          <cell r="AI92">
            <v>4</v>
          </cell>
          <cell r="AJ92">
            <v>65.400000000000006</v>
          </cell>
          <cell r="AK92">
            <v>0.83299999999999996</v>
          </cell>
          <cell r="AL92">
            <v>71.665000000000006</v>
          </cell>
          <cell r="AM92">
            <v>7.24</v>
          </cell>
          <cell r="AN92">
            <v>726.48864127038496</v>
          </cell>
        </row>
        <row r="93">
          <cell r="B93" t="str">
            <v>SVK</v>
          </cell>
          <cell r="C93">
            <v>274</v>
          </cell>
          <cell r="D93">
            <v>1.76</v>
          </cell>
          <cell r="E93">
            <v>24.05</v>
          </cell>
          <cell r="F93">
            <v>2.34</v>
          </cell>
          <cell r="G93">
            <v>96.55</v>
          </cell>
          <cell r="H93">
            <v>73.6111111111111</v>
          </cell>
          <cell r="I93">
            <v>0</v>
          </cell>
          <cell r="J93">
            <v>0</v>
          </cell>
          <cell r="K93">
            <v>-1.1268571428571428</v>
          </cell>
          <cell r="L93">
            <v>-6.9142857142856881E-2</v>
          </cell>
          <cell r="M93">
            <v>-15.109714285714283</v>
          </cell>
          <cell r="N93">
            <v>100</v>
          </cell>
          <cell r="O93">
            <v>0</v>
          </cell>
          <cell r="P93">
            <v>76.73</v>
          </cell>
          <cell r="Q93">
            <v>64.13</v>
          </cell>
          <cell r="R93">
            <v>61.25</v>
          </cell>
          <cell r="S93">
            <v>66.62</v>
          </cell>
          <cell r="T93">
            <v>50.1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C93">
            <v>59.650901883393523</v>
          </cell>
          <cell r="AD93">
            <v>2.7576090942427181</v>
          </cell>
          <cell r="AE93">
            <v>59.701000000000001</v>
          </cell>
          <cell r="AF93">
            <v>0</v>
          </cell>
          <cell r="AG93">
            <v>0</v>
          </cell>
          <cell r="AH93">
            <v>3.971852141641294</v>
          </cell>
          <cell r="AI93">
            <v>2</v>
          </cell>
          <cell r="AJ93">
            <v>93.1</v>
          </cell>
          <cell r="AK93">
            <v>0.88</v>
          </cell>
          <cell r="AL93">
            <v>91.314999999999998</v>
          </cell>
          <cell r="AM93">
            <v>5.3</v>
          </cell>
          <cell r="AN93">
            <v>50.534214891031453</v>
          </cell>
        </row>
        <row r="94">
          <cell r="B94" t="str">
            <v>SVN</v>
          </cell>
          <cell r="C94">
            <v>1069</v>
          </cell>
          <cell r="D94">
            <v>20.95</v>
          </cell>
          <cell r="E94">
            <v>41.12</v>
          </cell>
          <cell r="F94">
            <v>7.66</v>
          </cell>
          <cell r="G94">
            <v>230.4</v>
          </cell>
          <cell r="H94" t="str">
            <v>Missing</v>
          </cell>
          <cell r="I94">
            <v>0</v>
          </cell>
          <cell r="J94">
            <v>0</v>
          </cell>
          <cell r="K94">
            <v>-1.5522857142857143</v>
          </cell>
          <cell r="L94">
            <v>1.8574285714285712</v>
          </cell>
          <cell r="M94">
            <v>-14.588285714285709</v>
          </cell>
          <cell r="N94">
            <v>100</v>
          </cell>
          <cell r="O94">
            <v>100</v>
          </cell>
          <cell r="P94">
            <v>78.209999999999994</v>
          </cell>
          <cell r="Q94">
            <v>72.52</v>
          </cell>
          <cell r="R94">
            <v>67.45</v>
          </cell>
          <cell r="S94">
            <v>73.81</v>
          </cell>
          <cell r="T94">
            <v>61.5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35.416507399305729</v>
          </cell>
          <cell r="AD94">
            <v>1.9656265643251249</v>
          </cell>
          <cell r="AE94">
            <v>66.605999999999995</v>
          </cell>
          <cell r="AF94">
            <v>0</v>
          </cell>
          <cell r="AG94">
            <v>0</v>
          </cell>
          <cell r="AH94">
            <v>3.971852141641294</v>
          </cell>
          <cell r="AI94" t="str">
            <v>Missing</v>
          </cell>
          <cell r="AJ94">
            <v>97</v>
          </cell>
          <cell r="AK94">
            <v>0.93100000000000005</v>
          </cell>
          <cell r="AL94">
            <v>95.635000000000005</v>
          </cell>
          <cell r="AM94">
            <v>3.7</v>
          </cell>
          <cell r="AN94">
            <v>502.49130393908052</v>
          </cell>
        </row>
        <row r="95">
          <cell r="B95" t="str">
            <v>ZAF</v>
          </cell>
          <cell r="C95">
            <v>45024.1</v>
          </cell>
          <cell r="D95">
            <v>83.55</v>
          </cell>
          <cell r="E95">
            <v>12.5</v>
          </cell>
          <cell r="F95">
            <v>11.87</v>
          </cell>
          <cell r="G95">
            <v>717.36</v>
          </cell>
          <cell r="H95">
            <v>54.018518518518498</v>
          </cell>
          <cell r="I95">
            <v>6.4632052611823448E-2</v>
          </cell>
          <cell r="J95">
            <v>0</v>
          </cell>
          <cell r="K95">
            <v>-1.3717142857142879</v>
          </cell>
          <cell r="L95">
            <v>1.6231428571428572</v>
          </cell>
          <cell r="M95">
            <v>-11.235428571428569</v>
          </cell>
          <cell r="N95">
            <v>100</v>
          </cell>
          <cell r="O95">
            <v>0</v>
          </cell>
          <cell r="P95">
            <v>55.35</v>
          </cell>
          <cell r="Q95">
            <v>46.95</v>
          </cell>
          <cell r="R95">
            <v>53.91</v>
          </cell>
          <cell r="S95">
            <v>57.27</v>
          </cell>
          <cell r="T95">
            <v>43.97</v>
          </cell>
          <cell r="U95">
            <v>113</v>
          </cell>
          <cell r="V95">
            <v>13364742</v>
          </cell>
          <cell r="W95">
            <v>10280585</v>
          </cell>
          <cell r="X95">
            <v>40</v>
          </cell>
          <cell r="Y95">
            <v>50</v>
          </cell>
          <cell r="Z95">
            <v>0</v>
          </cell>
          <cell r="AA95">
            <v>0</v>
          </cell>
          <cell r="AC95">
            <v>89.447636017344308</v>
          </cell>
          <cell r="AD95">
            <v>4.3611524651896207</v>
          </cell>
          <cell r="AE95">
            <v>75.962999999999994</v>
          </cell>
          <cell r="AF95">
            <v>5141140000</v>
          </cell>
          <cell r="AG95">
            <v>21</v>
          </cell>
          <cell r="AH95">
            <v>9.3298111854910886</v>
          </cell>
          <cell r="AI95">
            <v>3</v>
          </cell>
          <cell r="AJ95">
            <v>49.3</v>
          </cell>
          <cell r="AK95">
            <v>0.74099999999999999</v>
          </cell>
          <cell r="AL95">
            <v>57.98</v>
          </cell>
          <cell r="AM95">
            <v>32.279000000000003</v>
          </cell>
          <cell r="AN95">
            <v>703.42257034354589</v>
          </cell>
        </row>
        <row r="96">
          <cell r="B96" t="str">
            <v>KOR</v>
          </cell>
          <cell r="C96">
            <v>41745</v>
          </cell>
          <cell r="D96">
            <v>30.51</v>
          </cell>
          <cell r="E96">
            <v>9.7100000000000009</v>
          </cell>
          <cell r="F96">
            <v>5.77</v>
          </cell>
          <cell r="G96">
            <v>415.51</v>
          </cell>
          <cell r="H96">
            <v>61.240740740740698</v>
          </cell>
          <cell r="I96">
            <v>0</v>
          </cell>
          <cell r="J96">
            <v>0</v>
          </cell>
          <cell r="K96">
            <v>-1.9439999999999993</v>
          </cell>
          <cell r="L96">
            <v>0.82971428571428585</v>
          </cell>
          <cell r="M96">
            <v>-14.849142857142859</v>
          </cell>
          <cell r="N96">
            <v>100</v>
          </cell>
          <cell r="O96">
            <v>75</v>
          </cell>
          <cell r="P96">
            <v>76.819999999999993</v>
          </cell>
          <cell r="Q96">
            <v>80.25</v>
          </cell>
          <cell r="R96">
            <v>70.849999999999994</v>
          </cell>
          <cell r="S96">
            <v>76.2</v>
          </cell>
          <cell r="T96">
            <v>65.05</v>
          </cell>
          <cell r="U96">
            <v>15</v>
          </cell>
          <cell r="V96">
            <v>22688337</v>
          </cell>
          <cell r="W96">
            <v>16522926</v>
          </cell>
          <cell r="X96">
            <v>60</v>
          </cell>
          <cell r="Y96">
            <v>50</v>
          </cell>
          <cell r="Z96">
            <v>14</v>
          </cell>
          <cell r="AA96">
            <v>0</v>
          </cell>
          <cell r="AC96">
            <v>160.34718267823618</v>
          </cell>
          <cell r="AD96">
            <v>2.3217432864354208</v>
          </cell>
          <cell r="AE96">
            <v>49.701000000000001</v>
          </cell>
          <cell r="AF96">
            <v>0</v>
          </cell>
          <cell r="AG96">
            <v>0</v>
          </cell>
          <cell r="AH96">
            <v>4.3887488451403849</v>
          </cell>
          <cell r="AI96">
            <v>5</v>
          </cell>
          <cell r="AJ96">
            <v>80.2</v>
          </cell>
          <cell r="AK96">
            <v>0.93700000000000006</v>
          </cell>
          <cell r="AL96">
            <v>84.925000000000011</v>
          </cell>
          <cell r="AM96">
            <v>2.7839999999999998</v>
          </cell>
          <cell r="AN96">
            <v>806.65006604211919</v>
          </cell>
        </row>
        <row r="97">
          <cell r="B97" t="str">
            <v>ESP</v>
          </cell>
          <cell r="C97">
            <v>260</v>
          </cell>
          <cell r="D97">
            <v>0.92</v>
          </cell>
          <cell r="E97">
            <v>57.34</v>
          </cell>
          <cell r="F97">
            <v>42.89</v>
          </cell>
          <cell r="G97">
            <v>146.22</v>
          </cell>
          <cell r="H97">
            <v>83.3333333333333</v>
          </cell>
          <cell r="I97">
            <v>0</v>
          </cell>
          <cell r="J97">
            <v>0</v>
          </cell>
          <cell r="K97">
            <v>-0.59142857142857153</v>
          </cell>
          <cell r="L97">
            <v>3.4105714285714295</v>
          </cell>
          <cell r="M97">
            <v>-16.19771428571428</v>
          </cell>
          <cell r="N97">
            <v>100</v>
          </cell>
          <cell r="O97">
            <v>0</v>
          </cell>
          <cell r="P97">
            <v>65.84</v>
          </cell>
          <cell r="Q97">
            <v>72.94</v>
          </cell>
          <cell r="R97">
            <v>64.650000000000006</v>
          </cell>
          <cell r="S97">
            <v>73</v>
          </cell>
          <cell r="T97">
            <v>62.32</v>
          </cell>
          <cell r="U97">
            <v>7</v>
          </cell>
          <cell r="V97">
            <v>0</v>
          </cell>
          <cell r="W97">
            <v>0</v>
          </cell>
          <cell r="X97">
            <v>0</v>
          </cell>
          <cell r="Y97">
            <v>25</v>
          </cell>
          <cell r="Z97">
            <v>0</v>
          </cell>
          <cell r="AA97">
            <v>0</v>
          </cell>
          <cell r="AC97">
            <v>74.21920179636588</v>
          </cell>
          <cell r="AD97">
            <v>2.7741782653477198</v>
          </cell>
          <cell r="AE97">
            <v>101.648</v>
          </cell>
          <cell r="AF97">
            <v>0</v>
          </cell>
          <cell r="AG97">
            <v>0</v>
          </cell>
          <cell r="AH97">
            <v>3.971852141641294</v>
          </cell>
          <cell r="AI97">
            <v>2</v>
          </cell>
          <cell r="AJ97">
            <v>78.099999999999994</v>
          </cell>
          <cell r="AK97">
            <v>0.91800000000000004</v>
          </cell>
          <cell r="AL97">
            <v>82.894999999999996</v>
          </cell>
          <cell r="AM97">
            <v>11.4</v>
          </cell>
          <cell r="AN97">
            <v>5.3225419477719429</v>
          </cell>
        </row>
        <row r="98">
          <cell r="B98" t="str">
            <v>LKA</v>
          </cell>
          <cell r="C98">
            <v>900</v>
          </cell>
          <cell r="D98">
            <v>32.86</v>
          </cell>
          <cell r="E98">
            <v>55.24</v>
          </cell>
          <cell r="F98">
            <v>12.77</v>
          </cell>
          <cell r="G98">
            <v>378.44</v>
          </cell>
          <cell r="H98">
            <v>41.089947089947003</v>
          </cell>
          <cell r="I98">
            <v>0</v>
          </cell>
          <cell r="J98">
            <v>0</v>
          </cell>
          <cell r="K98">
            <v>-1.0091428571428565</v>
          </cell>
          <cell r="L98">
            <v>4.2062857142857153</v>
          </cell>
          <cell r="M98">
            <v>-28.382857142857137</v>
          </cell>
          <cell r="N98">
            <v>0</v>
          </cell>
          <cell r="O98">
            <v>100</v>
          </cell>
          <cell r="P98">
            <v>59.91</v>
          </cell>
          <cell r="Q98">
            <v>46</v>
          </cell>
          <cell r="R98">
            <v>50.14</v>
          </cell>
          <cell r="S98">
            <v>52.53</v>
          </cell>
          <cell r="T98">
            <v>40.07</v>
          </cell>
          <cell r="U98">
            <v>19</v>
          </cell>
          <cell r="V98">
            <v>414283</v>
          </cell>
          <cell r="W98">
            <v>185215</v>
          </cell>
          <cell r="X98">
            <v>100</v>
          </cell>
          <cell r="Y98">
            <v>50</v>
          </cell>
          <cell r="Z98">
            <v>2</v>
          </cell>
          <cell r="AA98">
            <v>0</v>
          </cell>
          <cell r="AC98" t="str">
            <v>Missing</v>
          </cell>
          <cell r="AD98">
            <v>-0.42936004906973008</v>
          </cell>
          <cell r="AE98">
            <v>100.84</v>
          </cell>
          <cell r="AF98">
            <v>8320000</v>
          </cell>
          <cell r="AG98">
            <v>1</v>
          </cell>
          <cell r="AH98" t="str">
            <v>Missing</v>
          </cell>
          <cell r="AI98">
            <v>4</v>
          </cell>
          <cell r="AJ98">
            <v>41.3</v>
          </cell>
          <cell r="AK98">
            <v>0.77600000000000002</v>
          </cell>
          <cell r="AL98">
            <v>54.004999999999995</v>
          </cell>
          <cell r="AM98">
            <v>4.2389999999999999</v>
          </cell>
          <cell r="AN98">
            <v>41.065887935754702</v>
          </cell>
        </row>
        <row r="99">
          <cell r="B99" t="str">
            <v>SDN</v>
          </cell>
          <cell r="C99">
            <v>0</v>
          </cell>
          <cell r="D99">
            <v>0</v>
          </cell>
          <cell r="E99">
            <v>79.680000000000007</v>
          </cell>
          <cell r="F99">
            <v>1.08</v>
          </cell>
          <cell r="G99">
            <v>153.69</v>
          </cell>
          <cell r="H99">
            <v>10.912698412698401</v>
          </cell>
          <cell r="I99" t="str">
            <v>Proposed coal pipeline; Operating coal capacity = 0 MW</v>
          </cell>
          <cell r="J99" t="str">
            <v>Coal capacity under construction; Operating coal capacity = 0 MW</v>
          </cell>
          <cell r="K99">
            <v>0</v>
          </cell>
          <cell r="L99">
            <v>3.920857142857145</v>
          </cell>
          <cell r="M99">
            <v>-24.757142857142856</v>
          </cell>
          <cell r="N99">
            <v>0</v>
          </cell>
          <cell r="O99" t="str">
            <v/>
          </cell>
          <cell r="P99">
            <v>31.32</v>
          </cell>
          <cell r="Q99">
            <v>16.46</v>
          </cell>
          <cell r="R99">
            <v>28.64</v>
          </cell>
          <cell r="S99">
            <v>26.44</v>
          </cell>
          <cell r="T99">
            <v>16.329999999999998</v>
          </cell>
          <cell r="U99">
            <v>5</v>
          </cell>
          <cell r="V99">
            <v>368399</v>
          </cell>
          <cell r="W99">
            <v>333963</v>
          </cell>
          <cell r="X99">
            <v>20</v>
          </cell>
          <cell r="Y99">
            <v>0</v>
          </cell>
          <cell r="Z99">
            <v>0</v>
          </cell>
          <cell r="AA99">
            <v>0</v>
          </cell>
          <cell r="AC99" t="str">
            <v>Missing</v>
          </cell>
          <cell r="AD99" t="str">
            <v>Missing</v>
          </cell>
          <cell r="AE99">
            <v>262.57299999999998</v>
          </cell>
          <cell r="AF99">
            <v>0</v>
          </cell>
          <cell r="AG99">
            <v>0</v>
          </cell>
          <cell r="AH99" t="str">
            <v>Missing</v>
          </cell>
          <cell r="AI99" t="str">
            <v>5+</v>
          </cell>
          <cell r="AJ99">
            <v>10.4</v>
          </cell>
          <cell r="AK99">
            <v>0.51100000000000001</v>
          </cell>
          <cell r="AL99">
            <v>24.645</v>
          </cell>
          <cell r="AM99" t="str">
            <v>Missing</v>
          </cell>
          <cell r="AN99">
            <v>0</v>
          </cell>
        </row>
        <row r="100">
          <cell r="B100" t="str">
            <v>SWE</v>
          </cell>
          <cell r="C100">
            <v>0</v>
          </cell>
          <cell r="D100">
            <v>0</v>
          </cell>
          <cell r="E100">
            <v>69.36</v>
          </cell>
          <cell r="F100">
            <v>25.92</v>
          </cell>
          <cell r="G100">
            <v>34.909999999999997</v>
          </cell>
          <cell r="H100">
            <v>83.158730158730094</v>
          </cell>
          <cell r="I100" t="str">
            <v>Proposed coal pipeline; Operating coal capacity = 0 MW</v>
          </cell>
          <cell r="J100" t="str">
            <v>Coal capacity under construction; Operating coal capacity = 0 MW</v>
          </cell>
          <cell r="K100">
            <v>-1.7142857142857144E-2</v>
          </cell>
          <cell r="L100">
            <v>1.6248571428571419</v>
          </cell>
          <cell r="M100">
            <v>-1.1065714285714294</v>
          </cell>
          <cell r="N100">
            <v>100</v>
          </cell>
          <cell r="O100" t="str">
            <v/>
          </cell>
          <cell r="P100">
            <v>76.2</v>
          </cell>
          <cell r="Q100">
            <v>85.85</v>
          </cell>
          <cell r="R100">
            <v>81.23</v>
          </cell>
          <cell r="S100">
            <v>86.68</v>
          </cell>
          <cell r="T100">
            <v>87.68</v>
          </cell>
          <cell r="U100">
            <v>1</v>
          </cell>
          <cell r="V100">
            <v>0</v>
          </cell>
          <cell r="W100">
            <v>0</v>
          </cell>
          <cell r="X100">
            <v>60</v>
          </cell>
          <cell r="Y100">
            <v>25</v>
          </cell>
          <cell r="Z100">
            <v>7</v>
          </cell>
          <cell r="AA100">
            <v>0</v>
          </cell>
          <cell r="AC100">
            <v>125.52042424868448</v>
          </cell>
          <cell r="AD100">
            <v>2.8358165822403398</v>
          </cell>
          <cell r="AE100">
            <v>33.92</v>
          </cell>
          <cell r="AF100">
            <v>0</v>
          </cell>
          <cell r="AG100">
            <v>0</v>
          </cell>
          <cell r="AH100">
            <v>6.2931727819734729</v>
          </cell>
          <cell r="AI100" t="str">
            <v>Missing</v>
          </cell>
          <cell r="AJ100">
            <v>100</v>
          </cell>
          <cell r="AK100">
            <v>0.95899999999999996</v>
          </cell>
          <cell r="AL100">
            <v>98.564999999999998</v>
          </cell>
          <cell r="AM100">
            <v>8.4</v>
          </cell>
          <cell r="AN100">
            <v>0</v>
          </cell>
        </row>
        <row r="101">
          <cell r="B101" t="str">
            <v>SYR</v>
          </cell>
          <cell r="C101">
            <v>0</v>
          </cell>
          <cell r="D101">
            <v>0</v>
          </cell>
          <cell r="E101">
            <v>3.53</v>
          </cell>
          <cell r="F101">
            <v>0.4</v>
          </cell>
          <cell r="G101">
            <v>706.19</v>
          </cell>
          <cell r="H101" t="str">
            <v>Missing</v>
          </cell>
          <cell r="I101" t="str">
            <v>Proposed coal pipeline; Operating coal capacity = 0 MW</v>
          </cell>
          <cell r="J101" t="str">
            <v>Coal capacity under construction; Operating coal capacity = 0 MW</v>
          </cell>
          <cell r="K101">
            <v>0</v>
          </cell>
          <cell r="L101">
            <v>-4.2857142857143597E-3</v>
          </cell>
          <cell r="M101">
            <v>2.2520000000000175</v>
          </cell>
          <cell r="N101">
            <v>0</v>
          </cell>
          <cell r="O101" t="str">
            <v/>
          </cell>
          <cell r="P101">
            <v>25.44</v>
          </cell>
          <cell r="Q101">
            <v>18.82</v>
          </cell>
          <cell r="R101">
            <v>23.36</v>
          </cell>
          <cell r="S101">
            <v>25.75</v>
          </cell>
          <cell r="T101">
            <v>13.41</v>
          </cell>
          <cell r="U101">
            <v>1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C101" t="str">
            <v>Missing</v>
          </cell>
          <cell r="AD101" t="str">
            <v>Missing</v>
          </cell>
          <cell r="AE101">
            <v>0</v>
          </cell>
          <cell r="AF101">
            <v>0</v>
          </cell>
          <cell r="AG101">
            <v>0</v>
          </cell>
          <cell r="AH101" t="str">
            <v>Missing</v>
          </cell>
          <cell r="AI101" t="str">
            <v>5+</v>
          </cell>
          <cell r="AJ101" t="str">
            <v>Missing</v>
          </cell>
          <cell r="AK101">
            <v>0.56399999999999995</v>
          </cell>
          <cell r="AL101" t="str">
            <v>Missing</v>
          </cell>
          <cell r="AM101">
            <v>13.359</v>
          </cell>
          <cell r="AN101">
            <v>0</v>
          </cell>
        </row>
        <row r="102">
          <cell r="B102" t="str">
            <v>TWN</v>
          </cell>
          <cell r="C102">
            <v>14999</v>
          </cell>
          <cell r="D102">
            <v>40.07</v>
          </cell>
          <cell r="E102">
            <v>10.92</v>
          </cell>
          <cell r="F102">
            <v>8.74</v>
          </cell>
          <cell r="G102">
            <v>635.19000000000005</v>
          </cell>
          <cell r="H102" t="str">
            <v>Missing</v>
          </cell>
          <cell r="I102">
            <v>0</v>
          </cell>
          <cell r="J102">
            <v>0</v>
          </cell>
          <cell r="K102">
            <v>-1.3205714285714287</v>
          </cell>
          <cell r="L102">
            <v>1.2748571428571429</v>
          </cell>
          <cell r="M102">
            <v>-2.68171428571427</v>
          </cell>
          <cell r="N102">
            <v>100</v>
          </cell>
          <cell r="O102">
            <v>0</v>
          </cell>
          <cell r="P102">
            <v>81.55</v>
          </cell>
          <cell r="Q102">
            <v>80.41</v>
          </cell>
          <cell r="R102">
            <v>75.290000000000006</v>
          </cell>
          <cell r="S102">
            <v>79.13</v>
          </cell>
          <cell r="T102">
            <v>71.8</v>
          </cell>
          <cell r="U102">
            <v>11</v>
          </cell>
          <cell r="V102">
            <v>5822790</v>
          </cell>
          <cell r="W102">
            <v>5154118</v>
          </cell>
          <cell r="X102" t="str">
            <v>Missing</v>
          </cell>
          <cell r="Y102" t="str">
            <v>Missing</v>
          </cell>
          <cell r="Z102">
            <v>0</v>
          </cell>
          <cell r="AA102">
            <v>0</v>
          </cell>
          <cell r="AC102" t="str">
            <v>Missing</v>
          </cell>
          <cell r="AD102" t="str">
            <v>Missing</v>
          </cell>
          <cell r="AE102">
            <v>26.782</v>
          </cell>
          <cell r="AF102" t="str">
            <v>Missing</v>
          </cell>
          <cell r="AG102">
            <v>0</v>
          </cell>
          <cell r="AH102" t="str">
            <v>Missing</v>
          </cell>
          <cell r="AI102">
            <v>2</v>
          </cell>
          <cell r="AJ102">
            <v>78.400000000000006</v>
          </cell>
          <cell r="AK102" t="str">
            <v>Missing</v>
          </cell>
          <cell r="AL102" t="str">
            <v>Missing</v>
          </cell>
          <cell r="AM102" t="str">
            <v>Missing</v>
          </cell>
          <cell r="AN102" t="str">
            <v>Missing</v>
          </cell>
        </row>
        <row r="103">
          <cell r="B103" t="str">
            <v>TJK</v>
          </cell>
          <cell r="C103">
            <v>400</v>
          </cell>
          <cell r="D103">
            <v>4.5</v>
          </cell>
          <cell r="E103">
            <v>94.59</v>
          </cell>
          <cell r="F103">
            <v>0</v>
          </cell>
          <cell r="G103">
            <v>71.17</v>
          </cell>
          <cell r="H103">
            <v>16.465608465608401</v>
          </cell>
          <cell r="I103">
            <v>0</v>
          </cell>
          <cell r="J103">
            <v>0</v>
          </cell>
          <cell r="K103">
            <v>-0.73685714285714288</v>
          </cell>
          <cell r="L103">
            <v>0.87457142857142978</v>
          </cell>
          <cell r="M103">
            <v>-7.6031428571428572</v>
          </cell>
          <cell r="N103">
            <v>0</v>
          </cell>
          <cell r="O103">
            <v>0</v>
          </cell>
          <cell r="P103">
            <v>61.19</v>
          </cell>
          <cell r="Q103">
            <v>39.659999999999997</v>
          </cell>
          <cell r="R103">
            <v>42.9</v>
          </cell>
          <cell r="S103">
            <v>36.590000000000003</v>
          </cell>
          <cell r="T103">
            <v>23.21</v>
          </cell>
          <cell r="U103">
            <v>1</v>
          </cell>
          <cell r="V103">
            <v>315553</v>
          </cell>
          <cell r="W103">
            <v>267703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C103" t="str">
            <v>Missing</v>
          </cell>
          <cell r="AD103" t="str">
            <v>Missing</v>
          </cell>
          <cell r="AE103">
            <v>24.905999999999999</v>
          </cell>
          <cell r="AF103">
            <v>0</v>
          </cell>
          <cell r="AG103">
            <v>0</v>
          </cell>
          <cell r="AH103">
            <v>4.3437790603916531</v>
          </cell>
          <cell r="AI103" t="str">
            <v>Missing</v>
          </cell>
          <cell r="AJ103">
            <v>34.1</v>
          </cell>
          <cell r="AK103">
            <v>0.69099999999999995</v>
          </cell>
          <cell r="AL103">
            <v>46.349999999999994</v>
          </cell>
          <cell r="AM103">
            <v>7.0410000000000004</v>
          </cell>
          <cell r="AN103">
            <v>37.768176477847497</v>
          </cell>
        </row>
        <row r="104">
          <cell r="B104" t="str">
            <v>TZA</v>
          </cell>
          <cell r="C104">
            <v>0</v>
          </cell>
          <cell r="D104">
            <v>0</v>
          </cell>
          <cell r="E104">
            <v>32.909999999999997</v>
          </cell>
          <cell r="F104">
            <v>0.45</v>
          </cell>
          <cell r="G104">
            <v>345.02</v>
          </cell>
          <cell r="H104">
            <v>22.4973544973545</v>
          </cell>
          <cell r="I104" t="str">
            <v>Proposed coal pipeline; Operating coal capacity = 0 MW</v>
          </cell>
          <cell r="J104" t="str">
            <v>Coal capacity under construction; Operating coal capacity = 0 MW</v>
          </cell>
          <cell r="K104">
            <v>0</v>
          </cell>
          <cell r="L104">
            <v>-1.5057142857142862</v>
          </cell>
          <cell r="M104">
            <v>8.2825714285714227</v>
          </cell>
          <cell r="N104">
            <v>0</v>
          </cell>
          <cell r="O104" t="str">
            <v/>
          </cell>
          <cell r="P104">
            <v>59.24</v>
          </cell>
          <cell r="Q104">
            <v>45.65</v>
          </cell>
          <cell r="R104">
            <v>46.42</v>
          </cell>
          <cell r="S104">
            <v>48.03</v>
          </cell>
          <cell r="T104">
            <v>41.9</v>
          </cell>
          <cell r="U104">
            <v>65</v>
          </cell>
          <cell r="V104">
            <v>6617775</v>
          </cell>
          <cell r="W104">
            <v>4506545</v>
          </cell>
          <cell r="X104">
            <v>100</v>
          </cell>
          <cell r="Y104">
            <v>75</v>
          </cell>
          <cell r="Z104">
            <v>1</v>
          </cell>
          <cell r="AA104">
            <v>0</v>
          </cell>
          <cell r="AC104">
            <v>16.754789704492346</v>
          </cell>
          <cell r="AD104">
            <v>3.056946763123725</v>
          </cell>
          <cell r="AE104">
            <v>49.86</v>
          </cell>
          <cell r="AF104">
            <v>19950000</v>
          </cell>
          <cell r="AG104">
            <v>3</v>
          </cell>
          <cell r="AH104">
            <v>2.5387038193561828</v>
          </cell>
          <cell r="AI104">
            <v>4</v>
          </cell>
          <cell r="AJ104">
            <v>11.4</v>
          </cell>
          <cell r="AK104">
            <v>0.55500000000000005</v>
          </cell>
          <cell r="AL104">
            <v>26.835000000000001</v>
          </cell>
          <cell r="AM104">
            <v>1.5569999999999999</v>
          </cell>
          <cell r="AN104">
            <v>0</v>
          </cell>
        </row>
        <row r="105">
          <cell r="B105" t="str">
            <v>THA</v>
          </cell>
          <cell r="C105">
            <v>5838</v>
          </cell>
          <cell r="D105">
            <v>16.670000000000002</v>
          </cell>
          <cell r="E105">
            <v>14.83</v>
          </cell>
          <cell r="F105">
            <v>4.41</v>
          </cell>
          <cell r="G105">
            <v>554.73</v>
          </cell>
          <cell r="H105">
            <v>49.592592592592602</v>
          </cell>
          <cell r="I105">
            <v>0</v>
          </cell>
          <cell r="J105">
            <v>0</v>
          </cell>
          <cell r="K105">
            <v>-0.8028571428571426</v>
          </cell>
          <cell r="L105">
            <v>0.14000000000000007</v>
          </cell>
          <cell r="M105">
            <v>-3.0648571428571358</v>
          </cell>
          <cell r="N105">
            <v>70</v>
          </cell>
          <cell r="O105">
            <v>0</v>
          </cell>
          <cell r="P105">
            <v>54.22</v>
          </cell>
          <cell r="Q105">
            <v>56.27</v>
          </cell>
          <cell r="R105">
            <v>56.54</v>
          </cell>
          <cell r="S105">
            <v>53.26</v>
          </cell>
          <cell r="T105">
            <v>37.18</v>
          </cell>
          <cell r="U105">
            <v>98</v>
          </cell>
          <cell r="V105">
            <v>19437335</v>
          </cell>
          <cell r="W105">
            <v>12084223</v>
          </cell>
          <cell r="X105">
            <v>100</v>
          </cell>
          <cell r="Y105">
            <v>100</v>
          </cell>
          <cell r="Z105">
            <v>3</v>
          </cell>
          <cell r="AA105">
            <v>1910</v>
          </cell>
          <cell r="AC105">
            <v>147.09192702825186</v>
          </cell>
          <cell r="AD105">
            <v>1.365805407980367</v>
          </cell>
          <cell r="AE105">
            <v>62.912999999999997</v>
          </cell>
          <cell r="AF105">
            <v>2912010000</v>
          </cell>
          <cell r="AG105">
            <v>8</v>
          </cell>
          <cell r="AH105">
            <v>2.8603284710925094</v>
          </cell>
          <cell r="AI105">
            <v>5</v>
          </cell>
          <cell r="AJ105">
            <v>70.099999999999994</v>
          </cell>
          <cell r="AK105">
            <v>0.79800000000000004</v>
          </cell>
          <cell r="AL105">
            <v>73.495000000000005</v>
          </cell>
          <cell r="AM105">
            <v>0.78100000000000003</v>
          </cell>
          <cell r="AN105">
            <v>81.458937098170608</v>
          </cell>
        </row>
        <row r="106">
          <cell r="B106" t="str">
            <v>TUR</v>
          </cell>
          <cell r="C106">
            <v>20473.2</v>
          </cell>
          <cell r="D106">
            <v>35.549999999999997</v>
          </cell>
          <cell r="E106">
            <v>45.61</v>
          </cell>
          <cell r="F106">
            <v>18.23</v>
          </cell>
          <cell r="G106">
            <v>469.74</v>
          </cell>
          <cell r="H106">
            <v>54.936507936507901</v>
          </cell>
          <cell r="I106">
            <v>6.7209815759138772E-2</v>
          </cell>
          <cell r="J106">
            <v>0</v>
          </cell>
          <cell r="K106">
            <v>-4.0285714285715105E-2</v>
          </cell>
          <cell r="L106">
            <v>0.43085714285714283</v>
          </cell>
          <cell r="M106">
            <v>-2.0668571428571387</v>
          </cell>
          <cell r="N106">
            <v>0</v>
          </cell>
          <cell r="O106">
            <v>0</v>
          </cell>
          <cell r="P106">
            <v>49.31</v>
          </cell>
          <cell r="Q106">
            <v>49.97</v>
          </cell>
          <cell r="R106">
            <v>51.53</v>
          </cell>
          <cell r="S106">
            <v>42.45</v>
          </cell>
          <cell r="T106">
            <v>36.450000000000003</v>
          </cell>
          <cell r="U106">
            <v>551</v>
          </cell>
          <cell r="V106">
            <v>126737282</v>
          </cell>
          <cell r="W106">
            <v>67651087</v>
          </cell>
          <cell r="X106">
            <v>20</v>
          </cell>
          <cell r="Y106">
            <v>25</v>
          </cell>
          <cell r="Z106">
            <v>0</v>
          </cell>
          <cell r="AA106">
            <v>0</v>
          </cell>
          <cell r="AC106">
            <v>42.954665847803227</v>
          </cell>
          <cell r="AD106">
            <v>58.506450730034153</v>
          </cell>
          <cell r="AE106">
            <v>23.6</v>
          </cell>
          <cell r="AF106">
            <v>4173860000</v>
          </cell>
          <cell r="AG106">
            <v>24</v>
          </cell>
          <cell r="AH106">
            <v>35.094894232372305</v>
          </cell>
          <cell r="AI106">
            <v>5</v>
          </cell>
          <cell r="AJ106">
            <v>64</v>
          </cell>
          <cell r="AK106">
            <v>0.85299999999999998</v>
          </cell>
          <cell r="AL106">
            <v>71.454999999999998</v>
          </cell>
          <cell r="AM106">
            <v>8.8000000000000007</v>
          </cell>
          <cell r="AN106">
            <v>239.40038069585773</v>
          </cell>
        </row>
        <row r="107">
          <cell r="B107" t="str">
            <v>UKR</v>
          </cell>
          <cell r="C107">
            <v>3640</v>
          </cell>
          <cell r="D107" t="str">
            <v>Missing</v>
          </cell>
          <cell r="E107" t="str">
            <v>Missing</v>
          </cell>
          <cell r="F107" t="str">
            <v>Missing</v>
          </cell>
          <cell r="G107" t="str">
            <v>Missing</v>
          </cell>
          <cell r="H107">
            <v>52.291005291005199</v>
          </cell>
          <cell r="I107">
            <v>0</v>
          </cell>
          <cell r="J107">
            <v>0</v>
          </cell>
          <cell r="K107" t="str">
            <v>Missing</v>
          </cell>
          <cell r="L107" t="str">
            <v>Missing</v>
          </cell>
          <cell r="M107" t="str">
            <v>Missing</v>
          </cell>
          <cell r="N107">
            <v>100</v>
          </cell>
          <cell r="O107">
            <v>25</v>
          </cell>
          <cell r="P107">
            <v>58.51</v>
          </cell>
          <cell r="Q107">
            <v>39.700000000000003</v>
          </cell>
          <cell r="R107">
            <v>50.12</v>
          </cell>
          <cell r="S107">
            <v>44.57</v>
          </cell>
          <cell r="T107">
            <v>34.24</v>
          </cell>
          <cell r="U107">
            <v>3</v>
          </cell>
          <cell r="V107">
            <v>0</v>
          </cell>
          <cell r="W107">
            <v>0</v>
          </cell>
          <cell r="X107">
            <v>60</v>
          </cell>
          <cell r="Y107">
            <v>0</v>
          </cell>
          <cell r="Z107">
            <v>2</v>
          </cell>
          <cell r="AA107">
            <v>0</v>
          </cell>
          <cell r="AC107">
            <v>18.17295915848225</v>
          </cell>
          <cell r="AD107">
            <v>6.5019846466925397</v>
          </cell>
          <cell r="AE107">
            <v>89.677000000000007</v>
          </cell>
          <cell r="AF107">
            <v>1466000000</v>
          </cell>
          <cell r="AG107">
            <v>2</v>
          </cell>
          <cell r="AH107">
            <v>8.8106870280806184</v>
          </cell>
          <cell r="AI107">
            <v>5</v>
          </cell>
          <cell r="AJ107">
            <v>73</v>
          </cell>
          <cell r="AK107">
            <v>0.77900000000000003</v>
          </cell>
          <cell r="AL107">
            <v>74.715000000000003</v>
          </cell>
          <cell r="AM107" t="str">
            <v>Missing</v>
          </cell>
          <cell r="AN107">
            <v>96.143126053067675</v>
          </cell>
        </row>
        <row r="108">
          <cell r="B108" t="str">
            <v>ARE</v>
          </cell>
          <cell r="C108">
            <v>0</v>
          </cell>
          <cell r="D108">
            <v>0</v>
          </cell>
          <cell r="E108">
            <v>8.81</v>
          </cell>
          <cell r="F108">
            <v>8.69</v>
          </cell>
          <cell r="G108">
            <v>467.51</v>
          </cell>
          <cell r="H108">
            <v>53.8888888888888</v>
          </cell>
          <cell r="I108" t="str">
            <v>Proposed coal pipeline; Operating coal capacity = 0 MW</v>
          </cell>
          <cell r="J108" t="str">
            <v>Coal capacity under construction; Operating coal capacity = 0 MW</v>
          </cell>
          <cell r="K108">
            <v>-0.10314285714285715</v>
          </cell>
          <cell r="L108">
            <v>1.3328571428571427</v>
          </cell>
          <cell r="M108">
            <v>-42.726000000000006</v>
          </cell>
          <cell r="N108">
            <v>0</v>
          </cell>
          <cell r="O108" t="str">
            <v/>
          </cell>
          <cell r="P108">
            <v>79.37</v>
          </cell>
          <cell r="Q108">
            <v>75.84</v>
          </cell>
          <cell r="R108">
            <v>72.62</v>
          </cell>
          <cell r="S108">
            <v>65.52</v>
          </cell>
          <cell r="T108">
            <v>71.540000000000006</v>
          </cell>
          <cell r="U108">
            <v>5</v>
          </cell>
          <cell r="V108">
            <v>36436</v>
          </cell>
          <cell r="W108">
            <v>36436</v>
          </cell>
          <cell r="X108">
            <v>60</v>
          </cell>
          <cell r="Y108">
            <v>25</v>
          </cell>
          <cell r="Z108">
            <v>2</v>
          </cell>
          <cell r="AA108">
            <v>0</v>
          </cell>
          <cell r="AC108" t="str">
            <v>Missing</v>
          </cell>
          <cell r="AD108">
            <v>1.66336510224894</v>
          </cell>
          <cell r="AE108">
            <v>34.944000000000003</v>
          </cell>
          <cell r="AF108">
            <v>3802000000</v>
          </cell>
          <cell r="AG108">
            <v>0</v>
          </cell>
          <cell r="AH108">
            <v>0</v>
          </cell>
          <cell r="AI108">
            <v>5</v>
          </cell>
          <cell r="AJ108">
            <v>4.0999999999999996</v>
          </cell>
          <cell r="AK108">
            <v>0.94</v>
          </cell>
          <cell r="AL108">
            <v>35.564999999999998</v>
          </cell>
          <cell r="AM108">
            <v>2.16</v>
          </cell>
          <cell r="AN108">
            <v>0</v>
          </cell>
        </row>
        <row r="109">
          <cell r="B109" t="str">
            <v>GBR</v>
          </cell>
          <cell r="C109">
            <v>0</v>
          </cell>
          <cell r="D109">
            <v>0.67</v>
          </cell>
          <cell r="E109">
            <v>50.65</v>
          </cell>
          <cell r="F109">
            <v>34.51</v>
          </cell>
          <cell r="G109">
            <v>216.5</v>
          </cell>
          <cell r="H109">
            <v>78.629629629629605</v>
          </cell>
          <cell r="I109" t="str">
            <v>Proposed coal pipeline; Operating coal capacity = 0 MW</v>
          </cell>
          <cell r="J109" t="str">
            <v>Coal capacity under construction; Operating coal capacity = 0 MW</v>
          </cell>
          <cell r="K109">
            <v>-0.26371428571428573</v>
          </cell>
          <cell r="L109">
            <v>2.344285714285713</v>
          </cell>
          <cell r="M109">
            <v>-8.3542857142857176</v>
          </cell>
          <cell r="N109">
            <v>100</v>
          </cell>
          <cell r="O109" t="str">
            <v/>
          </cell>
          <cell r="P109">
            <v>70.3</v>
          </cell>
          <cell r="Q109">
            <v>74.38</v>
          </cell>
          <cell r="R109">
            <v>78.7</v>
          </cell>
          <cell r="S109">
            <v>78.819999999999993</v>
          </cell>
          <cell r="T109">
            <v>78.41</v>
          </cell>
          <cell r="U109">
            <v>9</v>
          </cell>
          <cell r="V109">
            <v>108606</v>
          </cell>
          <cell r="W109">
            <v>14027</v>
          </cell>
          <cell r="X109">
            <v>20</v>
          </cell>
          <cell r="Y109">
            <v>25</v>
          </cell>
          <cell r="Z109">
            <v>0</v>
          </cell>
          <cell r="AA109">
            <v>0</v>
          </cell>
          <cell r="AC109">
            <v>112.66183218758907</v>
          </cell>
          <cell r="AD109">
            <v>3.2715729463592012</v>
          </cell>
          <cell r="AE109">
            <v>99.900999999999996</v>
          </cell>
          <cell r="AF109">
            <v>0</v>
          </cell>
          <cell r="AG109">
            <v>0</v>
          </cell>
          <cell r="AH109">
            <v>4.4112932757406744</v>
          </cell>
          <cell r="AI109">
            <v>4</v>
          </cell>
          <cell r="AJ109">
            <v>93.6</v>
          </cell>
          <cell r="AK109">
            <v>0.94599999999999995</v>
          </cell>
          <cell r="AL109">
            <v>93.949999999999989</v>
          </cell>
          <cell r="AM109">
            <v>4.3609999999999998</v>
          </cell>
          <cell r="AN109">
            <v>0</v>
          </cell>
        </row>
        <row r="110">
          <cell r="B110" t="str">
            <v>USA</v>
          </cell>
          <cell r="C110">
            <v>187215.6</v>
          </cell>
          <cell r="D110">
            <v>14.85</v>
          </cell>
          <cell r="E110">
            <v>24.07</v>
          </cell>
          <cell r="F110">
            <v>17.21</v>
          </cell>
          <cell r="G110">
            <v>383.78</v>
          </cell>
          <cell r="H110">
            <v>74.796296296296205</v>
          </cell>
          <cell r="I110">
            <v>1.1751157489012667E-2</v>
          </cell>
          <cell r="J110">
            <v>0</v>
          </cell>
          <cell r="K110">
            <v>-1.5371428571428574</v>
          </cell>
          <cell r="L110">
            <v>1.0728571428571427</v>
          </cell>
          <cell r="M110">
            <v>-9.9502857142857195</v>
          </cell>
          <cell r="N110">
            <v>0</v>
          </cell>
          <cell r="O110">
            <v>75</v>
          </cell>
          <cell r="P110">
            <v>64.27</v>
          </cell>
          <cell r="Q110">
            <v>77.78</v>
          </cell>
          <cell r="R110">
            <v>76.19</v>
          </cell>
          <cell r="S110">
            <v>73.52</v>
          </cell>
          <cell r="T110">
            <v>69.86</v>
          </cell>
          <cell r="U110">
            <v>1640</v>
          </cell>
          <cell r="V110">
            <v>503987087</v>
          </cell>
          <cell r="W110">
            <v>342523049</v>
          </cell>
          <cell r="X110">
            <v>0</v>
          </cell>
          <cell r="Y110">
            <v>25</v>
          </cell>
          <cell r="Z110">
            <v>0</v>
          </cell>
          <cell r="AA110">
            <v>0</v>
          </cell>
          <cell r="AC110">
            <v>201.21830587606436</v>
          </cell>
          <cell r="AD110">
            <v>2.949525204852073</v>
          </cell>
          <cell r="AE110">
            <v>122.27</v>
          </cell>
          <cell r="AF110">
            <v>0</v>
          </cell>
          <cell r="AG110">
            <v>0</v>
          </cell>
          <cell r="AH110">
            <v>0</v>
          </cell>
          <cell r="AI110">
            <v>4</v>
          </cell>
          <cell r="AJ110">
            <v>78.8</v>
          </cell>
          <cell r="AK110">
            <v>0.93799999999999994</v>
          </cell>
          <cell r="AL110">
            <v>84.05</v>
          </cell>
          <cell r="AM110">
            <v>4.0220000000000002</v>
          </cell>
          <cell r="AN110">
            <v>550.45442989333822</v>
          </cell>
        </row>
        <row r="111">
          <cell r="B111" t="str">
            <v>UZB</v>
          </cell>
          <cell r="C111">
            <v>2386</v>
          </cell>
          <cell r="D111">
            <v>6.99</v>
          </cell>
          <cell r="E111">
            <v>15.95</v>
          </cell>
          <cell r="F111">
            <v>5.89</v>
          </cell>
          <cell r="G111">
            <v>1040.1199999999999</v>
          </cell>
          <cell r="H111">
            <v>16.208994708994702</v>
          </cell>
          <cell r="I111">
            <v>0</v>
          </cell>
          <cell r="J111">
            <v>0</v>
          </cell>
          <cell r="K111">
            <v>0.12200000000000001</v>
          </cell>
          <cell r="L111">
            <v>1.089142857142857</v>
          </cell>
          <cell r="M111">
            <v>-15.209142857142869</v>
          </cell>
          <cell r="N111">
            <v>0</v>
          </cell>
          <cell r="O111">
            <v>0</v>
          </cell>
          <cell r="P111">
            <v>65.44</v>
          </cell>
          <cell r="Q111">
            <v>48.55</v>
          </cell>
          <cell r="R111">
            <v>46.56</v>
          </cell>
          <cell r="S111">
            <v>45.67</v>
          </cell>
          <cell r="T111">
            <v>32.590000000000003</v>
          </cell>
          <cell r="U111">
            <v>4</v>
          </cell>
          <cell r="V111">
            <v>0</v>
          </cell>
          <cell r="W111">
            <v>0</v>
          </cell>
          <cell r="X111">
            <v>80</v>
          </cell>
          <cell r="Y111">
            <v>75</v>
          </cell>
          <cell r="Z111">
            <v>2</v>
          </cell>
          <cell r="AA111">
            <v>0</v>
          </cell>
          <cell r="AC111">
            <v>33.199435536673178</v>
          </cell>
          <cell r="AD111">
            <v>9.6282546595668155</v>
          </cell>
          <cell r="AE111">
            <v>30.936</v>
          </cell>
          <cell r="AF111">
            <v>6962110000</v>
          </cell>
          <cell r="AG111">
            <v>20</v>
          </cell>
          <cell r="AH111">
            <v>7.1782913914488127</v>
          </cell>
          <cell r="AI111" t="str">
            <v>Missing</v>
          </cell>
          <cell r="AJ111">
            <v>56</v>
          </cell>
          <cell r="AK111">
            <v>0.74</v>
          </cell>
          <cell r="AL111">
            <v>62.3</v>
          </cell>
          <cell r="AM111">
            <v>4.4390000000000001</v>
          </cell>
          <cell r="AN111">
            <v>65.61820725392505</v>
          </cell>
        </row>
        <row r="112">
          <cell r="B112" t="str">
            <v>VEN</v>
          </cell>
          <cell r="C112">
            <v>0</v>
          </cell>
          <cell r="D112">
            <v>0</v>
          </cell>
          <cell r="E112">
            <v>91.13</v>
          </cell>
          <cell r="F112">
            <v>0.03</v>
          </cell>
          <cell r="G112">
            <v>85.86</v>
          </cell>
          <cell r="H112">
            <v>10.634920634920601</v>
          </cell>
          <cell r="I112" t="str">
            <v>Proposed coal pipeline; Operating coal capacity = 0 MW</v>
          </cell>
          <cell r="J112" t="str">
            <v>Coal capacity under construction; Operating coal capacity = 0 MW</v>
          </cell>
          <cell r="K112">
            <v>0</v>
          </cell>
          <cell r="L112">
            <v>5.7397142857142853</v>
          </cell>
          <cell r="M112">
            <v>-41.33971428571428</v>
          </cell>
          <cell r="N112">
            <v>0</v>
          </cell>
          <cell r="O112" t="str">
            <v/>
          </cell>
          <cell r="P112">
            <v>36.17</v>
          </cell>
          <cell r="Q112">
            <v>22.83</v>
          </cell>
          <cell r="R112">
            <v>24.85</v>
          </cell>
          <cell r="S112">
            <v>19.03</v>
          </cell>
          <cell r="T112">
            <v>15.73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C112" t="str">
            <v>Missing</v>
          </cell>
          <cell r="AD112" t="str">
            <v>Missing</v>
          </cell>
          <cell r="AE112">
            <v>169.13300000000001</v>
          </cell>
          <cell r="AF112">
            <v>0</v>
          </cell>
          <cell r="AG112">
            <v>0</v>
          </cell>
          <cell r="AH112" t="str">
            <v>Missing</v>
          </cell>
          <cell r="AI112">
            <v>5</v>
          </cell>
          <cell r="AJ112">
            <v>30.8</v>
          </cell>
          <cell r="AK112">
            <v>0.70899999999999996</v>
          </cell>
          <cell r="AL112">
            <v>44.834999999999994</v>
          </cell>
          <cell r="AM112">
            <v>5.3209999999999997</v>
          </cell>
          <cell r="AN112">
            <v>0</v>
          </cell>
        </row>
        <row r="113">
          <cell r="B113" t="str">
            <v>VNM</v>
          </cell>
          <cell r="C113">
            <v>27719</v>
          </cell>
          <cell r="D113">
            <v>50.32</v>
          </cell>
          <cell r="E113">
            <v>42.28</v>
          </cell>
          <cell r="F113">
            <v>12.72</v>
          </cell>
          <cell r="G113">
            <v>484.32</v>
          </cell>
          <cell r="H113">
            <v>39.851851851851798</v>
          </cell>
          <cell r="I113">
            <v>0.23305314044518199</v>
          </cell>
          <cell r="J113">
            <v>0.12168548648941159</v>
          </cell>
          <cell r="K113">
            <v>-0.54942857142857138</v>
          </cell>
          <cell r="L113">
            <v>2.5862857142857147</v>
          </cell>
          <cell r="M113">
            <v>-16.446285714285718</v>
          </cell>
          <cell r="N113">
            <v>100</v>
          </cell>
          <cell r="O113">
            <v>50</v>
          </cell>
          <cell r="P113">
            <v>65.989999999999995</v>
          </cell>
          <cell r="Q113">
            <v>49.55</v>
          </cell>
          <cell r="R113">
            <v>50.65</v>
          </cell>
          <cell r="S113">
            <v>51.56</v>
          </cell>
          <cell r="T113">
            <v>42.76</v>
          </cell>
          <cell r="U113">
            <v>130</v>
          </cell>
          <cell r="V113">
            <v>25677059</v>
          </cell>
          <cell r="W113">
            <v>7036976</v>
          </cell>
          <cell r="X113">
            <v>80</v>
          </cell>
          <cell r="Y113">
            <v>50</v>
          </cell>
          <cell r="Z113">
            <v>3</v>
          </cell>
          <cell r="AA113">
            <v>0</v>
          </cell>
          <cell r="AC113" t="str">
            <v>Missing</v>
          </cell>
          <cell r="AD113">
            <v>3.6210927388584349</v>
          </cell>
          <cell r="AE113">
            <v>31.163</v>
          </cell>
          <cell r="AF113">
            <v>10436970000</v>
          </cell>
          <cell r="AG113">
            <v>35</v>
          </cell>
          <cell r="AH113">
            <v>1.0283126272157181</v>
          </cell>
          <cell r="AI113">
            <v>4</v>
          </cell>
          <cell r="AJ113">
            <v>38.299999999999997</v>
          </cell>
          <cell r="AK113">
            <v>0.76600000000000001</v>
          </cell>
          <cell r="AL113">
            <v>51.704999999999998</v>
          </cell>
          <cell r="AM113">
            <v>1.6020000000000001</v>
          </cell>
          <cell r="AN113">
            <v>274.47900925267265</v>
          </cell>
        </row>
        <row r="114">
          <cell r="B114" t="str">
            <v>ZMB</v>
          </cell>
          <cell r="C114">
            <v>330</v>
          </cell>
          <cell r="D114">
            <v>10.8</v>
          </cell>
          <cell r="E114">
            <v>87.48</v>
          </cell>
          <cell r="F114">
            <v>0.86</v>
          </cell>
          <cell r="G114">
            <v>119.68</v>
          </cell>
          <cell r="H114">
            <v>22.383597883597801</v>
          </cell>
          <cell r="I114">
            <v>9.3636363636363633</v>
          </cell>
          <cell r="J114">
            <v>0.90909090909090906</v>
          </cell>
          <cell r="K114">
            <v>-8.7999999999999856E-2</v>
          </cell>
          <cell r="L114">
            <v>0.61714285714285744</v>
          </cell>
          <cell r="M114">
            <v>-4.0677142857142856</v>
          </cell>
          <cell r="N114">
            <v>0</v>
          </cell>
          <cell r="O114">
            <v>0</v>
          </cell>
          <cell r="P114">
            <v>64.17</v>
          </cell>
          <cell r="Q114">
            <v>40.98</v>
          </cell>
          <cell r="R114">
            <v>48.23</v>
          </cell>
          <cell r="S114">
            <v>47.31</v>
          </cell>
          <cell r="T114">
            <v>38.61</v>
          </cell>
          <cell r="U114">
            <v>75</v>
          </cell>
          <cell r="V114">
            <v>20685041</v>
          </cell>
          <cell r="W114">
            <v>10451521</v>
          </cell>
          <cell r="X114">
            <v>60</v>
          </cell>
          <cell r="Y114">
            <v>50</v>
          </cell>
          <cell r="Z114">
            <v>4</v>
          </cell>
          <cell r="AA114">
            <v>0</v>
          </cell>
          <cell r="AC114">
            <v>17.007379972257226</v>
          </cell>
          <cell r="AD114">
            <v>14.9856262747939</v>
          </cell>
          <cell r="AE114">
            <v>125.203</v>
          </cell>
          <cell r="AF114">
            <v>440200000</v>
          </cell>
          <cell r="AG114">
            <v>3</v>
          </cell>
          <cell r="AH114">
            <v>20.845320792040017</v>
          </cell>
          <cell r="AI114">
            <v>4</v>
          </cell>
          <cell r="AJ114">
            <v>30.3</v>
          </cell>
          <cell r="AK114">
            <v>0.59499999999999997</v>
          </cell>
          <cell r="AL114">
            <v>40.519999999999996</v>
          </cell>
          <cell r="AM114">
            <v>5.8979999999999997</v>
          </cell>
          <cell r="AN114">
            <v>15.482086850191012</v>
          </cell>
        </row>
        <row r="115">
          <cell r="B115" t="str">
            <v>ZWE</v>
          </cell>
          <cell r="C115">
            <v>1770</v>
          </cell>
          <cell r="D115">
            <v>42.88</v>
          </cell>
          <cell r="E115">
            <v>57.12</v>
          </cell>
          <cell r="F115">
            <v>0.39</v>
          </cell>
          <cell r="G115">
            <v>384.02</v>
          </cell>
          <cell r="H115">
            <v>32.809523809523803</v>
          </cell>
          <cell r="I115">
            <v>5.4350282485875709</v>
          </cell>
          <cell r="J115">
            <v>0.28531073446327682</v>
          </cell>
          <cell r="K115">
            <v>-0.34285714285714186</v>
          </cell>
          <cell r="L115">
            <v>0.4779999999999997</v>
          </cell>
          <cell r="M115">
            <v>-3.8360000000000012</v>
          </cell>
          <cell r="N115">
            <v>0</v>
          </cell>
          <cell r="O115">
            <v>0</v>
          </cell>
          <cell r="P115">
            <v>48.52</v>
          </cell>
          <cell r="Q115">
            <v>32.14</v>
          </cell>
          <cell r="R115">
            <v>36.28</v>
          </cell>
          <cell r="S115">
            <v>36.119999999999997</v>
          </cell>
          <cell r="T115">
            <v>22.52</v>
          </cell>
          <cell r="U115">
            <v>26</v>
          </cell>
          <cell r="V115">
            <v>31293689</v>
          </cell>
          <cell r="W115">
            <v>22490323</v>
          </cell>
          <cell r="X115">
            <v>80</v>
          </cell>
          <cell r="Y115">
            <v>75</v>
          </cell>
          <cell r="Z115">
            <v>0</v>
          </cell>
          <cell r="AA115">
            <v>0</v>
          </cell>
          <cell r="AC115" t="str">
            <v>Missing</v>
          </cell>
          <cell r="AD115" t="str">
            <v>Missing</v>
          </cell>
          <cell r="AE115">
            <v>70.38</v>
          </cell>
          <cell r="AF115">
            <v>294500000</v>
          </cell>
          <cell r="AG115">
            <v>3</v>
          </cell>
          <cell r="AH115" t="str">
            <v>Missing</v>
          </cell>
          <cell r="AI115">
            <v>5</v>
          </cell>
          <cell r="AJ115">
            <v>16.399999999999999</v>
          </cell>
          <cell r="AK115">
            <v>0.59799999999999998</v>
          </cell>
          <cell r="AL115">
            <v>31.589999999999996</v>
          </cell>
          <cell r="AM115">
            <v>9.4350000000000005</v>
          </cell>
          <cell r="AN115">
            <v>106.40617473228477</v>
          </cell>
        </row>
        <row r="116"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C116"/>
          <cell r="AD116"/>
          <cell r="AE116"/>
          <cell r="AF116"/>
          <cell r="AG116"/>
          <cell r="AH116"/>
          <cell r="AI116"/>
          <cell r="AJ116"/>
          <cell r="AL116"/>
          <cell r="AM116"/>
          <cell r="AN116"/>
        </row>
      </sheetData>
      <sheetData sheetId="1"/>
      <sheetData sheetId="2"/>
      <sheetData sheetId="3"/>
      <sheetData sheetId="4"/>
      <sheetData sheetId="5"/>
      <sheetData sheetId="6">
        <row r="2">
          <cell r="B2" t="str">
            <v>AFG</v>
          </cell>
          <cell r="C2">
            <v>0</v>
          </cell>
          <cell r="F2">
            <v>0</v>
          </cell>
        </row>
        <row r="3">
          <cell r="B3" t="str">
            <v>ALB</v>
          </cell>
          <cell r="C3">
            <v>0</v>
          </cell>
          <cell r="F3">
            <v>0</v>
          </cell>
        </row>
        <row r="4">
          <cell r="B4" t="str">
            <v>ARG</v>
          </cell>
          <cell r="C4">
            <v>525</v>
          </cell>
          <cell r="F4">
            <v>6.3629721920000009</v>
          </cell>
        </row>
        <row r="5">
          <cell r="B5" t="str">
            <v>AUS</v>
          </cell>
          <cell r="C5">
            <v>22629</v>
          </cell>
          <cell r="F5">
            <v>1439.6275699960001</v>
          </cell>
        </row>
        <row r="6">
          <cell r="B6" t="str">
            <v>AUT</v>
          </cell>
          <cell r="C6">
            <v>0</v>
          </cell>
          <cell r="F6">
            <v>0</v>
          </cell>
        </row>
        <row r="7">
          <cell r="B7" t="str">
            <v>BGD</v>
          </cell>
          <cell r="C7">
            <v>7230</v>
          </cell>
          <cell r="F7">
            <v>597.91774692499996</v>
          </cell>
        </row>
        <row r="8">
          <cell r="B8" t="str">
            <v>BLR</v>
          </cell>
          <cell r="C8">
            <v>0</v>
          </cell>
          <cell r="F8">
            <v>0</v>
          </cell>
        </row>
        <row r="9">
          <cell r="B9" t="str">
            <v>BEL</v>
          </cell>
          <cell r="C9">
            <v>0</v>
          </cell>
          <cell r="F9">
            <v>0</v>
          </cell>
        </row>
        <row r="10">
          <cell r="B10" t="str">
            <v>BIH</v>
          </cell>
          <cell r="C10">
            <v>1990</v>
          </cell>
          <cell r="F10">
            <v>70.511284266999994</v>
          </cell>
        </row>
        <row r="11">
          <cell r="B11" t="str">
            <v>BWA</v>
          </cell>
          <cell r="C11">
            <v>732</v>
          </cell>
          <cell r="F11">
            <v>55.528054187999999</v>
          </cell>
        </row>
        <row r="12">
          <cell r="B12" t="str">
            <v>BRA</v>
          </cell>
          <cell r="C12">
            <v>2997</v>
          </cell>
          <cell r="F12">
            <v>217.351523192</v>
          </cell>
        </row>
        <row r="13">
          <cell r="B13" t="str">
            <v>BRN</v>
          </cell>
          <cell r="C13">
            <v>220</v>
          </cell>
          <cell r="F13">
            <v>36.865115039999999</v>
          </cell>
        </row>
        <row r="14">
          <cell r="B14" t="str">
            <v>BGR</v>
          </cell>
          <cell r="C14">
            <v>4115</v>
          </cell>
          <cell r="F14">
            <v>76.466190517000001</v>
          </cell>
        </row>
        <row r="15">
          <cell r="B15" t="str">
            <v>KHM</v>
          </cell>
          <cell r="C15">
            <v>1455</v>
          </cell>
          <cell r="F15">
            <v>260.12776960799999</v>
          </cell>
        </row>
        <row r="16">
          <cell r="B16" t="str">
            <v>CAN</v>
          </cell>
          <cell r="C16">
            <v>3080</v>
          </cell>
          <cell r="F16">
            <v>100.155606952</v>
          </cell>
        </row>
        <row r="17">
          <cell r="B17" t="str">
            <v>CHL</v>
          </cell>
          <cell r="C17">
            <v>3117</v>
          </cell>
          <cell r="F17">
            <v>133.145668419</v>
          </cell>
        </row>
        <row r="18">
          <cell r="B18" t="str">
            <v>CHN</v>
          </cell>
          <cell r="C18">
            <v>1239019</v>
          </cell>
          <cell r="F18">
            <v>120222.65597211944</v>
          </cell>
        </row>
        <row r="19">
          <cell r="B19" t="str">
            <v>COL</v>
          </cell>
          <cell r="C19">
            <v>1613</v>
          </cell>
          <cell r="F19">
            <v>132.06547193999995</v>
          </cell>
        </row>
        <row r="20">
          <cell r="B20" t="str">
            <v>HRV</v>
          </cell>
          <cell r="C20">
            <v>217</v>
          </cell>
          <cell r="F20">
            <v>5.5476376070000004</v>
          </cell>
        </row>
        <row r="21">
          <cell r="B21" t="str">
            <v>CZE</v>
          </cell>
          <cell r="C21">
            <v>6803</v>
          </cell>
          <cell r="F21">
            <v>252.83649548300008</v>
          </cell>
        </row>
        <row r="22">
          <cell r="B22" t="str">
            <v>CIV</v>
          </cell>
          <cell r="C22">
            <v>0</v>
          </cell>
          <cell r="F22">
            <v>0</v>
          </cell>
        </row>
        <row r="23">
          <cell r="B23" t="str">
            <v>COD</v>
          </cell>
          <cell r="C23">
            <v>0</v>
          </cell>
          <cell r="F23">
            <v>0</v>
          </cell>
        </row>
        <row r="24">
          <cell r="B24" t="str">
            <v>DNK</v>
          </cell>
          <cell r="C24">
            <v>411</v>
          </cell>
          <cell r="F24">
            <v>2.8983241569999998</v>
          </cell>
        </row>
        <row r="25">
          <cell r="B25" t="str">
            <v>DJI</v>
          </cell>
          <cell r="C25">
            <v>0</v>
          </cell>
          <cell r="F25">
            <v>0</v>
          </cell>
        </row>
        <row r="26">
          <cell r="B26" t="str">
            <v>DOM</v>
          </cell>
          <cell r="C26">
            <v>1064</v>
          </cell>
          <cell r="F26">
            <v>122.609094631</v>
          </cell>
        </row>
        <row r="27">
          <cell r="B27" t="str">
            <v>EGY</v>
          </cell>
          <cell r="C27">
            <v>0</v>
          </cell>
          <cell r="F27">
            <v>0</v>
          </cell>
        </row>
        <row r="28">
          <cell r="B28" t="str">
            <v>SLV</v>
          </cell>
          <cell r="C28">
            <v>0</v>
          </cell>
          <cell r="F28">
            <v>0</v>
          </cell>
        </row>
        <row r="29">
          <cell r="B29" t="str">
            <v>SWZ</v>
          </cell>
          <cell r="C29">
            <v>0</v>
          </cell>
          <cell r="F29">
            <v>0</v>
          </cell>
        </row>
        <row r="30">
          <cell r="B30" t="str">
            <v>ETH</v>
          </cell>
          <cell r="C30">
            <v>0</v>
          </cell>
          <cell r="F30">
            <v>0</v>
          </cell>
        </row>
        <row r="31">
          <cell r="B31" t="str">
            <v>FIN</v>
          </cell>
          <cell r="C31">
            <v>903</v>
          </cell>
          <cell r="F31">
            <v>0.37676000399999998</v>
          </cell>
        </row>
        <row r="32">
          <cell r="B32" t="str">
            <v>FRA</v>
          </cell>
          <cell r="C32">
            <v>1907</v>
          </cell>
          <cell r="F32">
            <v>3.7106972369999998</v>
          </cell>
        </row>
        <row r="33">
          <cell r="B33" t="str">
            <v>GEO</v>
          </cell>
          <cell r="C33">
            <v>0</v>
          </cell>
          <cell r="F33">
            <v>0</v>
          </cell>
        </row>
        <row r="34">
          <cell r="B34" t="str">
            <v>DEU</v>
          </cell>
          <cell r="C34">
            <v>28323</v>
          </cell>
          <cell r="F34">
            <v>797.89156861199967</v>
          </cell>
        </row>
        <row r="35">
          <cell r="B35" t="str">
            <v>GHA</v>
          </cell>
          <cell r="C35">
            <v>0</v>
          </cell>
          <cell r="F35">
            <v>0</v>
          </cell>
        </row>
        <row r="36">
          <cell r="B36" t="str">
            <v>GRC</v>
          </cell>
          <cell r="C36">
            <v>1655</v>
          </cell>
          <cell r="F36">
            <v>2.9873073730000002</v>
          </cell>
        </row>
        <row r="37">
          <cell r="B37" t="str">
            <v>GLP</v>
          </cell>
          <cell r="C37">
            <v>0</v>
          </cell>
          <cell r="F37">
            <v>0</v>
          </cell>
        </row>
        <row r="38">
          <cell r="B38" t="str">
            <v>GTM</v>
          </cell>
          <cell r="C38">
            <v>439</v>
          </cell>
          <cell r="F38">
            <v>53.334686032999997</v>
          </cell>
        </row>
        <row r="39">
          <cell r="B39" t="str">
            <v>GIN</v>
          </cell>
          <cell r="C39">
            <v>0</v>
          </cell>
          <cell r="F39">
            <v>0</v>
          </cell>
        </row>
        <row r="40">
          <cell r="B40" t="str">
            <v>HND</v>
          </cell>
          <cell r="C40">
            <v>0</v>
          </cell>
          <cell r="F40">
            <v>0</v>
          </cell>
        </row>
        <row r="41">
          <cell r="B41" t="str">
            <v>HKG</v>
          </cell>
          <cell r="C41">
            <v>4112</v>
          </cell>
          <cell r="F41">
            <v>98.836744549999992</v>
          </cell>
        </row>
        <row r="42">
          <cell r="B42" t="str">
            <v>HUN</v>
          </cell>
          <cell r="C42">
            <v>884</v>
          </cell>
          <cell r="F42">
            <v>6.6640700080000004</v>
          </cell>
        </row>
        <row r="43">
          <cell r="B43" t="str">
            <v>IND</v>
          </cell>
          <cell r="C43">
            <v>249881</v>
          </cell>
          <cell r="F43">
            <v>30612.416334685971</v>
          </cell>
        </row>
        <row r="44">
          <cell r="B44" t="str">
            <v>IDN</v>
          </cell>
          <cell r="C44">
            <v>60705</v>
          </cell>
          <cell r="F44">
            <v>8199.9204164090024</v>
          </cell>
        </row>
        <row r="45">
          <cell r="B45" t="str">
            <v>IRN</v>
          </cell>
          <cell r="C45">
            <v>0</v>
          </cell>
          <cell r="F45">
            <v>0</v>
          </cell>
        </row>
        <row r="46">
          <cell r="B46" t="str">
            <v>IRL</v>
          </cell>
          <cell r="C46">
            <v>0</v>
          </cell>
          <cell r="F46">
            <v>0</v>
          </cell>
        </row>
        <row r="47">
          <cell r="B47" t="str">
            <v>ISR</v>
          </cell>
          <cell r="C47">
            <v>4325</v>
          </cell>
          <cell r="F47">
            <v>14.573467167</v>
          </cell>
        </row>
        <row r="48">
          <cell r="B48" t="str">
            <v>ITA</v>
          </cell>
          <cell r="C48">
            <v>1230</v>
          </cell>
          <cell r="F48">
            <v>2.0945162389999998</v>
          </cell>
        </row>
        <row r="49">
          <cell r="B49" t="str">
            <v>JAM</v>
          </cell>
          <cell r="C49">
            <v>0</v>
          </cell>
          <cell r="F49">
            <v>0</v>
          </cell>
        </row>
        <row r="50">
          <cell r="B50" t="str">
            <v>JPN</v>
          </cell>
          <cell r="C50">
            <v>53000</v>
          </cell>
          <cell r="F50">
            <v>4077.5517644779998</v>
          </cell>
        </row>
        <row r="51">
          <cell r="B51" t="str">
            <v>KAZ</v>
          </cell>
          <cell r="C51">
            <v>13251</v>
          </cell>
          <cell r="F51">
            <v>522.58517739700028</v>
          </cell>
        </row>
        <row r="52">
          <cell r="B52" t="str">
            <v>KEN</v>
          </cell>
          <cell r="C52">
            <v>0</v>
          </cell>
          <cell r="F52">
            <v>0</v>
          </cell>
        </row>
        <row r="53">
          <cell r="B53" t="str">
            <v>XKX</v>
          </cell>
          <cell r="C53">
            <v>1325</v>
          </cell>
          <cell r="F53">
            <v>27.713133894000002</v>
          </cell>
        </row>
        <row r="54">
          <cell r="B54" t="str">
            <v>KGZ</v>
          </cell>
          <cell r="C54">
            <v>813</v>
          </cell>
          <cell r="F54">
            <v>13.589382368999999</v>
          </cell>
        </row>
        <row r="55">
          <cell r="B55" t="str">
            <v>LAO</v>
          </cell>
          <cell r="C55">
            <v>1878</v>
          </cell>
          <cell r="F55">
            <v>226.54858357000001</v>
          </cell>
        </row>
        <row r="56">
          <cell r="B56" t="str">
            <v>LVA</v>
          </cell>
          <cell r="C56">
            <v>0</v>
          </cell>
          <cell r="F56">
            <v>0</v>
          </cell>
        </row>
        <row r="57">
          <cell r="B57" t="str">
            <v>MDG</v>
          </cell>
          <cell r="C57">
            <v>120</v>
          </cell>
          <cell r="F57">
            <v>12.407414658</v>
          </cell>
        </row>
        <row r="58">
          <cell r="B58" t="str">
            <v>MWI</v>
          </cell>
          <cell r="C58">
            <v>0</v>
          </cell>
          <cell r="F58">
            <v>0</v>
          </cell>
        </row>
        <row r="59">
          <cell r="B59" t="str">
            <v>MYS</v>
          </cell>
          <cell r="C59">
            <v>13280</v>
          </cell>
          <cell r="F59">
            <v>659.12066296599983</v>
          </cell>
        </row>
        <row r="60">
          <cell r="B60" t="str">
            <v>MUS</v>
          </cell>
          <cell r="C60">
            <v>195</v>
          </cell>
          <cell r="F60">
            <v>18.322818325</v>
          </cell>
        </row>
        <row r="61">
          <cell r="B61" t="str">
            <v>MEX</v>
          </cell>
          <cell r="C61">
            <v>5378</v>
          </cell>
          <cell r="F61">
            <v>79.367261968999983</v>
          </cell>
        </row>
        <row r="62">
          <cell r="B62" t="str">
            <v>MDA</v>
          </cell>
          <cell r="C62">
            <v>0</v>
          </cell>
          <cell r="F62">
            <v>0</v>
          </cell>
        </row>
        <row r="63">
          <cell r="B63" t="str">
            <v>MNG</v>
          </cell>
          <cell r="C63">
            <v>1295</v>
          </cell>
          <cell r="F63">
            <v>142.47261987900004</v>
          </cell>
        </row>
        <row r="64">
          <cell r="B64" t="str">
            <v>MNE</v>
          </cell>
          <cell r="C64">
            <v>225</v>
          </cell>
          <cell r="F64">
            <v>13.56937332</v>
          </cell>
        </row>
        <row r="65">
          <cell r="B65" t="str">
            <v>MAR</v>
          </cell>
          <cell r="C65">
            <v>4092</v>
          </cell>
          <cell r="F65">
            <v>349.53078199499998</v>
          </cell>
        </row>
        <row r="66">
          <cell r="B66" t="str">
            <v>MOZ</v>
          </cell>
          <cell r="C66">
            <v>0</v>
          </cell>
          <cell r="F66">
            <v>0</v>
          </cell>
        </row>
        <row r="67">
          <cell r="B67" t="str">
            <v>MMR</v>
          </cell>
          <cell r="C67">
            <v>150</v>
          </cell>
          <cell r="F67">
            <v>14.593113333</v>
          </cell>
        </row>
        <row r="68">
          <cell r="B68" t="str">
            <v>NAM</v>
          </cell>
          <cell r="C68">
            <v>120</v>
          </cell>
          <cell r="F68">
            <v>3.9717288000000003E-2</v>
          </cell>
        </row>
        <row r="69">
          <cell r="B69" t="str">
            <v>NLD</v>
          </cell>
          <cell r="C69">
            <v>3500</v>
          </cell>
          <cell r="F69">
            <v>33.542374725999998</v>
          </cell>
        </row>
        <row r="70">
          <cell r="B70" t="str">
            <v>NCL</v>
          </cell>
          <cell r="C70">
            <v>370</v>
          </cell>
          <cell r="F70">
            <v>21.241718968000001</v>
          </cell>
        </row>
        <row r="71">
          <cell r="B71" t="str">
            <v>NZL</v>
          </cell>
          <cell r="C71">
            <v>750</v>
          </cell>
          <cell r="F71">
            <v>21.014090478</v>
          </cell>
        </row>
        <row r="72">
          <cell r="B72" t="str">
            <v>NER</v>
          </cell>
          <cell r="C72">
            <v>30</v>
          </cell>
          <cell r="F72">
            <v>6.1744527649999998</v>
          </cell>
        </row>
        <row r="73">
          <cell r="B73" t="str">
            <v>NGA</v>
          </cell>
          <cell r="C73">
            <v>344</v>
          </cell>
          <cell r="F73">
            <v>45.996688444000007</v>
          </cell>
        </row>
        <row r="74">
          <cell r="B74" t="str">
            <v>PRK</v>
          </cell>
          <cell r="C74">
            <v>3250</v>
          </cell>
          <cell r="F74">
            <v>98.505921050999973</v>
          </cell>
        </row>
        <row r="75">
          <cell r="B75" t="str">
            <v>MKD</v>
          </cell>
          <cell r="C75">
            <v>824</v>
          </cell>
          <cell r="F75">
            <v>15.529393913000002</v>
          </cell>
        </row>
        <row r="76">
          <cell r="B76" t="str">
            <v>OMN</v>
          </cell>
          <cell r="C76">
            <v>0</v>
          </cell>
          <cell r="F76">
            <v>0</v>
          </cell>
        </row>
        <row r="77">
          <cell r="B77" t="str">
            <v>PAK</v>
          </cell>
          <cell r="C77">
            <v>8330</v>
          </cell>
          <cell r="F77">
            <v>668.18929084800004</v>
          </cell>
        </row>
        <row r="78">
          <cell r="B78" t="str">
            <v>PAN</v>
          </cell>
          <cell r="C78">
            <v>153</v>
          </cell>
          <cell r="F78">
            <v>6.6494955830000002</v>
          </cell>
        </row>
        <row r="79">
          <cell r="B79" t="str">
            <v>PNG</v>
          </cell>
          <cell r="C79">
            <v>0</v>
          </cell>
          <cell r="F79">
            <v>0</v>
          </cell>
        </row>
        <row r="80">
          <cell r="B80" t="str">
            <v>PER</v>
          </cell>
          <cell r="C80">
            <v>0</v>
          </cell>
          <cell r="F80">
            <v>0</v>
          </cell>
        </row>
        <row r="81">
          <cell r="B81" t="str">
            <v>PHL</v>
          </cell>
          <cell r="C81">
            <v>12643</v>
          </cell>
          <cell r="F81">
            <v>1678.7175094080003</v>
          </cell>
        </row>
        <row r="82">
          <cell r="B82" t="str">
            <v>POL</v>
          </cell>
          <cell r="C82">
            <v>27263</v>
          </cell>
          <cell r="F82">
            <v>874.40678872299998</v>
          </cell>
        </row>
        <row r="83">
          <cell r="B83" t="str">
            <v>PRT</v>
          </cell>
          <cell r="C83">
            <v>0</v>
          </cell>
          <cell r="F83">
            <v>0</v>
          </cell>
        </row>
        <row r="84">
          <cell r="B84" t="str">
            <v>ROU</v>
          </cell>
          <cell r="C84">
            <v>2200</v>
          </cell>
          <cell r="F84">
            <v>32.311670887999995</v>
          </cell>
        </row>
        <row r="85">
          <cell r="B85" t="str">
            <v>RUS</v>
          </cell>
          <cell r="C85">
            <v>37193</v>
          </cell>
          <cell r="F85">
            <v>2005.9450450580007</v>
          </cell>
        </row>
        <row r="86">
          <cell r="B86" t="str">
            <v>SEN</v>
          </cell>
          <cell r="C86">
            <v>155</v>
          </cell>
          <cell r="F86">
            <v>14.79507909</v>
          </cell>
        </row>
        <row r="87">
          <cell r="B87" t="str">
            <v>SRB</v>
          </cell>
          <cell r="C87">
            <v>4785</v>
          </cell>
          <cell r="F87">
            <v>444.10418674699997</v>
          </cell>
        </row>
        <row r="88">
          <cell r="B88" t="str">
            <v>SVK</v>
          </cell>
          <cell r="C88">
            <v>274</v>
          </cell>
          <cell r="F88">
            <v>4.9852789560000002</v>
          </cell>
        </row>
        <row r="89">
          <cell r="B89" t="str">
            <v>SVN</v>
          </cell>
          <cell r="C89">
            <v>1069</v>
          </cell>
          <cell r="F89">
            <v>4.9199921180000015</v>
          </cell>
        </row>
        <row r="90">
          <cell r="B90" t="str">
            <v>ZAF</v>
          </cell>
          <cell r="C90">
            <v>45025</v>
          </cell>
          <cell r="F90">
            <v>3281.4282709740005</v>
          </cell>
        </row>
        <row r="91">
          <cell r="B91" t="str">
            <v>KOR</v>
          </cell>
          <cell r="C91">
            <v>41745</v>
          </cell>
          <cell r="F91">
            <v>2612.7766412939991</v>
          </cell>
        </row>
        <row r="92">
          <cell r="B92" t="str">
            <v>ESP</v>
          </cell>
          <cell r="C92">
            <v>260</v>
          </cell>
          <cell r="F92">
            <v>2.5133884740000001</v>
          </cell>
        </row>
        <row r="93">
          <cell r="B93" t="str">
            <v>LKA</v>
          </cell>
          <cell r="C93">
            <v>900</v>
          </cell>
          <cell r="F93">
            <v>106.49711164999999</v>
          </cell>
        </row>
        <row r="94">
          <cell r="B94" t="str">
            <v>SDN</v>
          </cell>
          <cell r="C94">
            <v>0</v>
          </cell>
          <cell r="F94">
            <v>0</v>
          </cell>
        </row>
        <row r="95">
          <cell r="B95" t="str">
            <v>SWE</v>
          </cell>
          <cell r="C95">
            <v>0</v>
          </cell>
          <cell r="F95">
            <v>0</v>
          </cell>
        </row>
        <row r="96">
          <cell r="B96" t="str">
            <v>SYR</v>
          </cell>
          <cell r="C96">
            <v>0</v>
          </cell>
          <cell r="F96">
            <v>0</v>
          </cell>
        </row>
        <row r="97">
          <cell r="B97" t="str">
            <v>TWN</v>
          </cell>
          <cell r="C97">
            <v>14999</v>
          </cell>
          <cell r="F97">
            <v>1003.4924716550001</v>
          </cell>
        </row>
        <row r="98">
          <cell r="B98" t="str">
            <v>TJK</v>
          </cell>
          <cell r="C98">
            <v>400</v>
          </cell>
          <cell r="F98">
            <v>42.443245470000001</v>
          </cell>
        </row>
        <row r="99">
          <cell r="B99" t="str">
            <v>TZA</v>
          </cell>
          <cell r="C99">
            <v>0</v>
          </cell>
          <cell r="F99">
            <v>0</v>
          </cell>
        </row>
        <row r="100">
          <cell r="B100" t="str">
            <v>THA</v>
          </cell>
          <cell r="C100">
            <v>5838</v>
          </cell>
          <cell r="F100">
            <v>461.86659905600004</v>
          </cell>
        </row>
        <row r="101">
          <cell r="B101" t="str">
            <v>TUR</v>
          </cell>
          <cell r="C101">
            <v>20474</v>
          </cell>
          <cell r="F101">
            <v>2070.7764374479989</v>
          </cell>
        </row>
        <row r="102">
          <cell r="B102" t="str">
            <v>UKR</v>
          </cell>
          <cell r="C102">
            <v>3640</v>
          </cell>
          <cell r="F102">
            <v>16.041551080999998</v>
          </cell>
        </row>
        <row r="103">
          <cell r="B103" t="str">
            <v>ARE</v>
          </cell>
          <cell r="C103">
            <v>0</v>
          </cell>
          <cell r="F103">
            <v>0</v>
          </cell>
        </row>
        <row r="104">
          <cell r="B104" t="str">
            <v>GBR</v>
          </cell>
          <cell r="C104">
            <v>0</v>
          </cell>
          <cell r="F104">
            <v>0</v>
          </cell>
        </row>
        <row r="105">
          <cell r="B105" t="str">
            <v>USA</v>
          </cell>
          <cell r="C105">
            <v>187222</v>
          </cell>
          <cell r="F105">
            <v>4766.759042878999</v>
          </cell>
        </row>
        <row r="106">
          <cell r="B106" t="str">
            <v>UZB</v>
          </cell>
          <cell r="C106">
            <v>2386</v>
          </cell>
          <cell r="F106">
            <v>42.470943403999989</v>
          </cell>
        </row>
        <row r="107">
          <cell r="B107" t="str">
            <v>VEN</v>
          </cell>
          <cell r="C107">
            <v>0</v>
          </cell>
          <cell r="F107">
            <v>0</v>
          </cell>
        </row>
        <row r="108">
          <cell r="B108" t="str">
            <v>VNM</v>
          </cell>
          <cell r="C108">
            <v>27718</v>
          </cell>
          <cell r="F108">
            <v>3837.4328833279992</v>
          </cell>
        </row>
        <row r="109">
          <cell r="B109" t="str">
            <v>ZMB</v>
          </cell>
          <cell r="C109">
            <v>330</v>
          </cell>
          <cell r="F109">
            <v>43.935390830999999</v>
          </cell>
        </row>
        <row r="110">
          <cell r="B110" t="str">
            <v>ZWE</v>
          </cell>
          <cell r="C110">
            <v>1770</v>
          </cell>
          <cell r="F110">
            <v>48.800463389999997</v>
          </cell>
        </row>
      </sheetData>
      <sheetData sheetId="7"/>
      <sheetData sheetId="8">
        <row r="5">
          <cell r="D5" t="str">
            <v>AFG</v>
          </cell>
          <cell r="J5">
            <v>3.03</v>
          </cell>
        </row>
        <row r="6">
          <cell r="D6" t="str">
            <v>ALB</v>
          </cell>
          <cell r="J6">
            <v>0</v>
          </cell>
        </row>
        <row r="7">
          <cell r="D7" t="str">
            <v>DZA</v>
          </cell>
          <cell r="J7">
            <v>0</v>
          </cell>
        </row>
        <row r="8">
          <cell r="D8" t="str">
            <v>ASM</v>
          </cell>
          <cell r="J8">
            <v>0</v>
          </cell>
        </row>
        <row r="9">
          <cell r="D9" t="str">
            <v>AGO</v>
          </cell>
          <cell r="J9">
            <v>0</v>
          </cell>
        </row>
        <row r="10">
          <cell r="D10" t="str">
            <v>ATG</v>
          </cell>
          <cell r="J10">
            <v>0</v>
          </cell>
        </row>
        <row r="11">
          <cell r="D11" t="str">
            <v>ARG</v>
          </cell>
          <cell r="J11">
            <v>0.86</v>
          </cell>
        </row>
        <row r="12">
          <cell r="D12" t="str">
            <v>ARM</v>
          </cell>
          <cell r="J12">
            <v>0</v>
          </cell>
        </row>
        <row r="13">
          <cell r="D13" t="str">
            <v>ABW</v>
          </cell>
          <cell r="J13">
            <v>0</v>
          </cell>
        </row>
        <row r="14">
          <cell r="D14" t="str">
            <v>AUS</v>
          </cell>
          <cell r="J14">
            <v>45.21</v>
          </cell>
        </row>
        <row r="15">
          <cell r="D15" t="str">
            <v>AUT</v>
          </cell>
          <cell r="J15">
            <v>0</v>
          </cell>
        </row>
        <row r="16">
          <cell r="D16" t="str">
            <v>AZE</v>
          </cell>
          <cell r="J16">
            <v>0</v>
          </cell>
        </row>
        <row r="17">
          <cell r="D17" t="str">
            <v>BHS</v>
          </cell>
          <cell r="J17">
            <v>0</v>
          </cell>
        </row>
        <row r="18">
          <cell r="D18" t="str">
            <v>BHR</v>
          </cell>
          <cell r="J18">
            <v>0</v>
          </cell>
        </row>
        <row r="19">
          <cell r="D19" t="str">
            <v>BGD</v>
          </cell>
          <cell r="J19">
            <v>19.940000000000001</v>
          </cell>
        </row>
        <row r="20">
          <cell r="D20" t="str">
            <v>BRB</v>
          </cell>
          <cell r="J20">
            <v>0</v>
          </cell>
        </row>
        <row r="21">
          <cell r="D21" t="str">
            <v>BLR</v>
          </cell>
          <cell r="J21">
            <v>0.04</v>
          </cell>
        </row>
        <row r="22">
          <cell r="D22" t="str">
            <v>BEL</v>
          </cell>
          <cell r="J22">
            <v>0</v>
          </cell>
        </row>
        <row r="23">
          <cell r="D23" t="str">
            <v>BLZ</v>
          </cell>
          <cell r="J23">
            <v>0</v>
          </cell>
        </row>
        <row r="24">
          <cell r="D24" t="str">
            <v>BEN</v>
          </cell>
          <cell r="J24">
            <v>0</v>
          </cell>
        </row>
        <row r="25">
          <cell r="D25" t="str">
            <v>BMU</v>
          </cell>
          <cell r="J25">
            <v>0</v>
          </cell>
        </row>
        <row r="26">
          <cell r="D26" t="str">
            <v>BTN</v>
          </cell>
          <cell r="J26">
            <v>0</v>
          </cell>
        </row>
        <row r="27">
          <cell r="D27" t="str">
            <v>BOL</v>
          </cell>
          <cell r="J27">
            <v>0</v>
          </cell>
        </row>
        <row r="28">
          <cell r="D28" t="str">
            <v>BIH</v>
          </cell>
          <cell r="J28">
            <v>58.68</v>
          </cell>
        </row>
        <row r="29">
          <cell r="D29" t="str">
            <v>BWA</v>
          </cell>
          <cell r="J29">
            <v>98.25</v>
          </cell>
        </row>
        <row r="30">
          <cell r="D30" t="str">
            <v>BRA</v>
          </cell>
          <cell r="J30">
            <v>2.17</v>
          </cell>
        </row>
        <row r="31">
          <cell r="D31" t="str">
            <v>BRN</v>
          </cell>
          <cell r="J31">
            <v>19.78</v>
          </cell>
        </row>
        <row r="32">
          <cell r="D32" t="str">
            <v>BGR</v>
          </cell>
          <cell r="J32">
            <v>22.87</v>
          </cell>
        </row>
        <row r="33">
          <cell r="D33" t="str">
            <v>BFA</v>
          </cell>
          <cell r="J33">
            <v>0</v>
          </cell>
        </row>
        <row r="34">
          <cell r="D34" t="str">
            <v>BDI</v>
          </cell>
          <cell r="J34">
            <v>0</v>
          </cell>
        </row>
        <row r="35">
          <cell r="D35" t="str">
            <v>CPV</v>
          </cell>
          <cell r="J35">
            <v>0</v>
          </cell>
        </row>
        <row r="36">
          <cell r="D36" t="str">
            <v>KHM</v>
          </cell>
          <cell r="J36">
            <v>60.92</v>
          </cell>
        </row>
        <row r="37">
          <cell r="D37" t="str">
            <v>CMR</v>
          </cell>
          <cell r="J37">
            <v>0</v>
          </cell>
        </row>
        <row r="38">
          <cell r="D38" t="str">
            <v>CAN</v>
          </cell>
          <cell r="J38">
            <v>3.95</v>
          </cell>
        </row>
        <row r="39">
          <cell r="D39" t="str">
            <v>CYM</v>
          </cell>
          <cell r="J39">
            <v>0</v>
          </cell>
        </row>
        <row r="40">
          <cell r="D40" t="str">
            <v>TCD</v>
          </cell>
          <cell r="J40">
            <v>0</v>
          </cell>
        </row>
        <row r="41">
          <cell r="D41" t="str">
            <v>CHL</v>
          </cell>
          <cell r="J41">
            <v>15.3</v>
          </cell>
        </row>
        <row r="42">
          <cell r="D42" t="str">
            <v>CHN</v>
          </cell>
          <cell r="J42">
            <v>57.77</v>
          </cell>
        </row>
        <row r="43">
          <cell r="D43" t="str">
            <v>COL</v>
          </cell>
          <cell r="J43">
            <v>12.58</v>
          </cell>
        </row>
        <row r="44">
          <cell r="D44" t="str">
            <v>COD</v>
          </cell>
          <cell r="J44">
            <v>0</v>
          </cell>
        </row>
        <row r="45">
          <cell r="D45" t="str">
            <v>COG</v>
          </cell>
          <cell r="J45">
            <v>0</v>
          </cell>
        </row>
        <row r="46">
          <cell r="D46" t="str">
            <v>COK</v>
          </cell>
          <cell r="J46">
            <v>0</v>
          </cell>
        </row>
        <row r="47">
          <cell r="D47" t="str">
            <v>CRI</v>
          </cell>
          <cell r="J47">
            <v>0</v>
          </cell>
        </row>
        <row r="48">
          <cell r="D48" t="str">
            <v>CIV</v>
          </cell>
          <cell r="J48">
            <v>0</v>
          </cell>
        </row>
        <row r="49">
          <cell r="D49" t="str">
            <v>HRV</v>
          </cell>
          <cell r="J49">
            <v>5.23</v>
          </cell>
        </row>
        <row r="50">
          <cell r="D50" t="str">
            <v>CUB</v>
          </cell>
          <cell r="J50">
            <v>0</v>
          </cell>
        </row>
        <row r="51">
          <cell r="D51" t="str">
            <v>CYP</v>
          </cell>
          <cell r="J51">
            <v>0</v>
          </cell>
        </row>
        <row r="52">
          <cell r="D52" t="str">
            <v>CZE</v>
          </cell>
          <cell r="J52">
            <v>36.42</v>
          </cell>
        </row>
        <row r="53">
          <cell r="D53" t="str">
            <v>DNK</v>
          </cell>
          <cell r="J53">
            <v>4.99</v>
          </cell>
        </row>
        <row r="54">
          <cell r="D54" t="str">
            <v>DJI</v>
          </cell>
          <cell r="J54">
            <v>0</v>
          </cell>
        </row>
        <row r="55">
          <cell r="D55" t="str">
            <v>DOM</v>
          </cell>
          <cell r="J55">
            <v>29.96</v>
          </cell>
        </row>
        <row r="56">
          <cell r="D56" t="str">
            <v>ECU</v>
          </cell>
          <cell r="J56">
            <v>0</v>
          </cell>
        </row>
        <row r="57">
          <cell r="D57" t="str">
            <v>EGY</v>
          </cell>
          <cell r="J57">
            <v>0</v>
          </cell>
        </row>
        <row r="58">
          <cell r="D58" t="str">
            <v>SLV</v>
          </cell>
          <cell r="J58" t="str">
            <v/>
          </cell>
        </row>
        <row r="59">
          <cell r="D59" t="str">
            <v>GNQ</v>
          </cell>
          <cell r="J59">
            <v>0</v>
          </cell>
        </row>
        <row r="60">
          <cell r="D60" t="str">
            <v>ERI</v>
          </cell>
          <cell r="J60">
            <v>0</v>
          </cell>
        </row>
        <row r="61">
          <cell r="D61" t="str">
            <v>EST</v>
          </cell>
          <cell r="J61">
            <v>0</v>
          </cell>
        </row>
        <row r="62">
          <cell r="D62" t="str">
            <v>SWZ</v>
          </cell>
          <cell r="J62">
            <v>3.28</v>
          </cell>
        </row>
        <row r="63">
          <cell r="D63" t="str">
            <v>ETH</v>
          </cell>
          <cell r="J63">
            <v>0</v>
          </cell>
        </row>
        <row r="64">
          <cell r="D64" t="str">
            <v>FJI</v>
          </cell>
          <cell r="J64">
            <v>0</v>
          </cell>
        </row>
        <row r="65">
          <cell r="D65" t="str">
            <v>FIN</v>
          </cell>
          <cell r="J65">
            <v>1.01</v>
          </cell>
        </row>
        <row r="66">
          <cell r="D66" t="str">
            <v>FRA</v>
          </cell>
          <cell r="J66">
            <v>0.18</v>
          </cell>
        </row>
        <row r="67">
          <cell r="D67" t="str">
            <v>PYF</v>
          </cell>
          <cell r="J67">
            <v>0</v>
          </cell>
        </row>
        <row r="68">
          <cell r="D68" t="str">
            <v>GAB</v>
          </cell>
          <cell r="J68">
            <v>0</v>
          </cell>
        </row>
        <row r="69">
          <cell r="D69" t="str">
            <v>GMB</v>
          </cell>
          <cell r="J69">
            <v>0</v>
          </cell>
        </row>
        <row r="70">
          <cell r="D70" t="str">
            <v>GEO</v>
          </cell>
          <cell r="J70">
            <v>0</v>
          </cell>
        </row>
        <row r="71">
          <cell r="D71" t="str">
            <v>DEU</v>
          </cell>
          <cell r="J71">
            <v>21.44</v>
          </cell>
        </row>
        <row r="72">
          <cell r="D72" t="str">
            <v>GHA</v>
          </cell>
          <cell r="J72">
            <v>0</v>
          </cell>
        </row>
        <row r="73">
          <cell r="D73" t="str">
            <v>GIB</v>
          </cell>
          <cell r="J73">
            <v>0</v>
          </cell>
        </row>
        <row r="74">
          <cell r="D74" t="str">
            <v>GRC</v>
          </cell>
          <cell r="J74">
            <v>5.73</v>
          </cell>
        </row>
        <row r="75">
          <cell r="D75" t="str">
            <v>GRL</v>
          </cell>
          <cell r="J75">
            <v>0</v>
          </cell>
        </row>
        <row r="76">
          <cell r="D76" t="str">
            <v>GRD</v>
          </cell>
          <cell r="J76">
            <v>0</v>
          </cell>
        </row>
        <row r="77">
          <cell r="D77" t="str">
            <v>GUM</v>
          </cell>
          <cell r="J77">
            <v>0</v>
          </cell>
        </row>
        <row r="78">
          <cell r="D78" t="str">
            <v>GTM</v>
          </cell>
          <cell r="J78">
            <v>15.83</v>
          </cell>
        </row>
        <row r="79">
          <cell r="D79" t="str">
            <v>GIN</v>
          </cell>
          <cell r="J79">
            <v>0</v>
          </cell>
        </row>
        <row r="80">
          <cell r="D80" t="str">
            <v>GNB</v>
          </cell>
          <cell r="J80">
            <v>0</v>
          </cell>
        </row>
        <row r="81">
          <cell r="D81" t="str">
            <v>GUY</v>
          </cell>
          <cell r="J81">
            <v>0</v>
          </cell>
        </row>
        <row r="82">
          <cell r="D82" t="str">
            <v>HTI</v>
          </cell>
          <cell r="J82">
            <v>0</v>
          </cell>
        </row>
        <row r="83">
          <cell r="D83" t="str">
            <v>HND</v>
          </cell>
          <cell r="J83">
            <v>0.48</v>
          </cell>
        </row>
        <row r="84">
          <cell r="D84" t="str">
            <v>HKG</v>
          </cell>
          <cell r="J84">
            <v>33.65</v>
          </cell>
        </row>
        <row r="85">
          <cell r="D85" t="str">
            <v>HUN</v>
          </cell>
          <cell r="J85">
            <v>6.42</v>
          </cell>
        </row>
        <row r="86">
          <cell r="D86" t="str">
            <v>ISL</v>
          </cell>
          <cell r="J86">
            <v>0</v>
          </cell>
        </row>
        <row r="87">
          <cell r="D87" t="str">
            <v>IND</v>
          </cell>
          <cell r="J87">
            <v>74.53</v>
          </cell>
        </row>
        <row r="88">
          <cell r="D88" t="str">
            <v>IDN</v>
          </cell>
          <cell r="J88">
            <v>61.48</v>
          </cell>
        </row>
        <row r="89">
          <cell r="D89" t="str">
            <v>IRN</v>
          </cell>
          <cell r="J89">
            <v>0.18</v>
          </cell>
        </row>
        <row r="90">
          <cell r="D90" t="str">
            <v>IRQ</v>
          </cell>
          <cell r="J90">
            <v>0</v>
          </cell>
        </row>
        <row r="91">
          <cell r="D91" t="str">
            <v>IRL</v>
          </cell>
          <cell r="J91">
            <v>2.0299999999999998</v>
          </cell>
        </row>
        <row r="92">
          <cell r="D92" t="str">
            <v>ISR</v>
          </cell>
          <cell r="J92">
            <v>14.3</v>
          </cell>
        </row>
        <row r="93">
          <cell r="D93" t="str">
            <v>ITA</v>
          </cell>
          <cell r="J93">
            <v>1.48</v>
          </cell>
        </row>
        <row r="94">
          <cell r="D94" t="str">
            <v>JAM</v>
          </cell>
          <cell r="J94">
            <v>0</v>
          </cell>
        </row>
        <row r="95">
          <cell r="D95" t="str">
            <v>JPN</v>
          </cell>
          <cell r="J95">
            <v>32.19</v>
          </cell>
        </row>
        <row r="96">
          <cell r="D96" t="str">
            <v>JOR</v>
          </cell>
          <cell r="J96">
            <v>0</v>
          </cell>
        </row>
        <row r="97">
          <cell r="D97" t="str">
            <v>KAZ</v>
          </cell>
          <cell r="J97">
            <v>54.03</v>
          </cell>
        </row>
        <row r="98">
          <cell r="D98" t="str">
            <v>KEN</v>
          </cell>
          <cell r="J98">
            <v>0</v>
          </cell>
        </row>
        <row r="99">
          <cell r="D99" t="str">
            <v>KIR</v>
          </cell>
          <cell r="J99">
            <v>0</v>
          </cell>
        </row>
        <row r="100">
          <cell r="D100" t="str">
            <v>PRK</v>
          </cell>
          <cell r="J100">
            <v>34.06</v>
          </cell>
        </row>
        <row r="101">
          <cell r="D101" t="str">
            <v>XKX</v>
          </cell>
          <cell r="J101">
            <v>91.26</v>
          </cell>
        </row>
        <row r="102">
          <cell r="D102" t="str">
            <v>KWT</v>
          </cell>
          <cell r="J102">
            <v>0</v>
          </cell>
        </row>
        <row r="103">
          <cell r="D103" t="str">
            <v>KGZ</v>
          </cell>
          <cell r="J103">
            <v>9.6999999999999993</v>
          </cell>
        </row>
        <row r="104">
          <cell r="D104" t="str">
            <v>LAO</v>
          </cell>
          <cell r="J104">
            <v>23.28</v>
          </cell>
        </row>
        <row r="105">
          <cell r="D105" t="str">
            <v>LVA</v>
          </cell>
          <cell r="J105">
            <v>0</v>
          </cell>
        </row>
        <row r="106">
          <cell r="D106" t="str">
            <v>LBN</v>
          </cell>
          <cell r="J106">
            <v>0</v>
          </cell>
        </row>
        <row r="107">
          <cell r="D107" t="str">
            <v>LSO</v>
          </cell>
          <cell r="J107">
            <v>0</v>
          </cell>
        </row>
        <row r="108">
          <cell r="D108" t="str">
            <v>LBR</v>
          </cell>
          <cell r="J108">
            <v>0</v>
          </cell>
        </row>
        <row r="109">
          <cell r="D109" t="str">
            <v>LBY</v>
          </cell>
          <cell r="J109">
            <v>0</v>
          </cell>
        </row>
        <row r="110">
          <cell r="D110" t="str">
            <v>LTU</v>
          </cell>
          <cell r="J110">
            <v>0</v>
          </cell>
        </row>
        <row r="111">
          <cell r="D111" t="str">
            <v>LUX</v>
          </cell>
          <cell r="J111">
            <v>0</v>
          </cell>
        </row>
        <row r="112">
          <cell r="D112" t="str">
            <v>MAC</v>
          </cell>
          <cell r="J112">
            <v>0</v>
          </cell>
        </row>
        <row r="113">
          <cell r="D113" t="str">
            <v>MDG</v>
          </cell>
          <cell r="J113">
            <v>20.58</v>
          </cell>
        </row>
        <row r="114">
          <cell r="D114" t="str">
            <v>MWI</v>
          </cell>
          <cell r="J114">
            <v>0</v>
          </cell>
        </row>
        <row r="115">
          <cell r="D115" t="str">
            <v>MYS</v>
          </cell>
          <cell r="J115">
            <v>43.05</v>
          </cell>
        </row>
        <row r="116">
          <cell r="D116" t="str">
            <v>MDV</v>
          </cell>
          <cell r="J116">
            <v>0</v>
          </cell>
        </row>
        <row r="117">
          <cell r="D117" t="str">
            <v>MLI</v>
          </cell>
          <cell r="J117">
            <v>0</v>
          </cell>
        </row>
        <row r="118">
          <cell r="D118" t="str">
            <v>MLT</v>
          </cell>
          <cell r="J118">
            <v>0</v>
          </cell>
        </row>
        <row r="119">
          <cell r="D119" t="str">
            <v>MRT</v>
          </cell>
          <cell r="J119">
            <v>0</v>
          </cell>
        </row>
        <row r="120">
          <cell r="D120" t="str">
            <v>MUS</v>
          </cell>
          <cell r="J120">
            <v>39.299999999999997</v>
          </cell>
        </row>
        <row r="121">
          <cell r="D121" t="str">
            <v>MEX</v>
          </cell>
          <cell r="J121">
            <v>3.49</v>
          </cell>
        </row>
        <row r="122">
          <cell r="D122" t="str">
            <v>MDA</v>
          </cell>
          <cell r="J122">
            <v>0</v>
          </cell>
        </row>
        <row r="123">
          <cell r="D123" t="str">
            <v>MNG</v>
          </cell>
          <cell r="J123">
            <v>84.69</v>
          </cell>
        </row>
        <row r="124">
          <cell r="D124" t="str">
            <v>MNE</v>
          </cell>
          <cell r="J124">
            <v>40.51</v>
          </cell>
        </row>
        <row r="125">
          <cell r="D125" t="str">
            <v>MSR</v>
          </cell>
          <cell r="J125">
            <v>0</v>
          </cell>
        </row>
        <row r="126">
          <cell r="D126" t="str">
            <v>MAR</v>
          </cell>
          <cell r="J126">
            <v>61.75</v>
          </cell>
        </row>
        <row r="127">
          <cell r="D127" t="str">
            <v>MOZ</v>
          </cell>
          <cell r="J127">
            <v>0</v>
          </cell>
        </row>
        <row r="128">
          <cell r="D128" t="str">
            <v>MMR</v>
          </cell>
          <cell r="J128">
            <v>5.53</v>
          </cell>
        </row>
        <row r="129">
          <cell r="D129" t="str">
            <v>NAM</v>
          </cell>
          <cell r="J129">
            <v>2.44</v>
          </cell>
        </row>
        <row r="130">
          <cell r="D130" t="str">
            <v>NRU</v>
          </cell>
          <cell r="J130">
            <v>0</v>
          </cell>
        </row>
        <row r="131">
          <cell r="D131" t="str">
            <v>NPL</v>
          </cell>
          <cell r="J131">
            <v>0</v>
          </cell>
        </row>
        <row r="132">
          <cell r="D132" t="str">
            <v>NLD</v>
          </cell>
          <cell r="J132">
            <v>6.11</v>
          </cell>
        </row>
        <row r="133">
          <cell r="D133" t="str">
            <v>NCL</v>
          </cell>
          <cell r="J133">
            <v>36.54</v>
          </cell>
        </row>
        <row r="134">
          <cell r="D134" t="str">
            <v>NZL</v>
          </cell>
          <cell r="J134">
            <v>2.73</v>
          </cell>
        </row>
        <row r="135">
          <cell r="D135" t="str">
            <v>NIC</v>
          </cell>
          <cell r="J135">
            <v>0</v>
          </cell>
        </row>
        <row r="136">
          <cell r="D136" t="str">
            <v>NER</v>
          </cell>
          <cell r="J136">
            <v>17.89</v>
          </cell>
        </row>
        <row r="137">
          <cell r="D137" t="str">
            <v>NGA</v>
          </cell>
          <cell r="J137">
            <v>0</v>
          </cell>
        </row>
        <row r="138">
          <cell r="D138" t="str">
            <v>MKD</v>
          </cell>
          <cell r="J138">
            <v>37.4</v>
          </cell>
        </row>
        <row r="139">
          <cell r="D139" t="str">
            <v>NOR</v>
          </cell>
          <cell r="J139">
            <v>0</v>
          </cell>
        </row>
        <row r="140">
          <cell r="D140" t="str">
            <v>OMN</v>
          </cell>
          <cell r="J140">
            <v>0</v>
          </cell>
        </row>
        <row r="141">
          <cell r="D141" t="str">
            <v>PAK</v>
          </cell>
          <cell r="J141">
            <v>15.45</v>
          </cell>
        </row>
        <row r="142">
          <cell r="D142" t="str">
            <v>PSE</v>
          </cell>
          <cell r="J142">
            <v>0</v>
          </cell>
        </row>
        <row r="143">
          <cell r="D143" t="str">
            <v>PAN</v>
          </cell>
          <cell r="J143">
            <v>3.72</v>
          </cell>
        </row>
        <row r="144">
          <cell r="D144" t="str">
            <v>PNG</v>
          </cell>
          <cell r="J144">
            <v>0</v>
          </cell>
        </row>
        <row r="145">
          <cell r="D145" t="str">
            <v>PRY</v>
          </cell>
          <cell r="J145">
            <v>0</v>
          </cell>
        </row>
        <row r="146">
          <cell r="D146" t="str">
            <v>PER</v>
          </cell>
          <cell r="J146">
            <v>0</v>
          </cell>
        </row>
        <row r="147">
          <cell r="D147" t="str">
            <v>PHL</v>
          </cell>
          <cell r="J147">
            <v>63.91</v>
          </cell>
        </row>
        <row r="148">
          <cell r="D148" t="str">
            <v>POL</v>
          </cell>
          <cell r="J148">
            <v>54.32</v>
          </cell>
        </row>
        <row r="149">
          <cell r="D149" t="str">
            <v>PRT</v>
          </cell>
          <cell r="J149">
            <v>0</v>
          </cell>
        </row>
        <row r="150">
          <cell r="D150" t="str">
            <v>PRI</v>
          </cell>
          <cell r="J150">
            <v>16</v>
          </cell>
        </row>
        <row r="151">
          <cell r="D151" t="str">
            <v>QAT</v>
          </cell>
          <cell r="J151">
            <v>0</v>
          </cell>
        </row>
        <row r="152">
          <cell r="D152" t="str">
            <v>ROU</v>
          </cell>
          <cell r="J152">
            <v>15.1</v>
          </cell>
        </row>
        <row r="153">
          <cell r="D153" t="str">
            <v>RUS</v>
          </cell>
          <cell r="J153">
            <v>17.79</v>
          </cell>
        </row>
        <row r="154">
          <cell r="D154" t="str">
            <v>RWA</v>
          </cell>
          <cell r="J154">
            <v>15.04</v>
          </cell>
        </row>
        <row r="155">
          <cell r="D155" t="str">
            <v>KNA</v>
          </cell>
          <cell r="J155">
            <v>0</v>
          </cell>
        </row>
        <row r="156">
          <cell r="D156" t="str">
            <v>LCA</v>
          </cell>
          <cell r="J156">
            <v>0</v>
          </cell>
        </row>
        <row r="157">
          <cell r="D157" t="str">
            <v>VCT</v>
          </cell>
          <cell r="J157">
            <v>0</v>
          </cell>
        </row>
        <row r="158">
          <cell r="D158" t="str">
            <v>WSM</v>
          </cell>
          <cell r="J158">
            <v>0</v>
          </cell>
        </row>
        <row r="159">
          <cell r="D159" t="str">
            <v>SAU</v>
          </cell>
          <cell r="J159">
            <v>0</v>
          </cell>
        </row>
        <row r="160">
          <cell r="D160" t="str">
            <v>SEN</v>
          </cell>
          <cell r="J160">
            <v>1.31</v>
          </cell>
        </row>
        <row r="161">
          <cell r="D161" t="str">
            <v>SRB</v>
          </cell>
          <cell r="J161">
            <v>62.93</v>
          </cell>
        </row>
        <row r="162">
          <cell r="D162" t="str">
            <v>SYC</v>
          </cell>
          <cell r="J162">
            <v>0</v>
          </cell>
        </row>
        <row r="163">
          <cell r="D163" t="str">
            <v>SLE</v>
          </cell>
          <cell r="J163">
            <v>0</v>
          </cell>
        </row>
        <row r="164">
          <cell r="D164" t="str">
            <v>SGP</v>
          </cell>
          <cell r="J164">
            <v>0.96</v>
          </cell>
        </row>
        <row r="165">
          <cell r="D165" t="str">
            <v>SVK</v>
          </cell>
          <cell r="J165">
            <v>1.76</v>
          </cell>
        </row>
        <row r="166">
          <cell r="D166" t="str">
            <v>SVN</v>
          </cell>
          <cell r="J166">
            <v>20.95</v>
          </cell>
        </row>
        <row r="167">
          <cell r="D167" t="str">
            <v>SLB</v>
          </cell>
          <cell r="J167">
            <v>0</v>
          </cell>
        </row>
        <row r="168">
          <cell r="D168" t="str">
            <v>SOM</v>
          </cell>
          <cell r="J168">
            <v>0</v>
          </cell>
        </row>
        <row r="169">
          <cell r="D169" t="str">
            <v>ZAF</v>
          </cell>
          <cell r="J169">
            <v>83.55</v>
          </cell>
        </row>
        <row r="170">
          <cell r="D170" t="str">
            <v>KOR</v>
          </cell>
          <cell r="J170">
            <v>30.51</v>
          </cell>
        </row>
        <row r="171">
          <cell r="D171" t="str">
            <v>SSD</v>
          </cell>
          <cell r="J171">
            <v>0</v>
          </cell>
        </row>
        <row r="172">
          <cell r="D172" t="str">
            <v>ESP</v>
          </cell>
          <cell r="J172">
            <v>0.92</v>
          </cell>
        </row>
        <row r="173">
          <cell r="D173" t="str">
            <v>LKA</v>
          </cell>
          <cell r="J173">
            <v>32.86</v>
          </cell>
        </row>
        <row r="174">
          <cell r="D174" t="str">
            <v>SDN</v>
          </cell>
          <cell r="J174">
            <v>0</v>
          </cell>
        </row>
        <row r="175">
          <cell r="D175" t="str">
            <v>SUR</v>
          </cell>
          <cell r="J175">
            <v>0</v>
          </cell>
        </row>
        <row r="176">
          <cell r="D176" t="str">
            <v>SWE</v>
          </cell>
          <cell r="J176">
            <v>0</v>
          </cell>
        </row>
        <row r="177">
          <cell r="D177" t="str">
            <v>CHE</v>
          </cell>
          <cell r="J177" t="str">
            <v/>
          </cell>
        </row>
        <row r="178">
          <cell r="D178" t="str">
            <v>SYR</v>
          </cell>
          <cell r="J178">
            <v>0</v>
          </cell>
        </row>
        <row r="179">
          <cell r="D179" t="str">
            <v>TWN</v>
          </cell>
          <cell r="J179">
            <v>40.07</v>
          </cell>
        </row>
        <row r="180">
          <cell r="D180" t="str">
            <v>TJK</v>
          </cell>
          <cell r="J180">
            <v>4.5</v>
          </cell>
        </row>
        <row r="181">
          <cell r="D181" t="str">
            <v>TZA</v>
          </cell>
          <cell r="J181">
            <v>0</v>
          </cell>
        </row>
        <row r="182">
          <cell r="D182" t="str">
            <v>THA</v>
          </cell>
          <cell r="J182">
            <v>16.670000000000002</v>
          </cell>
        </row>
        <row r="183">
          <cell r="D183" t="str">
            <v>TLS</v>
          </cell>
          <cell r="J183">
            <v>0</v>
          </cell>
        </row>
        <row r="184">
          <cell r="D184" t="str">
            <v>TGO</v>
          </cell>
          <cell r="J184">
            <v>0</v>
          </cell>
        </row>
        <row r="185">
          <cell r="D185" t="str">
            <v>TON</v>
          </cell>
          <cell r="J185">
            <v>0</v>
          </cell>
        </row>
        <row r="186">
          <cell r="D186" t="str">
            <v>TTO</v>
          </cell>
          <cell r="J186">
            <v>0</v>
          </cell>
        </row>
        <row r="187">
          <cell r="D187" t="str">
            <v>TUN</v>
          </cell>
          <cell r="J187">
            <v>0</v>
          </cell>
        </row>
        <row r="188">
          <cell r="D188" t="str">
            <v>TUR</v>
          </cell>
          <cell r="J188">
            <v>35.549999999999997</v>
          </cell>
        </row>
        <row r="189">
          <cell r="D189" t="str">
            <v>TKM</v>
          </cell>
          <cell r="J189">
            <v>0</v>
          </cell>
        </row>
        <row r="190">
          <cell r="D190" t="str">
            <v>TCA</v>
          </cell>
          <cell r="J190">
            <v>0</v>
          </cell>
        </row>
        <row r="191">
          <cell r="D191" t="str">
            <v>UGA</v>
          </cell>
          <cell r="J191">
            <v>0</v>
          </cell>
        </row>
        <row r="192">
          <cell r="D192" t="str">
            <v>ARE</v>
          </cell>
          <cell r="J192">
            <v>0</v>
          </cell>
        </row>
        <row r="193">
          <cell r="D193" t="str">
            <v>GBR</v>
          </cell>
          <cell r="J193">
            <v>0.67</v>
          </cell>
        </row>
        <row r="194">
          <cell r="D194" t="str">
            <v>USA</v>
          </cell>
          <cell r="J194">
            <v>14.85</v>
          </cell>
        </row>
        <row r="195">
          <cell r="D195" t="str">
            <v>URY</v>
          </cell>
          <cell r="J195">
            <v>0</v>
          </cell>
        </row>
        <row r="196">
          <cell r="D196" t="str">
            <v>UZB</v>
          </cell>
          <cell r="J196">
            <v>6.99</v>
          </cell>
        </row>
        <row r="197">
          <cell r="D197" t="str">
            <v>VEN</v>
          </cell>
          <cell r="J197">
            <v>0</v>
          </cell>
        </row>
        <row r="198">
          <cell r="D198" t="str">
            <v>VNM</v>
          </cell>
          <cell r="J198">
            <v>50.32</v>
          </cell>
        </row>
        <row r="199">
          <cell r="D199" t="str">
            <v>YEM</v>
          </cell>
          <cell r="J199">
            <v>0</v>
          </cell>
        </row>
        <row r="200">
          <cell r="D200" t="str">
            <v>ZMB</v>
          </cell>
          <cell r="J200">
            <v>10.8</v>
          </cell>
        </row>
        <row r="201">
          <cell r="D201" t="str">
            <v>ZWE</v>
          </cell>
          <cell r="J201">
            <v>42.88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B2" t="str">
            <v>AFG</v>
          </cell>
          <cell r="D2"/>
        </row>
        <row r="3">
          <cell r="B3" t="str">
            <v>BDI</v>
          </cell>
          <cell r="D3"/>
        </row>
        <row r="4">
          <cell r="B4" t="str">
            <v>CAF</v>
          </cell>
          <cell r="D4"/>
        </row>
        <row r="5">
          <cell r="B5" t="str">
            <v>HTI</v>
          </cell>
          <cell r="D5"/>
        </row>
        <row r="6">
          <cell r="B6" t="str">
            <v>LBY</v>
          </cell>
          <cell r="D6"/>
        </row>
        <row r="7">
          <cell r="B7" t="str">
            <v>MMR</v>
          </cell>
          <cell r="D7"/>
        </row>
        <row r="8">
          <cell r="B8" t="str">
            <v>PSE</v>
          </cell>
          <cell r="D8"/>
        </row>
        <row r="9">
          <cell r="B9" t="str">
            <v>SOM</v>
          </cell>
          <cell r="D9"/>
        </row>
        <row r="10">
          <cell r="B10" t="str">
            <v>SSD</v>
          </cell>
          <cell r="D10"/>
        </row>
        <row r="11">
          <cell r="B11" t="str">
            <v>SDN</v>
          </cell>
          <cell r="D11" t="str">
            <v>Worsening</v>
          </cell>
        </row>
        <row r="12">
          <cell r="B12" t="str">
            <v>SYR</v>
          </cell>
          <cell r="D12"/>
        </row>
        <row r="13">
          <cell r="B13" t="str">
            <v>YEM</v>
          </cell>
          <cell r="D13"/>
        </row>
        <row r="14">
          <cell r="B14" t="str">
            <v>DZA</v>
          </cell>
          <cell r="D14"/>
        </row>
        <row r="15">
          <cell r="B15" t="str">
            <v>BHR</v>
          </cell>
          <cell r="D15"/>
        </row>
        <row r="16">
          <cell r="B16" t="str">
            <v>BGD</v>
          </cell>
          <cell r="D16"/>
        </row>
        <row r="17">
          <cell r="B17" t="str">
            <v>BLR</v>
          </cell>
          <cell r="D17"/>
        </row>
        <row r="18">
          <cell r="B18" t="str">
            <v>KHM</v>
          </cell>
          <cell r="D18"/>
        </row>
        <row r="19">
          <cell r="B19" t="str">
            <v>CHN</v>
          </cell>
          <cell r="D19"/>
        </row>
        <row r="20">
          <cell r="B20" t="str">
            <v>COL</v>
          </cell>
          <cell r="D20"/>
        </row>
        <row r="21">
          <cell r="B21" t="str">
            <v>ECU</v>
          </cell>
          <cell r="D21"/>
        </row>
        <row r="22">
          <cell r="B22" t="str">
            <v>EGY</v>
          </cell>
          <cell r="D22"/>
        </row>
        <row r="23">
          <cell r="B23" t="str">
            <v>ERI</v>
          </cell>
          <cell r="D23"/>
        </row>
        <row r="24">
          <cell r="B24" t="str">
            <v>SWZ</v>
          </cell>
          <cell r="D24"/>
        </row>
        <row r="25">
          <cell r="B25" t="str">
            <v>GTM</v>
          </cell>
          <cell r="D25"/>
        </row>
        <row r="26">
          <cell r="B26" t="str">
            <v>HND</v>
          </cell>
          <cell r="D26"/>
        </row>
        <row r="27">
          <cell r="B27" t="str">
            <v>HKG</v>
          </cell>
          <cell r="D27"/>
        </row>
        <row r="28">
          <cell r="B28" t="str">
            <v>IND</v>
          </cell>
          <cell r="D28"/>
        </row>
        <row r="29">
          <cell r="B29" t="str">
            <v>IDN</v>
          </cell>
          <cell r="D29"/>
        </row>
        <row r="30">
          <cell r="B30" t="str">
            <v>IRN</v>
          </cell>
          <cell r="D30"/>
        </row>
        <row r="31">
          <cell r="B31" t="str">
            <v>IRQ</v>
          </cell>
          <cell r="D31"/>
        </row>
        <row r="32">
          <cell r="B32" t="str">
            <v>JOR</v>
          </cell>
          <cell r="D32"/>
        </row>
        <row r="33">
          <cell r="B33" t="str">
            <v>KAZ</v>
          </cell>
          <cell r="D33"/>
        </row>
        <row r="34">
          <cell r="B34" t="str">
            <v>KOR</v>
          </cell>
          <cell r="D34"/>
        </row>
        <row r="35">
          <cell r="B35" t="str">
            <v>KWT</v>
          </cell>
          <cell r="D35"/>
        </row>
        <row r="36">
          <cell r="B36" t="str">
            <v>KGZ</v>
          </cell>
          <cell r="D36" t="str">
            <v>Worsening</v>
          </cell>
        </row>
        <row r="37">
          <cell r="B37" t="str">
            <v>LAO</v>
          </cell>
          <cell r="D37"/>
        </row>
        <row r="38">
          <cell r="B38" t="str">
            <v>MYS</v>
          </cell>
          <cell r="D38"/>
        </row>
        <row r="39">
          <cell r="B39" t="str">
            <v>NGA</v>
          </cell>
          <cell r="D39" t="str">
            <v>Worsening</v>
          </cell>
        </row>
        <row r="40">
          <cell r="B40" t="str">
            <v>PAK</v>
          </cell>
          <cell r="D40"/>
        </row>
        <row r="41">
          <cell r="B41" t="str">
            <v>PHL</v>
          </cell>
          <cell r="D41"/>
        </row>
        <row r="42">
          <cell r="B42" t="str">
            <v>QAT</v>
          </cell>
          <cell r="D42" t="str">
            <v>Worsening</v>
          </cell>
        </row>
        <row r="43">
          <cell r="B43" t="str">
            <v>RUS</v>
          </cell>
          <cell r="D43" t="str">
            <v>Worsening</v>
          </cell>
        </row>
        <row r="44">
          <cell r="B44" t="str">
            <v>SAU</v>
          </cell>
          <cell r="D44" t="str">
            <v>Worsening</v>
          </cell>
        </row>
        <row r="45">
          <cell r="B45" t="str">
            <v>THA</v>
          </cell>
          <cell r="D45"/>
        </row>
        <row r="46">
          <cell r="B46" t="str">
            <v>TUN</v>
          </cell>
          <cell r="D46"/>
        </row>
        <row r="47">
          <cell r="B47" t="str">
            <v>TUR</v>
          </cell>
          <cell r="D47"/>
        </row>
        <row r="48">
          <cell r="B48" t="str">
            <v>ARE</v>
          </cell>
          <cell r="D48"/>
        </row>
        <row r="49">
          <cell r="B49" t="str">
            <v>UKR</v>
          </cell>
          <cell r="D49"/>
        </row>
        <row r="50">
          <cell r="B50" t="str">
            <v>VEN</v>
          </cell>
          <cell r="D50" t="str">
            <v>Worsening</v>
          </cell>
        </row>
        <row r="51">
          <cell r="B51" t="str">
            <v>ZWE</v>
          </cell>
          <cell r="D51"/>
        </row>
        <row r="52">
          <cell r="B52" t="str">
            <v>AGO</v>
          </cell>
          <cell r="D52"/>
        </row>
        <row r="53">
          <cell r="B53" t="str">
            <v>BEN</v>
          </cell>
          <cell r="D53"/>
        </row>
        <row r="54">
          <cell r="B54" t="str">
            <v>BWA</v>
          </cell>
          <cell r="D54"/>
        </row>
        <row r="55">
          <cell r="B55" t="str">
            <v>BFA</v>
          </cell>
          <cell r="D55"/>
        </row>
        <row r="56">
          <cell r="B56" t="str">
            <v>BRA</v>
          </cell>
          <cell r="D56" t="str">
            <v>Improving</v>
          </cell>
        </row>
        <row r="57">
          <cell r="B57" t="str">
            <v>CMR</v>
          </cell>
          <cell r="D57"/>
        </row>
        <row r="58">
          <cell r="B58" t="str">
            <v>TCD</v>
          </cell>
          <cell r="D58"/>
        </row>
        <row r="59">
          <cell r="B59" t="str">
            <v>COD</v>
          </cell>
          <cell r="D59"/>
        </row>
        <row r="60">
          <cell r="B60" t="str">
            <v>DJI</v>
          </cell>
          <cell r="D60"/>
        </row>
        <row r="61">
          <cell r="B61" t="str">
            <v>SLV</v>
          </cell>
          <cell r="D61"/>
        </row>
        <row r="62">
          <cell r="B62" t="str">
            <v>ETH</v>
          </cell>
          <cell r="D62"/>
        </row>
        <row r="63">
          <cell r="B63" t="str">
            <v>FJI</v>
          </cell>
          <cell r="D63"/>
        </row>
        <row r="64">
          <cell r="B64" t="str">
            <v>GRC</v>
          </cell>
          <cell r="D64"/>
        </row>
        <row r="65">
          <cell r="B65" t="str">
            <v>GIN</v>
          </cell>
          <cell r="D65"/>
        </row>
        <row r="66">
          <cell r="B66" t="str">
            <v>GNB</v>
          </cell>
          <cell r="D66"/>
        </row>
        <row r="67">
          <cell r="B67" t="str">
            <v>HUN</v>
          </cell>
          <cell r="D67"/>
        </row>
        <row r="68">
          <cell r="B68" t="str">
            <v>ISR</v>
          </cell>
          <cell r="D68" t="str">
            <v>Worsening</v>
          </cell>
        </row>
        <row r="69">
          <cell r="B69" t="str">
            <v>KEN</v>
          </cell>
          <cell r="D69"/>
        </row>
        <row r="70">
          <cell r="B70" t="str">
            <v>LBN</v>
          </cell>
          <cell r="D70"/>
        </row>
        <row r="71">
          <cell r="B71" t="str">
            <v>LSO</v>
          </cell>
          <cell r="D71"/>
        </row>
        <row r="72">
          <cell r="B72" t="str">
            <v>LBR</v>
          </cell>
          <cell r="D72"/>
        </row>
        <row r="73">
          <cell r="B73" t="str">
            <v>MDG</v>
          </cell>
          <cell r="D73" t="str">
            <v>Worsening</v>
          </cell>
        </row>
        <row r="74">
          <cell r="B74" t="str">
            <v>MLI</v>
          </cell>
          <cell r="D74"/>
        </row>
        <row r="75">
          <cell r="B75" t="str">
            <v>MRT</v>
          </cell>
          <cell r="D75"/>
        </row>
        <row r="76">
          <cell r="B76" t="str">
            <v>MEX</v>
          </cell>
          <cell r="D76" t="str">
            <v>Worsening</v>
          </cell>
        </row>
        <row r="77">
          <cell r="B77" t="str">
            <v>MKD</v>
          </cell>
          <cell r="D77"/>
        </row>
        <row r="78">
          <cell r="B78" t="str">
            <v>OMN</v>
          </cell>
          <cell r="D78"/>
        </row>
        <row r="79">
          <cell r="B79" t="str">
            <v>PER</v>
          </cell>
          <cell r="D79"/>
        </row>
        <row r="80">
          <cell r="B80" t="str">
            <v>SEN</v>
          </cell>
          <cell r="D80"/>
        </row>
        <row r="81">
          <cell r="B81" t="str">
            <v>SRB</v>
          </cell>
          <cell r="D81"/>
        </row>
        <row r="82">
          <cell r="B82" t="str">
            <v>SLE</v>
          </cell>
          <cell r="D82"/>
        </row>
        <row r="83">
          <cell r="B83" t="str">
            <v>LKA</v>
          </cell>
          <cell r="D83"/>
        </row>
        <row r="84">
          <cell r="B84" t="str">
            <v>TZA</v>
          </cell>
          <cell r="D84"/>
        </row>
        <row r="85">
          <cell r="B85" t="str">
            <v>TTO</v>
          </cell>
          <cell r="D85"/>
        </row>
        <row r="86">
          <cell r="B86" t="str">
            <v>UGA</v>
          </cell>
          <cell r="D86"/>
        </row>
        <row r="87">
          <cell r="B87" t="str">
            <v>GBR</v>
          </cell>
          <cell r="D87"/>
        </row>
        <row r="88">
          <cell r="B88" t="str">
            <v>USA</v>
          </cell>
          <cell r="D88"/>
        </row>
        <row r="89">
          <cell r="B89" t="str">
            <v>VNM</v>
          </cell>
          <cell r="D89"/>
        </row>
        <row r="90">
          <cell r="B90" t="str">
            <v>ZMB</v>
          </cell>
          <cell r="D90"/>
        </row>
        <row r="91">
          <cell r="B91" t="str">
            <v>ALB</v>
          </cell>
          <cell r="D91"/>
        </row>
        <row r="92">
          <cell r="B92" t="str">
            <v>ARG</v>
          </cell>
          <cell r="D92"/>
        </row>
        <row r="93">
          <cell r="B93" t="str">
            <v>ARM</v>
          </cell>
          <cell r="D93"/>
        </row>
        <row r="94">
          <cell r="B94" t="str">
            <v>AUS</v>
          </cell>
          <cell r="D94"/>
        </row>
        <row r="95">
          <cell r="B95" t="str">
            <v>BHS</v>
          </cell>
          <cell r="D95"/>
        </row>
        <row r="96">
          <cell r="B96" t="str">
            <v>BEL</v>
          </cell>
          <cell r="D96"/>
        </row>
        <row r="97">
          <cell r="B97" t="str">
            <v>BLZ</v>
          </cell>
          <cell r="D97"/>
        </row>
        <row r="98">
          <cell r="B98" t="str">
            <v>BOL</v>
          </cell>
          <cell r="D98"/>
        </row>
        <row r="99">
          <cell r="B99" t="str">
            <v>BIH</v>
          </cell>
          <cell r="D99"/>
        </row>
        <row r="100">
          <cell r="B100" t="str">
            <v>BGR</v>
          </cell>
          <cell r="D100"/>
        </row>
        <row r="101">
          <cell r="B101" t="str">
            <v>CAN</v>
          </cell>
          <cell r="D101"/>
        </row>
        <row r="102">
          <cell r="B102" t="str">
            <v>CHL</v>
          </cell>
          <cell r="D102"/>
        </row>
        <row r="103">
          <cell r="B103" t="str">
            <v>COG</v>
          </cell>
          <cell r="D103"/>
        </row>
        <row r="104">
          <cell r="B104" t="str">
            <v>CRI</v>
          </cell>
          <cell r="D104" t="str">
            <v>Worsening</v>
          </cell>
        </row>
        <row r="105">
          <cell r="B105" t="str">
            <v>CIV</v>
          </cell>
          <cell r="D105"/>
        </row>
        <row r="106">
          <cell r="B106" t="str">
            <v>GAB</v>
          </cell>
          <cell r="D106"/>
        </row>
        <row r="107">
          <cell r="B107" t="str">
            <v>GEO</v>
          </cell>
          <cell r="D107"/>
        </row>
        <row r="108">
          <cell r="B108" t="str">
            <v>JAM</v>
          </cell>
          <cell r="D108"/>
        </row>
        <row r="109">
          <cell r="B109" t="str">
            <v>MUS</v>
          </cell>
          <cell r="D109"/>
        </row>
        <row r="110">
          <cell r="B110" t="str">
            <v>MNE</v>
          </cell>
          <cell r="D110"/>
        </row>
        <row r="111">
          <cell r="B111" t="str">
            <v>MAR</v>
          </cell>
          <cell r="D111"/>
        </row>
        <row r="112">
          <cell r="B112" t="str">
            <v>MOZ</v>
          </cell>
          <cell r="D112"/>
        </row>
        <row r="113">
          <cell r="B113" t="str">
            <v>NAM</v>
          </cell>
          <cell r="D113"/>
        </row>
        <row r="114">
          <cell r="B114" t="str">
            <v>NPL</v>
          </cell>
          <cell r="D114"/>
        </row>
        <row r="115">
          <cell r="B115" t="str">
            <v>NER</v>
          </cell>
          <cell r="D115"/>
        </row>
        <row r="116">
          <cell r="B116" t="str">
            <v>PAN</v>
          </cell>
          <cell r="D116"/>
        </row>
        <row r="117">
          <cell r="B117" t="str">
            <v>PRY</v>
          </cell>
          <cell r="D117"/>
        </row>
        <row r="118">
          <cell r="B118" t="str">
            <v>POL</v>
          </cell>
          <cell r="D118"/>
        </row>
        <row r="119">
          <cell r="B119" t="str">
            <v>ROU</v>
          </cell>
          <cell r="D119" t="str">
            <v>Improving</v>
          </cell>
        </row>
        <row r="120">
          <cell r="B120" t="str">
            <v>RWA</v>
          </cell>
          <cell r="D120"/>
        </row>
        <row r="121">
          <cell r="B121" t="str">
            <v>ZAF</v>
          </cell>
          <cell r="D121"/>
        </row>
        <row r="122">
          <cell r="B122" t="str">
            <v>CHE</v>
          </cell>
          <cell r="D122" t="str">
            <v>Worsening</v>
          </cell>
        </row>
        <row r="123">
          <cell r="B123" t="str">
            <v>TGO</v>
          </cell>
          <cell r="D123"/>
        </row>
        <row r="124">
          <cell r="B124" t="str">
            <v>BRB</v>
          </cell>
          <cell r="D124"/>
        </row>
        <row r="125">
          <cell r="B125" t="str">
            <v>HRV</v>
          </cell>
          <cell r="D125"/>
        </row>
        <row r="126">
          <cell r="B126" t="str">
            <v>CZE</v>
          </cell>
          <cell r="D126"/>
        </row>
        <row r="127">
          <cell r="B127" t="str">
            <v>DOM</v>
          </cell>
          <cell r="D127"/>
        </row>
        <row r="128">
          <cell r="B128" t="str">
            <v>EST</v>
          </cell>
          <cell r="D128"/>
        </row>
        <row r="129">
          <cell r="B129" t="str">
            <v>FIN</v>
          </cell>
          <cell r="D129" t="str">
            <v>Worsening</v>
          </cell>
        </row>
        <row r="130">
          <cell r="B130" t="str">
            <v>FRA</v>
          </cell>
          <cell r="D130"/>
        </row>
        <row r="131">
          <cell r="B131" t="str">
            <v>GHA</v>
          </cell>
          <cell r="D131"/>
        </row>
        <row r="132">
          <cell r="B132" t="str">
            <v>JPN</v>
          </cell>
          <cell r="D132"/>
        </row>
        <row r="133">
          <cell r="B133" t="str">
            <v>LVA</v>
          </cell>
          <cell r="D133"/>
        </row>
        <row r="134">
          <cell r="B134" t="str">
            <v>LTU</v>
          </cell>
          <cell r="D134"/>
        </row>
        <row r="135">
          <cell r="B135" t="str">
            <v>MWI</v>
          </cell>
          <cell r="D135"/>
        </row>
        <row r="136">
          <cell r="B136" t="str">
            <v>MDA</v>
          </cell>
          <cell r="D136"/>
        </row>
        <row r="137">
          <cell r="B137" t="str">
            <v>NLD</v>
          </cell>
          <cell r="D137"/>
        </row>
        <row r="138">
          <cell r="B138" t="str">
            <v>NZL</v>
          </cell>
          <cell r="D138"/>
        </row>
        <row r="139">
          <cell r="B139" t="str">
            <v>PRT</v>
          </cell>
          <cell r="D139"/>
        </row>
        <row r="140">
          <cell r="B140" t="str">
            <v>SGP</v>
          </cell>
          <cell r="D140"/>
        </row>
        <row r="141">
          <cell r="B141" t="str">
            <v>SVK</v>
          </cell>
          <cell r="D141"/>
        </row>
        <row r="142">
          <cell r="B142" t="str">
            <v>ESP</v>
          </cell>
          <cell r="D142"/>
        </row>
        <row r="143">
          <cell r="B143" t="str">
            <v>TWN</v>
          </cell>
          <cell r="D143"/>
        </row>
        <row r="144">
          <cell r="B144" t="str">
            <v>URY</v>
          </cell>
          <cell r="D144"/>
        </row>
        <row r="145">
          <cell r="B145" t="str">
            <v>AUT</v>
          </cell>
          <cell r="D145"/>
        </row>
        <row r="146">
          <cell r="B146" t="str">
            <v>DNK</v>
          </cell>
          <cell r="D146"/>
        </row>
        <row r="147">
          <cell r="B147" t="str">
            <v>DEU</v>
          </cell>
          <cell r="D147"/>
        </row>
        <row r="148">
          <cell r="B148" t="str">
            <v>ISL</v>
          </cell>
          <cell r="D148"/>
        </row>
        <row r="149">
          <cell r="B149" t="str">
            <v>IRL</v>
          </cell>
          <cell r="D149"/>
        </row>
        <row r="150">
          <cell r="B150" t="str">
            <v>ITA</v>
          </cell>
          <cell r="D150"/>
        </row>
      </sheetData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 overview"/>
      <sheetName val="INDEX"/>
      <sheetName val="INDEX ranked"/>
      <sheetName val="Streamlit"/>
      <sheetName val="OVERLAY"/>
      <sheetName val="Pillar-1"/>
      <sheetName val="Pillar-2"/>
      <sheetName val="Pillar-3"/>
      <sheetName val="Pillar-4"/>
      <sheetName val="Pillar-5"/>
      <sheetName val="Pillar-6"/>
      <sheetName val="Params"/>
      <sheetName val="Screening"/>
    </sheetNames>
    <sheetDataSet>
      <sheetData sheetId="0" refreshError="1"/>
      <sheetData sheetId="1">
        <row r="2">
          <cell r="C2">
            <v>0.2</v>
          </cell>
          <cell r="D2">
            <v>0.2</v>
          </cell>
          <cell r="E2">
            <v>0.15</v>
          </cell>
          <cell r="F2">
            <v>0.2</v>
          </cell>
          <cell r="G2">
            <v>0.15</v>
          </cell>
          <cell r="H2">
            <v>0.1</v>
          </cell>
        </row>
      </sheetData>
      <sheetData sheetId="2" refreshError="1"/>
      <sheetData sheetId="3" refreshError="1"/>
      <sheetData sheetId="4" refreshError="1"/>
      <sheetData sheetId="5">
        <row r="2">
          <cell r="J2">
            <v>0.35</v>
          </cell>
          <cell r="K2">
            <v>0.3</v>
          </cell>
          <cell r="L2">
            <v>0.35</v>
          </cell>
        </row>
      </sheetData>
      <sheetData sheetId="6">
        <row r="2">
          <cell r="K2">
            <v>0.12</v>
          </cell>
          <cell r="L2">
            <v>0.16</v>
          </cell>
          <cell r="M2">
            <v>0.12</v>
          </cell>
          <cell r="N2">
            <v>0.12</v>
          </cell>
          <cell r="O2">
            <v>0.12</v>
          </cell>
          <cell r="P2">
            <v>0.08</v>
          </cell>
          <cell r="Q2">
            <v>0.08</v>
          </cell>
          <cell r="R2">
            <v>0.2</v>
          </cell>
        </row>
      </sheetData>
      <sheetData sheetId="7">
        <row r="2">
          <cell r="H2">
            <v>0.1</v>
          </cell>
          <cell r="I2">
            <v>0.25</v>
          </cell>
          <cell r="J2">
            <v>0.25</v>
          </cell>
          <cell r="K2">
            <v>0.2</v>
          </cell>
          <cell r="L2">
            <v>0.2</v>
          </cell>
        </row>
      </sheetData>
      <sheetData sheetId="8">
        <row r="2">
          <cell r="K2">
            <v>0.2</v>
          </cell>
          <cell r="L2">
            <v>0.2</v>
          </cell>
          <cell r="M2">
            <v>0.15</v>
          </cell>
          <cell r="N2">
            <v>0.2</v>
          </cell>
          <cell r="O2">
            <v>0.25</v>
          </cell>
        </row>
      </sheetData>
      <sheetData sheetId="9">
        <row r="2">
          <cell r="I2">
            <v>0.3</v>
          </cell>
          <cell r="J2">
            <v>0.25</v>
          </cell>
          <cell r="K2">
            <v>0.2</v>
          </cell>
          <cell r="L2">
            <v>0.25</v>
          </cell>
        </row>
      </sheetData>
      <sheetData sheetId="10">
        <row r="2">
          <cell r="I2">
            <v>0.35</v>
          </cell>
          <cell r="K2">
            <v>0.45</v>
          </cell>
          <cell r="L2">
            <v>0.2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 overview"/>
      <sheetName val="INDEX"/>
      <sheetName val="INDEX ranked"/>
      <sheetName val="OVERLAY"/>
      <sheetName val="Streamlit"/>
      <sheetName val="Pillar-1"/>
      <sheetName val="Pillar-2"/>
      <sheetName val="Pillar-3"/>
      <sheetName val="Pillar-4"/>
      <sheetName val="Pillar-5"/>
      <sheetName val="Pillar-6"/>
      <sheetName val="Params"/>
      <sheetName val="Screening"/>
    </sheetNames>
    <sheetDataSet>
      <sheetData sheetId="0"/>
      <sheetData sheetId="1">
        <row r="4">
          <cell r="B4" t="str">
            <v>AUS</v>
          </cell>
          <cell r="I4">
            <v>63.028005061160194</v>
          </cell>
          <cell r="J4">
            <v>6</v>
          </cell>
        </row>
        <row r="5">
          <cell r="B5" t="str">
            <v>BGD</v>
          </cell>
          <cell r="I5">
            <v>35.835973856454167</v>
          </cell>
          <cell r="J5">
            <v>36</v>
          </cell>
        </row>
        <row r="6">
          <cell r="B6" t="str">
            <v>BIH</v>
          </cell>
          <cell r="I6">
            <v>36.142382155343178</v>
          </cell>
          <cell r="J6">
            <v>35</v>
          </cell>
        </row>
        <row r="7">
          <cell r="B7" t="str">
            <v>BRA</v>
          </cell>
          <cell r="I7">
            <v>64.650458401743364</v>
          </cell>
          <cell r="J7">
            <v>5</v>
          </cell>
        </row>
        <row r="8">
          <cell r="B8" t="str">
            <v>BGR</v>
          </cell>
          <cell r="I8">
            <v>57.302979627028883</v>
          </cell>
          <cell r="J8">
            <v>11</v>
          </cell>
        </row>
        <row r="9">
          <cell r="B9" t="str">
            <v>KHM</v>
          </cell>
          <cell r="I9">
            <v>49.013545384003486</v>
          </cell>
          <cell r="J9">
            <v>20</v>
          </cell>
        </row>
        <row r="10">
          <cell r="B10" t="str">
            <v>CAN</v>
          </cell>
          <cell r="I10">
            <v>66.630184481599045</v>
          </cell>
          <cell r="J10">
            <v>3</v>
          </cell>
        </row>
        <row r="11">
          <cell r="B11" t="str">
            <v>CHL</v>
          </cell>
          <cell r="I11">
            <v>76.456820540174689</v>
          </cell>
          <cell r="J11">
            <v>1</v>
          </cell>
        </row>
        <row r="12">
          <cell r="B12" t="str">
            <v>CHN</v>
          </cell>
          <cell r="I12">
            <v>56.080554957218574</v>
          </cell>
          <cell r="J12">
            <v>13</v>
          </cell>
        </row>
        <row r="13">
          <cell r="B13" t="str">
            <v>CZE</v>
          </cell>
          <cell r="I13">
            <v>51.304522023101846</v>
          </cell>
          <cell r="J13">
            <v>19</v>
          </cell>
        </row>
        <row r="14">
          <cell r="B14" t="str">
            <v>DOM</v>
          </cell>
          <cell r="I14">
            <v>43.719634666945737</v>
          </cell>
          <cell r="J14">
            <v>27</v>
          </cell>
        </row>
        <row r="15">
          <cell r="B15" t="str">
            <v>DEU</v>
          </cell>
          <cell r="I15">
            <v>75.331120477972661</v>
          </cell>
          <cell r="J15">
            <v>2</v>
          </cell>
        </row>
        <row r="16">
          <cell r="B16" t="str">
            <v>HKG</v>
          </cell>
          <cell r="I16">
            <v>48.284898553798406</v>
          </cell>
          <cell r="J16">
            <v>21</v>
          </cell>
        </row>
        <row r="17">
          <cell r="B17" t="str">
            <v>IND</v>
          </cell>
          <cell r="I17">
            <v>47.952595901455837</v>
          </cell>
          <cell r="J17">
            <v>23</v>
          </cell>
        </row>
        <row r="18">
          <cell r="B18" t="str">
            <v>IDN</v>
          </cell>
          <cell r="I18">
            <v>48.056860397797905</v>
          </cell>
          <cell r="J18">
            <v>22</v>
          </cell>
        </row>
        <row r="19">
          <cell r="B19" t="str">
            <v>JPN</v>
          </cell>
          <cell r="I19">
            <v>57.520220600505311</v>
          </cell>
          <cell r="J19">
            <v>10</v>
          </cell>
        </row>
        <row r="20">
          <cell r="B20" t="str">
            <v>KAZ</v>
          </cell>
          <cell r="I20">
            <v>43.387671935536424</v>
          </cell>
          <cell r="J20">
            <v>28</v>
          </cell>
        </row>
        <row r="21">
          <cell r="B21" t="str">
            <v>LAO</v>
          </cell>
          <cell r="I21">
            <v>45.789957300419907</v>
          </cell>
          <cell r="J21">
            <v>26</v>
          </cell>
        </row>
        <row r="22">
          <cell r="B22" t="str">
            <v>MYS</v>
          </cell>
          <cell r="I22">
            <v>54.846473902277928</v>
          </cell>
          <cell r="J22">
            <v>15</v>
          </cell>
        </row>
        <row r="23">
          <cell r="B23" t="str">
            <v>MEX</v>
          </cell>
          <cell r="I23">
            <v>53.653541112442582</v>
          </cell>
          <cell r="J23">
            <v>17</v>
          </cell>
        </row>
        <row r="24">
          <cell r="B24" t="str">
            <v>MNG</v>
          </cell>
          <cell r="I24">
            <v>39.448092884826892</v>
          </cell>
          <cell r="J24">
            <v>33</v>
          </cell>
        </row>
        <row r="25">
          <cell r="B25" t="str">
            <v>MAR</v>
          </cell>
          <cell r="I25">
            <v>51.315625558755357</v>
          </cell>
          <cell r="J25">
            <v>18</v>
          </cell>
        </row>
        <row r="26">
          <cell r="B26" t="str">
            <v>PRK</v>
          </cell>
          <cell r="I26">
            <v>42.08874773265952</v>
          </cell>
          <cell r="J26">
            <v>32</v>
          </cell>
        </row>
        <row r="27">
          <cell r="B27" t="str">
            <v>PAK</v>
          </cell>
          <cell r="I27">
            <v>43.023238216984879</v>
          </cell>
          <cell r="J27">
            <v>29</v>
          </cell>
        </row>
        <row r="28">
          <cell r="B28" t="str">
            <v>PHL</v>
          </cell>
          <cell r="I28">
            <v>42.809849137002836</v>
          </cell>
          <cell r="J28">
            <v>30</v>
          </cell>
        </row>
        <row r="29">
          <cell r="B29" t="str">
            <v>POL</v>
          </cell>
          <cell r="I29">
            <v>53.974034839230896</v>
          </cell>
          <cell r="J29">
            <v>16</v>
          </cell>
        </row>
        <row r="30">
          <cell r="B30" t="str">
            <v>RUS</v>
          </cell>
          <cell r="I30">
            <v>39.304260662594956</v>
          </cell>
          <cell r="J30">
            <v>34</v>
          </cell>
        </row>
        <row r="31">
          <cell r="B31" t="str">
            <v>SRB</v>
          </cell>
          <cell r="I31">
            <v>42.714682275110107</v>
          </cell>
          <cell r="J31">
            <v>31</v>
          </cell>
        </row>
        <row r="32">
          <cell r="B32" t="str">
            <v>ZAF</v>
          </cell>
          <cell r="I32">
            <v>47.932745548006302</v>
          </cell>
          <cell r="J32">
            <v>24</v>
          </cell>
        </row>
        <row r="33">
          <cell r="B33" t="str">
            <v>KOR</v>
          </cell>
          <cell r="I33">
            <v>62.724861377605393</v>
          </cell>
          <cell r="J33">
            <v>7</v>
          </cell>
        </row>
        <row r="34">
          <cell r="B34" t="str">
            <v>LKA</v>
          </cell>
          <cell r="I34">
            <v>58.39363438583743</v>
          </cell>
          <cell r="J34">
            <v>9</v>
          </cell>
        </row>
        <row r="35">
          <cell r="B35" t="str">
            <v>TWN</v>
          </cell>
          <cell r="I35">
            <v>55.345146101392736</v>
          </cell>
          <cell r="J35">
            <v>14</v>
          </cell>
        </row>
        <row r="36">
          <cell r="B36" t="str">
            <v>THA</v>
          </cell>
          <cell r="I36">
            <v>56.872104361610496</v>
          </cell>
          <cell r="J36">
            <v>12</v>
          </cell>
        </row>
        <row r="37">
          <cell r="B37" t="str">
            <v>TUR</v>
          </cell>
          <cell r="I37">
            <v>45.944579487915412</v>
          </cell>
          <cell r="J37">
            <v>25</v>
          </cell>
        </row>
        <row r="38">
          <cell r="B38" t="str">
            <v>USA</v>
          </cell>
          <cell r="I38">
            <v>65.465510500124381</v>
          </cell>
          <cell r="J38">
            <v>4</v>
          </cell>
        </row>
        <row r="39">
          <cell r="B39" t="str">
            <v>VNM</v>
          </cell>
          <cell r="I39">
            <v>59.047171451218567</v>
          </cell>
          <cell r="J39">
            <v>8</v>
          </cell>
        </row>
      </sheetData>
      <sheetData sheetId="2"/>
      <sheetData sheetId="3"/>
      <sheetData sheetId="4"/>
      <sheetData sheetId="5">
        <row r="5">
          <cell r="B5" t="str">
            <v>AUS</v>
          </cell>
          <cell r="J5">
            <v>39.436782941244644</v>
          </cell>
          <cell r="K5">
            <v>67.57442880221555</v>
          </cell>
          <cell r="L5">
            <v>35.647252392003971</v>
          </cell>
        </row>
        <row r="6">
          <cell r="B6" t="str">
            <v>BGD</v>
          </cell>
          <cell r="J6">
            <v>0.98505041140340699</v>
          </cell>
          <cell r="K6">
            <v>2.3771059312254792</v>
          </cell>
          <cell r="L6">
            <v>8.2662253381133066</v>
          </cell>
        </row>
        <row r="7">
          <cell r="B7" t="str">
            <v>BIH</v>
          </cell>
          <cell r="J7">
            <v>45.555684320315223</v>
          </cell>
          <cell r="K7">
            <v>10.939303023309487</v>
          </cell>
          <cell r="L7">
            <v>26.537613448297492</v>
          </cell>
        </row>
        <row r="8">
          <cell r="B8" t="str">
            <v>BRA</v>
          </cell>
          <cell r="J8">
            <v>100</v>
          </cell>
          <cell r="K8">
            <v>55.250403877221324</v>
          </cell>
          <cell r="L8">
            <v>100</v>
          </cell>
        </row>
        <row r="9">
          <cell r="B9" t="str">
            <v>BGR</v>
          </cell>
          <cell r="J9">
            <v>33.456947502607491</v>
          </cell>
          <cell r="K9">
            <v>41.472420955458112</v>
          </cell>
          <cell r="L9">
            <v>88.718619272097385</v>
          </cell>
        </row>
        <row r="10">
          <cell r="B10" t="str">
            <v>KHM</v>
          </cell>
          <cell r="J10">
            <v>40.120523815042304</v>
          </cell>
          <cell r="K10">
            <v>15.55504269559197</v>
          </cell>
          <cell r="L10">
            <v>38.555774825937384</v>
          </cell>
        </row>
        <row r="11">
          <cell r="B11" t="str">
            <v>CAN</v>
          </cell>
          <cell r="J11">
            <v>73.276161780044035</v>
          </cell>
          <cell r="K11">
            <v>19.986152780983154</v>
          </cell>
          <cell r="L11">
            <v>100</v>
          </cell>
        </row>
        <row r="12">
          <cell r="B12" t="str">
            <v>CHL</v>
          </cell>
          <cell r="J12">
            <v>79.962915749217771</v>
          </cell>
          <cell r="K12">
            <v>79.344564966535884</v>
          </cell>
          <cell r="L12">
            <v>92.381774932087836</v>
          </cell>
        </row>
        <row r="13">
          <cell r="B13" t="str">
            <v>CHN</v>
          </cell>
          <cell r="J13">
            <v>37.849113454629745</v>
          </cell>
          <cell r="K13">
            <v>41.610893145626584</v>
          </cell>
          <cell r="L13">
            <v>35.344241096630689</v>
          </cell>
        </row>
        <row r="14">
          <cell r="B14" t="str">
            <v>CZE</v>
          </cell>
          <cell r="J14">
            <v>18.368292965581183</v>
          </cell>
          <cell r="K14">
            <v>13.108700669282253</v>
          </cell>
          <cell r="L14">
            <v>62.590167572966372</v>
          </cell>
        </row>
        <row r="15">
          <cell r="B15" t="str">
            <v>DOM</v>
          </cell>
          <cell r="J15">
            <v>20.639703325993747</v>
          </cell>
          <cell r="K15">
            <v>26.978998384491113</v>
          </cell>
          <cell r="L15">
            <v>32.985771014171085</v>
          </cell>
        </row>
        <row r="16">
          <cell r="B16" t="str">
            <v>DEU</v>
          </cell>
          <cell r="J16">
            <v>66.751651408042662</v>
          </cell>
          <cell r="K16">
            <v>100</v>
          </cell>
          <cell r="L16">
            <v>77.61528180532973</v>
          </cell>
        </row>
        <row r="17">
          <cell r="B17" t="str">
            <v>HKG</v>
          </cell>
          <cell r="J17">
            <v>0</v>
          </cell>
          <cell r="K17">
            <v>1.0154627279021462</v>
          </cell>
          <cell r="L17">
            <v>12.168702021201133</v>
          </cell>
        </row>
        <row r="18">
          <cell r="B18" t="str">
            <v>IND</v>
          </cell>
          <cell r="J18">
            <v>21.752230849461121</v>
          </cell>
          <cell r="K18">
            <v>25.063466420493885</v>
          </cell>
          <cell r="L18">
            <v>6.3941173348516065</v>
          </cell>
        </row>
        <row r="19">
          <cell r="B19" t="str">
            <v>IDN</v>
          </cell>
          <cell r="J19">
            <v>19.758952369915402</v>
          </cell>
          <cell r="K19">
            <v>0.7385183475651973</v>
          </cell>
          <cell r="L19">
            <v>11.248088085576562</v>
          </cell>
        </row>
        <row r="20">
          <cell r="B20" t="str">
            <v>JPN</v>
          </cell>
          <cell r="J20">
            <v>25.37953412909955</v>
          </cell>
          <cell r="K20">
            <v>24.186475882760213</v>
          </cell>
          <cell r="L20">
            <v>49.234510477532289</v>
          </cell>
        </row>
        <row r="21">
          <cell r="B21" t="str">
            <v>KAZ</v>
          </cell>
          <cell r="J21">
            <v>16.421369799513272</v>
          </cell>
          <cell r="K21">
            <v>12.808677590583892</v>
          </cell>
          <cell r="L21">
            <v>0</v>
          </cell>
        </row>
        <row r="22">
          <cell r="B22" t="str">
            <v>LAO</v>
          </cell>
          <cell r="J22">
            <v>87.704253100011584</v>
          </cell>
          <cell r="K22">
            <v>0</v>
          </cell>
          <cell r="L22">
            <v>97.745267861020096</v>
          </cell>
        </row>
        <row r="23">
          <cell r="B23" t="str">
            <v>MYS</v>
          </cell>
          <cell r="J23">
            <v>22.389616409780974</v>
          </cell>
          <cell r="K23">
            <v>4.408031387029772</v>
          </cell>
          <cell r="L23">
            <v>26.651483935093811</v>
          </cell>
        </row>
        <row r="24">
          <cell r="B24" t="str">
            <v>MEX</v>
          </cell>
          <cell r="J24">
            <v>23.270367365859315</v>
          </cell>
          <cell r="K24">
            <v>29.148396030463886</v>
          </cell>
          <cell r="L24">
            <v>49.290480716805071</v>
          </cell>
        </row>
        <row r="25">
          <cell r="B25" t="str">
            <v>MNG</v>
          </cell>
          <cell r="J25">
            <v>9.0392861281724421</v>
          </cell>
          <cell r="K25">
            <v>18.439879990768521</v>
          </cell>
          <cell r="L25">
            <v>0</v>
          </cell>
        </row>
        <row r="26">
          <cell r="B26" t="str">
            <v>MAR</v>
          </cell>
          <cell r="J26">
            <v>27.071503071039523</v>
          </cell>
          <cell r="K26">
            <v>51.303946457419791</v>
          </cell>
          <cell r="L26">
            <v>27.73807858028594</v>
          </cell>
        </row>
        <row r="27">
          <cell r="B27" t="str">
            <v>PRK</v>
          </cell>
          <cell r="J27">
            <v>72.221578398423929</v>
          </cell>
          <cell r="K27">
            <v>1.061620124624971</v>
          </cell>
          <cell r="L27">
            <v>76.802748331749129</v>
          </cell>
        </row>
        <row r="28">
          <cell r="B28" t="str">
            <v>PAK</v>
          </cell>
          <cell r="J28">
            <v>46.459612933132469</v>
          </cell>
          <cell r="K28">
            <v>34.479575351950146</v>
          </cell>
          <cell r="L28">
            <v>52.021442391666227</v>
          </cell>
        </row>
        <row r="29">
          <cell r="B29" t="str">
            <v>PHL</v>
          </cell>
          <cell r="J29">
            <v>22.528682350214396</v>
          </cell>
          <cell r="K29">
            <v>6.2774059543041787</v>
          </cell>
          <cell r="L29">
            <v>22.542496369171971</v>
          </cell>
        </row>
        <row r="30">
          <cell r="B30" t="str">
            <v>POL</v>
          </cell>
          <cell r="J30">
            <v>34.893962220419517</v>
          </cell>
          <cell r="K30">
            <v>57.996768982229405</v>
          </cell>
          <cell r="L30">
            <v>25.15765754898603</v>
          </cell>
        </row>
        <row r="31">
          <cell r="B31" t="str">
            <v>RUS</v>
          </cell>
          <cell r="J31">
            <v>19.770541198284857</v>
          </cell>
          <cell r="K31">
            <v>1.0385414262635586</v>
          </cell>
          <cell r="L31">
            <v>56.462391376723133</v>
          </cell>
        </row>
        <row r="32">
          <cell r="B32" t="str">
            <v>SRB</v>
          </cell>
          <cell r="J32">
            <v>35.948545602039637</v>
          </cell>
          <cell r="K32">
            <v>8.4006462035541194</v>
          </cell>
          <cell r="L32">
            <v>13.92114951291417</v>
          </cell>
        </row>
        <row r="33">
          <cell r="B33" t="str">
            <v>ZAF</v>
          </cell>
          <cell r="J33">
            <v>13.280797311391821</v>
          </cell>
          <cell r="K33">
            <v>27.002077082852527</v>
          </cell>
          <cell r="L33">
            <v>4.0858274669124137</v>
          </cell>
        </row>
        <row r="34">
          <cell r="B34" t="str">
            <v>KOR</v>
          </cell>
          <cell r="J34">
            <v>10.047514196314754</v>
          </cell>
          <cell r="K34">
            <v>12.924071082390952</v>
          </cell>
          <cell r="L34">
            <v>62.343126516865865</v>
          </cell>
        </row>
        <row r="35">
          <cell r="B35" t="str">
            <v>LKA</v>
          </cell>
          <cell r="J35">
            <v>62.811449762429028</v>
          </cell>
          <cell r="K35">
            <v>29.079159935379646</v>
          </cell>
          <cell r="L35">
            <v>69.497667102526876</v>
          </cell>
        </row>
        <row r="36">
          <cell r="B36" t="str">
            <v>TWN</v>
          </cell>
          <cell r="J36">
            <v>11.449762429018426</v>
          </cell>
          <cell r="K36">
            <v>19.778444495730444</v>
          </cell>
          <cell r="L36">
            <v>19.944705263614988</v>
          </cell>
        </row>
        <row r="37">
          <cell r="B37" t="str">
            <v>THA</v>
          </cell>
          <cell r="J37">
            <v>15.980994321474098</v>
          </cell>
          <cell r="K37">
            <v>9.7853681052388666</v>
          </cell>
          <cell r="L37">
            <v>35.473551649433297</v>
          </cell>
        </row>
        <row r="38">
          <cell r="B38" t="str">
            <v>TUR</v>
          </cell>
          <cell r="J38">
            <v>51.651408042646892</v>
          </cell>
          <cell r="K38">
            <v>41.680129240710819</v>
          </cell>
          <cell r="L38">
            <v>51.876691772857328</v>
          </cell>
        </row>
        <row r="39">
          <cell r="B39" t="str">
            <v>USA</v>
          </cell>
          <cell r="J39">
            <v>26.689071734847609</v>
          </cell>
          <cell r="K39">
            <v>39.326102007846757</v>
          </cell>
          <cell r="L39">
            <v>68.467042696607535</v>
          </cell>
        </row>
        <row r="40">
          <cell r="B40" t="str">
            <v>VNM</v>
          </cell>
          <cell r="J40">
            <v>47.792328195619433</v>
          </cell>
          <cell r="K40">
            <v>28.963766443572585</v>
          </cell>
          <cell r="L40">
            <v>49.062739743212404</v>
          </cell>
        </row>
      </sheetData>
      <sheetData sheetId="6">
        <row r="5">
          <cell r="B5" t="str">
            <v>AUS</v>
          </cell>
          <cell r="K5">
            <v>67.981481481481495</v>
          </cell>
          <cell r="L5">
            <v>94.050398941462888</v>
          </cell>
          <cell r="M5">
            <v>100</v>
          </cell>
          <cell r="N5">
            <v>82.282873526444007</v>
          </cell>
          <cell r="O5">
            <v>81.444233195330398</v>
          </cell>
          <cell r="P5">
            <v>86.61953266464127</v>
          </cell>
          <cell r="Q5">
            <v>100</v>
          </cell>
          <cell r="R5">
            <v>0</v>
          </cell>
        </row>
        <row r="6">
          <cell r="B6" t="str">
            <v>BGD</v>
          </cell>
          <cell r="K6">
            <v>26.785714285714199</v>
          </cell>
          <cell r="L6">
            <v>53.692539531633265</v>
          </cell>
          <cell r="M6">
            <v>0</v>
          </cell>
          <cell r="N6">
            <v>0</v>
          </cell>
          <cell r="O6">
            <v>8.3228202349011209</v>
          </cell>
          <cell r="P6">
            <v>2.1387485576735785</v>
          </cell>
          <cell r="Q6">
            <v>0</v>
          </cell>
          <cell r="R6">
            <v>0</v>
          </cell>
        </row>
        <row r="7">
          <cell r="B7" t="str">
            <v>BIH</v>
          </cell>
          <cell r="K7">
            <v>35.8333333333333</v>
          </cell>
          <cell r="L7">
            <v>24.827737379320858</v>
          </cell>
          <cell r="M7">
            <v>100</v>
          </cell>
          <cell r="N7">
            <v>69.155612433243917</v>
          </cell>
          <cell r="O7">
            <v>43.597078839353934</v>
          </cell>
          <cell r="P7">
            <v>56.545676910245213</v>
          </cell>
          <cell r="Q7">
            <v>0</v>
          </cell>
          <cell r="R7">
            <v>0</v>
          </cell>
        </row>
        <row r="8">
          <cell r="B8" t="str">
            <v>BRA</v>
          </cell>
          <cell r="K8">
            <v>65.092592592592595</v>
          </cell>
          <cell r="L8">
            <v>100</v>
          </cell>
          <cell r="M8">
            <v>100</v>
          </cell>
          <cell r="N8">
            <v>46.420397214087075</v>
          </cell>
          <cell r="O8">
            <v>46.859396933136708</v>
          </cell>
          <cell r="P8">
            <v>42.459063859946333</v>
          </cell>
          <cell r="Q8">
            <v>70</v>
          </cell>
          <cell r="R8">
            <v>0</v>
          </cell>
        </row>
        <row r="9">
          <cell r="B9" t="str">
            <v>BGR</v>
          </cell>
          <cell r="K9">
            <v>27.63</v>
          </cell>
          <cell r="L9">
            <v>100</v>
          </cell>
          <cell r="M9">
            <v>100</v>
          </cell>
          <cell r="N9">
            <v>84.684862057933202</v>
          </cell>
          <cell r="O9">
            <v>63.185202295705309</v>
          </cell>
          <cell r="P9">
            <v>87.373215728812397</v>
          </cell>
          <cell r="Q9">
            <v>100</v>
          </cell>
          <cell r="R9">
            <v>25</v>
          </cell>
        </row>
        <row r="10">
          <cell r="B10" t="str">
            <v>KHM</v>
          </cell>
          <cell r="K10">
            <v>16.507936507936499</v>
          </cell>
          <cell r="L10">
            <v>100</v>
          </cell>
          <cell r="M10">
            <v>6.063806897090851E-2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B11" t="str">
            <v>CAN</v>
          </cell>
          <cell r="K11">
            <v>33.648148148148103</v>
          </cell>
          <cell r="L11">
            <v>100</v>
          </cell>
          <cell r="M11">
            <v>100</v>
          </cell>
          <cell r="N11">
            <v>54.281003125538362</v>
          </cell>
          <cell r="O11">
            <v>0.43355425647221668</v>
          </cell>
          <cell r="P11">
            <v>2.2338232561355702</v>
          </cell>
          <cell r="Q11">
            <v>100</v>
          </cell>
          <cell r="R11">
            <v>75</v>
          </cell>
        </row>
        <row r="12">
          <cell r="B12" t="str">
            <v>CHL</v>
          </cell>
          <cell r="K12">
            <v>67.0555555555555</v>
          </cell>
          <cell r="L12">
            <v>100</v>
          </cell>
          <cell r="M12">
            <v>100</v>
          </cell>
          <cell r="N12">
            <v>100</v>
          </cell>
          <cell r="O12">
            <v>100</v>
          </cell>
          <cell r="P12">
            <v>100</v>
          </cell>
          <cell r="Q12">
            <v>100</v>
          </cell>
          <cell r="R12">
            <v>100</v>
          </cell>
        </row>
        <row r="13">
          <cell r="B13" t="str">
            <v>CHN</v>
          </cell>
          <cell r="K13">
            <v>58.410052910052897</v>
          </cell>
          <cell r="L13">
            <v>75.679681922099491</v>
          </cell>
          <cell r="M13">
            <v>8.6092233949411892</v>
          </cell>
          <cell r="N13">
            <v>62.515689218123185</v>
          </cell>
          <cell r="O13">
            <v>36.688640523108084</v>
          </cell>
          <cell r="P13">
            <v>46.596541873922313</v>
          </cell>
          <cell r="Q13">
            <v>100</v>
          </cell>
          <cell r="R13">
            <v>0</v>
          </cell>
        </row>
        <row r="14">
          <cell r="B14" t="str">
            <v>CZE</v>
          </cell>
          <cell r="K14">
            <v>77.703703703703695</v>
          </cell>
          <cell r="L14">
            <v>100</v>
          </cell>
          <cell r="M14">
            <v>100</v>
          </cell>
          <cell r="N14">
            <v>55.98405237122536</v>
          </cell>
          <cell r="O14">
            <v>28.131274542902325</v>
          </cell>
          <cell r="P14">
            <v>53.449699002147824</v>
          </cell>
          <cell r="Q14">
            <v>100</v>
          </cell>
          <cell r="R14">
            <v>75</v>
          </cell>
        </row>
        <row r="15">
          <cell r="B15" t="str">
            <v>DOM</v>
          </cell>
          <cell r="K15">
            <v>31.2486772486772</v>
          </cell>
          <cell r="L15">
            <v>100</v>
          </cell>
          <cell r="M15">
            <v>100</v>
          </cell>
          <cell r="N15">
            <v>4.7793665247458987</v>
          </cell>
          <cell r="O15">
            <v>31.166154338207853</v>
          </cell>
          <cell r="P15">
            <v>16.908170806017402</v>
          </cell>
          <cell r="Q15">
            <v>20</v>
          </cell>
          <cell r="R15">
            <v>0</v>
          </cell>
        </row>
        <row r="16">
          <cell r="B16" t="str">
            <v>DEU</v>
          </cell>
          <cell r="K16">
            <v>85.941798941798893</v>
          </cell>
          <cell r="L16">
            <v>100</v>
          </cell>
          <cell r="M16">
            <v>100</v>
          </cell>
          <cell r="N16">
            <v>55.816700711244557</v>
          </cell>
          <cell r="O16">
            <v>96.483590682137205</v>
          </cell>
          <cell r="P16">
            <v>31.939480632851769</v>
          </cell>
          <cell r="Q16">
            <v>100</v>
          </cell>
          <cell r="R16">
            <v>100</v>
          </cell>
        </row>
        <row r="17">
          <cell r="B17" t="str">
            <v>HKG</v>
          </cell>
          <cell r="K17">
            <v>59.825396825396794</v>
          </cell>
          <cell r="L17">
            <v>100</v>
          </cell>
          <cell r="M17">
            <v>100</v>
          </cell>
          <cell r="N17">
            <v>100</v>
          </cell>
          <cell r="O17">
            <v>9.0548872581247011</v>
          </cell>
          <cell r="P17">
            <v>58.797218632912241</v>
          </cell>
          <cell r="Q17">
            <v>0</v>
          </cell>
          <cell r="R17">
            <v>75</v>
          </cell>
        </row>
        <row r="18">
          <cell r="B18" t="str">
            <v>IND</v>
          </cell>
          <cell r="K18">
            <v>67.785185185185099</v>
          </cell>
          <cell r="L18">
            <v>48.69916365109016</v>
          </cell>
          <cell r="M18">
            <v>48.415657553043133</v>
          </cell>
          <cell r="N18">
            <v>38.958482022001817</v>
          </cell>
          <cell r="O18">
            <v>15.281010678938845</v>
          </cell>
          <cell r="P18">
            <v>18.920297151648455</v>
          </cell>
          <cell r="Q18">
            <v>100</v>
          </cell>
          <cell r="R18">
            <v>0</v>
          </cell>
        </row>
        <row r="19">
          <cell r="B19" t="str">
            <v>IDN</v>
          </cell>
          <cell r="K19">
            <v>46.6666666666666</v>
          </cell>
          <cell r="L19">
            <v>82.509517808732525</v>
          </cell>
          <cell r="M19">
            <v>71.61677512646969</v>
          </cell>
          <cell r="N19">
            <v>35.380109763000533</v>
          </cell>
          <cell r="O19">
            <v>14.42100961282183</v>
          </cell>
          <cell r="P19">
            <v>19.478644926252276</v>
          </cell>
          <cell r="Q19">
            <v>100</v>
          </cell>
          <cell r="R19">
            <v>0</v>
          </cell>
        </row>
        <row r="20">
          <cell r="B20" t="str">
            <v>JPN</v>
          </cell>
          <cell r="K20">
            <v>63.537037037037003</v>
          </cell>
          <cell r="L20">
            <v>98.655949662038168</v>
          </cell>
          <cell r="M20">
            <v>100</v>
          </cell>
          <cell r="N20">
            <v>46.095538109418463</v>
          </cell>
          <cell r="O20">
            <v>34.307645835924582</v>
          </cell>
          <cell r="P20">
            <v>39.931805511739569</v>
          </cell>
          <cell r="Q20">
            <v>100</v>
          </cell>
          <cell r="R20">
            <v>0</v>
          </cell>
        </row>
        <row r="21">
          <cell r="B21" t="str">
            <v>KAZ</v>
          </cell>
          <cell r="K21">
            <v>24.923280423280399</v>
          </cell>
          <cell r="L21">
            <v>36.329076541434269</v>
          </cell>
          <cell r="M21">
            <v>94.202602573148454</v>
          </cell>
          <cell r="N21">
            <v>97.516796692343689</v>
          </cell>
          <cell r="O21">
            <v>27.214413902165997</v>
          </cell>
          <cell r="P21">
            <v>30.481380484621685</v>
          </cell>
          <cell r="Q21">
            <v>100</v>
          </cell>
          <cell r="R21">
            <v>0</v>
          </cell>
        </row>
        <row r="22">
          <cell r="B22" t="str">
            <v>LAO</v>
          </cell>
          <cell r="K22">
            <v>23.8941798941798</v>
          </cell>
          <cell r="L22">
            <v>0</v>
          </cell>
          <cell r="M22">
            <v>12.344462228194997</v>
          </cell>
          <cell r="N22">
            <v>82.597888415819654</v>
          </cell>
          <cell r="O22">
            <v>65.708345919437093</v>
          </cell>
          <cell r="P22">
            <v>76.827703038500914</v>
          </cell>
          <cell r="Q22">
            <v>0</v>
          </cell>
          <cell r="R22">
            <v>0</v>
          </cell>
        </row>
        <row r="23">
          <cell r="B23" t="str">
            <v>MYS</v>
          </cell>
          <cell r="K23">
            <v>27.955026455026399</v>
          </cell>
          <cell r="L23">
            <v>100</v>
          </cell>
          <cell r="M23">
            <v>100</v>
          </cell>
          <cell r="N23">
            <v>53.478699579159809</v>
          </cell>
          <cell r="O23">
            <v>24.442509639474761</v>
          </cell>
          <cell r="P23">
            <v>30.149483355445383</v>
          </cell>
          <cell r="Q23">
            <v>70</v>
          </cell>
          <cell r="R23">
            <v>100</v>
          </cell>
        </row>
        <row r="24">
          <cell r="B24" t="str">
            <v>MEX</v>
          </cell>
          <cell r="K24">
            <v>74.962962962962905</v>
          </cell>
          <cell r="L24">
            <v>100</v>
          </cell>
          <cell r="M24">
            <v>100</v>
          </cell>
          <cell r="N24">
            <v>56.791278025250413</v>
          </cell>
          <cell r="O24">
            <v>19.11903196574211</v>
          </cell>
          <cell r="P24">
            <v>28.153779003185026</v>
          </cell>
          <cell r="Q24">
            <v>100</v>
          </cell>
          <cell r="R24">
            <v>0</v>
          </cell>
        </row>
        <row r="25">
          <cell r="B25" t="str">
            <v>MNG</v>
          </cell>
          <cell r="K25">
            <v>9.7777777777777803</v>
          </cell>
          <cell r="L25">
            <v>0</v>
          </cell>
          <cell r="M25">
            <v>0</v>
          </cell>
          <cell r="N25">
            <v>39.539290724288151</v>
          </cell>
          <cell r="O25">
            <v>0</v>
          </cell>
          <cell r="P25">
            <v>9.9409240396375047</v>
          </cell>
          <cell r="Q25">
            <v>0</v>
          </cell>
          <cell r="R25">
            <v>0</v>
          </cell>
        </row>
        <row r="26">
          <cell r="B26" t="str">
            <v>MAR</v>
          </cell>
          <cell r="K26">
            <v>41.1719576719576</v>
          </cell>
          <cell r="L26">
            <v>100</v>
          </cell>
          <cell r="M26">
            <v>100</v>
          </cell>
          <cell r="N26">
            <v>61.546034011763837</v>
          </cell>
          <cell r="O26">
            <v>26.553421347216538</v>
          </cell>
          <cell r="P26">
            <v>33.339671646564163</v>
          </cell>
          <cell r="Q26">
            <v>20</v>
          </cell>
          <cell r="R26">
            <v>25</v>
          </cell>
        </row>
        <row r="27">
          <cell r="B27" t="str">
            <v>PRK</v>
          </cell>
          <cell r="K27">
            <v>59.83</v>
          </cell>
          <cell r="L27">
            <v>100</v>
          </cell>
          <cell r="M27">
            <v>100</v>
          </cell>
          <cell r="N27">
            <v>92.087711958260542</v>
          </cell>
          <cell r="O27">
            <v>85.559444908402753</v>
          </cell>
          <cell r="P27">
            <v>95.003392438104228</v>
          </cell>
          <cell r="Q27">
            <v>0</v>
          </cell>
          <cell r="R27">
            <v>0</v>
          </cell>
        </row>
        <row r="28">
          <cell r="B28" t="str">
            <v>PAK</v>
          </cell>
          <cell r="K28">
            <v>23.031746031746</v>
          </cell>
          <cell r="L28">
            <v>66.646832960356576</v>
          </cell>
          <cell r="M28">
            <v>96.70614282699141</v>
          </cell>
          <cell r="N28">
            <v>60.802795757143215</v>
          </cell>
          <cell r="O28">
            <v>59.695445903445332</v>
          </cell>
          <cell r="P28">
            <v>18.920297151648455</v>
          </cell>
          <cell r="Q28">
            <v>20</v>
          </cell>
          <cell r="R28">
            <v>0</v>
          </cell>
        </row>
        <row r="29">
          <cell r="B29" t="str">
            <v>PHL</v>
          </cell>
          <cell r="K29">
            <v>39.341269841269799</v>
          </cell>
          <cell r="L29">
            <v>72.582113043434831</v>
          </cell>
          <cell r="M29">
            <v>57.898661926694736</v>
          </cell>
          <cell r="N29">
            <v>8.9828464548519804</v>
          </cell>
          <cell r="O29">
            <v>5.2950478864229993</v>
          </cell>
          <cell r="P29">
            <v>0</v>
          </cell>
          <cell r="Q29">
            <v>20</v>
          </cell>
          <cell r="R29">
            <v>0</v>
          </cell>
        </row>
        <row r="30">
          <cell r="B30" t="str">
            <v>POL</v>
          </cell>
          <cell r="K30">
            <v>62.886243386243301</v>
          </cell>
          <cell r="L30">
            <v>100</v>
          </cell>
          <cell r="M30">
            <v>97.987221530146357</v>
          </cell>
          <cell r="N30">
            <v>99.106637462161302</v>
          </cell>
          <cell r="O30">
            <v>84.806055544696946</v>
          </cell>
          <cell r="P30">
            <v>100</v>
          </cell>
          <cell r="Q30">
            <v>100</v>
          </cell>
          <cell r="R30">
            <v>75</v>
          </cell>
        </row>
        <row r="31">
          <cell r="B31" t="str">
            <v>RUS</v>
          </cell>
          <cell r="K31">
            <v>29.592592592592599</v>
          </cell>
          <cell r="L31">
            <v>87.288347513462455</v>
          </cell>
          <cell r="M31">
            <v>80.525495665421474</v>
          </cell>
          <cell r="N31">
            <v>36.768144119311899</v>
          </cell>
          <cell r="O31">
            <v>2.1890936228433309</v>
          </cell>
          <cell r="P31">
            <v>1.8517958314066303</v>
          </cell>
          <cell r="Q31">
            <v>0</v>
          </cell>
          <cell r="R31">
            <v>0</v>
          </cell>
        </row>
        <row r="32">
          <cell r="B32" t="str">
            <v>SRB</v>
          </cell>
          <cell r="K32">
            <v>50.711640211640201</v>
          </cell>
          <cell r="L32">
            <v>100</v>
          </cell>
          <cell r="M32">
            <v>100</v>
          </cell>
          <cell r="N32">
            <v>71.87261585410873</v>
          </cell>
          <cell r="O32">
            <v>31.038220295314417</v>
          </cell>
          <cell r="P32">
            <v>56.875845408540307</v>
          </cell>
          <cell r="Q32">
            <v>100</v>
          </cell>
          <cell r="R32">
            <v>75</v>
          </cell>
        </row>
        <row r="33">
          <cell r="B33" t="str">
            <v>ZAF</v>
          </cell>
          <cell r="K33">
            <v>54.018518518518498</v>
          </cell>
          <cell r="L33">
            <v>95.395957195727334</v>
          </cell>
          <cell r="M33">
            <v>100</v>
          </cell>
          <cell r="N33">
            <v>64.819235596682546</v>
          </cell>
          <cell r="O33">
            <v>46.290801186943611</v>
          </cell>
          <cell r="P33">
            <v>45.735683695121374</v>
          </cell>
          <cell r="Q33">
            <v>100</v>
          </cell>
          <cell r="R33">
            <v>0</v>
          </cell>
        </row>
        <row r="34">
          <cell r="B34" t="str">
            <v>KOR</v>
          </cell>
          <cell r="K34">
            <v>61.240740740740698</v>
          </cell>
          <cell r="L34">
            <v>100</v>
          </cell>
          <cell r="M34">
            <v>100</v>
          </cell>
          <cell r="N34">
            <v>74.678217212610434</v>
          </cell>
          <cell r="O34">
            <v>26.553421347216542</v>
          </cell>
          <cell r="P34">
            <v>56.667545387364584</v>
          </cell>
          <cell r="Q34">
            <v>100</v>
          </cell>
          <cell r="R34">
            <v>75</v>
          </cell>
        </row>
        <row r="35">
          <cell r="B35" t="str">
            <v>LKA</v>
          </cell>
          <cell r="K35">
            <v>41.089947089947003</v>
          </cell>
          <cell r="L35">
            <v>100</v>
          </cell>
          <cell r="M35">
            <v>100</v>
          </cell>
          <cell r="N35">
            <v>58.573080993281309</v>
          </cell>
          <cell r="O35">
            <v>100</v>
          </cell>
          <cell r="P35">
            <v>97.608439175961649</v>
          </cell>
          <cell r="Q35">
            <v>0</v>
          </cell>
          <cell r="R35">
            <v>100</v>
          </cell>
        </row>
        <row r="36">
          <cell r="B36" t="str">
            <v>TWN</v>
          </cell>
          <cell r="K36">
            <v>59.825396825396794</v>
          </cell>
          <cell r="L36">
            <v>100</v>
          </cell>
          <cell r="M36">
            <v>100</v>
          </cell>
          <cell r="N36">
            <v>63.938178327960038</v>
          </cell>
          <cell r="O36">
            <v>37.626823504326659</v>
          </cell>
          <cell r="P36">
            <v>19.85980803554061</v>
          </cell>
          <cell r="Q36">
            <v>100</v>
          </cell>
          <cell r="R36">
            <v>0</v>
          </cell>
        </row>
        <row r="37">
          <cell r="B37" t="str">
            <v>THA</v>
          </cell>
          <cell r="K37">
            <v>49.592592592592602</v>
          </cell>
          <cell r="L37">
            <v>100</v>
          </cell>
          <cell r="M37">
            <v>100</v>
          </cell>
          <cell r="N37">
            <v>55.01931927251249</v>
          </cell>
          <cell r="O37">
            <v>9.3960447058405485</v>
          </cell>
          <cell r="P37">
            <v>21.018855041335868</v>
          </cell>
          <cell r="Q37">
            <v>70</v>
          </cell>
          <cell r="R37">
            <v>0</v>
          </cell>
        </row>
        <row r="38">
          <cell r="B38" t="str">
            <v>TUR</v>
          </cell>
          <cell r="K38">
            <v>54.936507936507901</v>
          </cell>
          <cell r="L38">
            <v>95.212331093972608</v>
          </cell>
          <cell r="M38">
            <v>100</v>
          </cell>
          <cell r="N38">
            <v>41.882213964019407</v>
          </cell>
          <cell r="O38">
            <v>16.631425576147411</v>
          </cell>
          <cell r="P38">
            <v>17.999801207448666</v>
          </cell>
          <cell r="Q38">
            <v>0</v>
          </cell>
          <cell r="R38">
            <v>0</v>
          </cell>
        </row>
        <row r="39">
          <cell r="B39" t="str">
            <v>USA</v>
          </cell>
          <cell r="K39">
            <v>74.796296296296205</v>
          </cell>
          <cell r="L39">
            <v>99.162910198688849</v>
          </cell>
          <cell r="M39">
            <v>100</v>
          </cell>
          <cell r="N39">
            <v>67.66913592400266</v>
          </cell>
          <cell r="O39">
            <v>32.601858597345363</v>
          </cell>
          <cell r="P39">
            <v>41.847992843468177</v>
          </cell>
          <cell r="Q39">
            <v>0</v>
          </cell>
          <cell r="R39">
            <v>75</v>
          </cell>
        </row>
        <row r="40">
          <cell r="B40" t="str">
            <v>VNM</v>
          </cell>
          <cell r="K40">
            <v>27.629629629629601</v>
          </cell>
          <cell r="L40">
            <v>83.39853693454414</v>
          </cell>
          <cell r="M40">
            <v>33.228293699595682</v>
          </cell>
          <cell r="N40">
            <v>50.653409790072111</v>
          </cell>
          <cell r="O40">
            <v>70.250004442154264</v>
          </cell>
          <cell r="P40">
            <v>61.499068700112815</v>
          </cell>
          <cell r="Q40">
            <v>100</v>
          </cell>
          <cell r="R40">
            <v>50</v>
          </cell>
        </row>
      </sheetData>
      <sheetData sheetId="7">
        <row r="5">
          <cell r="B5" t="str">
            <v>AUS</v>
          </cell>
          <cell r="H5">
            <v>79.44</v>
          </cell>
          <cell r="I5">
            <v>86.52</v>
          </cell>
          <cell r="J5">
            <v>82.03</v>
          </cell>
          <cell r="K5">
            <v>82.27</v>
          </cell>
          <cell r="L5">
            <v>85.34</v>
          </cell>
        </row>
        <row r="6">
          <cell r="B6" t="str">
            <v>BGD</v>
          </cell>
          <cell r="H6">
            <v>40.9</v>
          </cell>
          <cell r="I6">
            <v>39.31</v>
          </cell>
          <cell r="J6">
            <v>39.880000000000003</v>
          </cell>
          <cell r="K6">
            <v>40.44</v>
          </cell>
          <cell r="L6">
            <v>25.55</v>
          </cell>
        </row>
        <row r="7">
          <cell r="B7" t="str">
            <v>BIH</v>
          </cell>
          <cell r="H7">
            <v>57.34</v>
          </cell>
          <cell r="I7">
            <v>38.99</v>
          </cell>
          <cell r="J7">
            <v>49.35</v>
          </cell>
          <cell r="K7">
            <v>51.47</v>
          </cell>
          <cell r="L7">
            <v>37.47</v>
          </cell>
        </row>
        <row r="8">
          <cell r="B8" t="str">
            <v>BRA</v>
          </cell>
          <cell r="H8">
            <v>57</v>
          </cell>
          <cell r="I8">
            <v>46.98</v>
          </cell>
          <cell r="J8">
            <v>50.22</v>
          </cell>
          <cell r="K8">
            <v>49.28</v>
          </cell>
          <cell r="L8">
            <v>39.58</v>
          </cell>
        </row>
        <row r="9">
          <cell r="B9" t="str">
            <v>BGR</v>
          </cell>
          <cell r="H9">
            <v>66.58</v>
          </cell>
          <cell r="I9">
            <v>52.17</v>
          </cell>
          <cell r="J9">
            <v>59.41</v>
          </cell>
          <cell r="K9">
            <v>56.39</v>
          </cell>
          <cell r="L9">
            <v>43</v>
          </cell>
        </row>
        <row r="10">
          <cell r="B10" t="str">
            <v>KHM</v>
          </cell>
          <cell r="H10">
            <v>68.09</v>
          </cell>
          <cell r="I10">
            <v>45.63</v>
          </cell>
          <cell r="J10">
            <v>44.91</v>
          </cell>
          <cell r="K10">
            <v>38.79</v>
          </cell>
          <cell r="L10">
            <v>22.9</v>
          </cell>
        </row>
        <row r="11">
          <cell r="B11" t="str">
            <v>CAN</v>
          </cell>
          <cell r="H11">
            <v>76.12</v>
          </cell>
          <cell r="I11">
            <v>85.54</v>
          </cell>
          <cell r="J11">
            <v>76.349999999999994</v>
          </cell>
          <cell r="K11">
            <v>82.11</v>
          </cell>
          <cell r="L11">
            <v>80.89</v>
          </cell>
        </row>
        <row r="12">
          <cell r="B12" t="str">
            <v>CHL</v>
          </cell>
          <cell r="H12">
            <v>67.97</v>
          </cell>
          <cell r="I12">
            <v>70.09</v>
          </cell>
          <cell r="J12">
            <v>67.180000000000007</v>
          </cell>
          <cell r="K12">
            <v>68.86</v>
          </cell>
          <cell r="L12">
            <v>70.239999999999995</v>
          </cell>
        </row>
        <row r="13">
          <cell r="B13" t="str">
            <v>CHN</v>
          </cell>
          <cell r="H13">
            <v>63.28</v>
          </cell>
          <cell r="I13">
            <v>68.760000000000005</v>
          </cell>
          <cell r="J13">
            <v>53.74</v>
          </cell>
          <cell r="K13">
            <v>46.99</v>
          </cell>
          <cell r="L13">
            <v>49.65</v>
          </cell>
        </row>
        <row r="14">
          <cell r="B14" t="str">
            <v>CZE</v>
          </cell>
          <cell r="H14">
            <v>82.5</v>
          </cell>
          <cell r="I14">
            <v>74.23</v>
          </cell>
          <cell r="J14">
            <v>74.290000000000006</v>
          </cell>
          <cell r="K14">
            <v>77.41</v>
          </cell>
          <cell r="L14">
            <v>66.7</v>
          </cell>
        </row>
        <row r="15">
          <cell r="B15" t="str">
            <v>DOM</v>
          </cell>
          <cell r="H15">
            <v>75.959999999999994</v>
          </cell>
          <cell r="I15">
            <v>52.79</v>
          </cell>
          <cell r="J15">
            <v>58.13</v>
          </cell>
          <cell r="K15">
            <v>53.83</v>
          </cell>
          <cell r="L15">
            <v>42.48</v>
          </cell>
        </row>
        <row r="16">
          <cell r="B16" t="str">
            <v>DEU</v>
          </cell>
          <cell r="H16">
            <v>68.02</v>
          </cell>
          <cell r="I16">
            <v>81.41</v>
          </cell>
          <cell r="J16">
            <v>78.489999999999995</v>
          </cell>
          <cell r="K16">
            <v>84.95</v>
          </cell>
          <cell r="L16">
            <v>83.75</v>
          </cell>
        </row>
        <row r="17">
          <cell r="B17" t="str">
            <v>HKG</v>
          </cell>
          <cell r="H17">
            <v>76.67</v>
          </cell>
          <cell r="I17">
            <v>83.18</v>
          </cell>
          <cell r="J17">
            <v>82.3</v>
          </cell>
          <cell r="K17">
            <v>72.819999999999993</v>
          </cell>
          <cell r="L17">
            <v>79.680000000000007</v>
          </cell>
        </row>
        <row r="18">
          <cell r="B18" t="str">
            <v>IND</v>
          </cell>
          <cell r="H18">
            <v>52.47</v>
          </cell>
          <cell r="I18">
            <v>59.21</v>
          </cell>
          <cell r="J18">
            <v>53.35</v>
          </cell>
          <cell r="K18">
            <v>56.29</v>
          </cell>
          <cell r="L18">
            <v>41.88</v>
          </cell>
        </row>
        <row r="19">
          <cell r="B19" t="str">
            <v>IDN</v>
          </cell>
          <cell r="H19">
            <v>55.49</v>
          </cell>
          <cell r="I19">
            <v>54.84</v>
          </cell>
          <cell r="J19">
            <v>56.83</v>
          </cell>
          <cell r="K19">
            <v>53.41</v>
          </cell>
          <cell r="L19">
            <v>36.83</v>
          </cell>
        </row>
        <row r="20">
          <cell r="B20" t="str">
            <v>JPN</v>
          </cell>
          <cell r="H20">
            <v>85.27</v>
          </cell>
          <cell r="I20">
            <v>91.94</v>
          </cell>
          <cell r="J20">
            <v>75.83</v>
          </cell>
          <cell r="K20">
            <v>82.98</v>
          </cell>
          <cell r="L20">
            <v>75.319999999999993</v>
          </cell>
        </row>
        <row r="21">
          <cell r="B21" t="str">
            <v>KAZ</v>
          </cell>
          <cell r="H21">
            <v>61.06</v>
          </cell>
          <cell r="I21">
            <v>54.19</v>
          </cell>
          <cell r="J21">
            <v>55.6</v>
          </cell>
          <cell r="K21">
            <v>50.4</v>
          </cell>
          <cell r="L21">
            <v>46.5</v>
          </cell>
        </row>
        <row r="22">
          <cell r="B22" t="str">
            <v>LAO</v>
          </cell>
          <cell r="H22">
            <v>75.42</v>
          </cell>
          <cell r="I22">
            <v>40.03</v>
          </cell>
          <cell r="J22">
            <v>44.83</v>
          </cell>
          <cell r="K22">
            <v>44.19</v>
          </cell>
          <cell r="L22">
            <v>28.02</v>
          </cell>
        </row>
        <row r="23">
          <cell r="B23" t="str">
            <v>MYS</v>
          </cell>
          <cell r="H23">
            <v>72.47</v>
          </cell>
          <cell r="I23">
            <v>69.13</v>
          </cell>
          <cell r="J23">
            <v>65.59</v>
          </cell>
          <cell r="K23">
            <v>62.9</v>
          </cell>
          <cell r="L23">
            <v>57.94</v>
          </cell>
        </row>
        <row r="24">
          <cell r="B24" t="str">
            <v>MEX</v>
          </cell>
          <cell r="H24">
            <v>53.67</v>
          </cell>
          <cell r="I24">
            <v>47.06</v>
          </cell>
          <cell r="J24">
            <v>51.77</v>
          </cell>
          <cell r="K24">
            <v>37.11</v>
          </cell>
          <cell r="L24">
            <v>28.81</v>
          </cell>
        </row>
        <row r="25">
          <cell r="B25" t="str">
            <v>MNG</v>
          </cell>
          <cell r="H25">
            <v>73.08</v>
          </cell>
          <cell r="I25">
            <v>43.77</v>
          </cell>
          <cell r="J25">
            <v>53.75</v>
          </cell>
          <cell r="K25">
            <v>55.25</v>
          </cell>
          <cell r="L25">
            <v>38.020000000000003</v>
          </cell>
        </row>
        <row r="26">
          <cell r="B26" t="str">
            <v>MAR</v>
          </cell>
          <cell r="H26">
            <v>58.36</v>
          </cell>
          <cell r="I26">
            <v>54.77</v>
          </cell>
          <cell r="J26">
            <v>54.44</v>
          </cell>
          <cell r="K26">
            <v>50.63</v>
          </cell>
          <cell r="L26">
            <v>37.36</v>
          </cell>
        </row>
        <row r="27">
          <cell r="B27" t="str">
            <v>PRK</v>
          </cell>
          <cell r="H27">
            <v>71.400000000000006</v>
          </cell>
          <cell r="I27">
            <v>26.62</v>
          </cell>
          <cell r="J27">
            <v>25.3</v>
          </cell>
          <cell r="K27">
            <v>30.71</v>
          </cell>
          <cell r="L27">
            <v>16.329999999999998</v>
          </cell>
        </row>
        <row r="28">
          <cell r="B28" t="str">
            <v>PAK</v>
          </cell>
          <cell r="H28">
            <v>30.65</v>
          </cell>
          <cell r="I28">
            <v>39.67</v>
          </cell>
          <cell r="J28">
            <v>42.36</v>
          </cell>
          <cell r="K28">
            <v>39.46</v>
          </cell>
          <cell r="L28">
            <v>26.28</v>
          </cell>
        </row>
        <row r="29">
          <cell r="B29" t="str">
            <v>PHL</v>
          </cell>
          <cell r="H29">
            <v>52.67</v>
          </cell>
          <cell r="I29">
            <v>54.15</v>
          </cell>
          <cell r="J29">
            <v>56.11</v>
          </cell>
          <cell r="K29">
            <v>47.09</v>
          </cell>
          <cell r="L29">
            <v>36.18</v>
          </cell>
        </row>
        <row r="30">
          <cell r="B30" t="str">
            <v>POL</v>
          </cell>
          <cell r="H30">
            <v>74.41</v>
          </cell>
          <cell r="I30">
            <v>64.430000000000007</v>
          </cell>
          <cell r="J30">
            <v>65.680000000000007</v>
          </cell>
          <cell r="K30">
            <v>66.89</v>
          </cell>
          <cell r="L30">
            <v>63.93</v>
          </cell>
        </row>
        <row r="31">
          <cell r="B31" t="str">
            <v>RUS</v>
          </cell>
          <cell r="H31">
            <v>50.46</v>
          </cell>
          <cell r="I31">
            <v>45.09</v>
          </cell>
          <cell r="J31">
            <v>38.01</v>
          </cell>
          <cell r="K31">
            <v>37.06</v>
          </cell>
          <cell r="L31">
            <v>29.82</v>
          </cell>
        </row>
        <row r="32">
          <cell r="B32" t="str">
            <v>SRB</v>
          </cell>
          <cell r="H32">
            <v>63.01</v>
          </cell>
          <cell r="I32">
            <v>53.32</v>
          </cell>
          <cell r="J32">
            <v>56.1</v>
          </cell>
          <cell r="K32">
            <v>53.52</v>
          </cell>
          <cell r="L32">
            <v>36.5</v>
          </cell>
        </row>
        <row r="33">
          <cell r="B33" t="str">
            <v>ZAF</v>
          </cell>
          <cell r="H33">
            <v>55.35</v>
          </cell>
          <cell r="I33">
            <v>46.95</v>
          </cell>
          <cell r="J33">
            <v>53.91</v>
          </cell>
          <cell r="K33">
            <v>57.27</v>
          </cell>
          <cell r="L33">
            <v>43.97</v>
          </cell>
        </row>
        <row r="34">
          <cell r="B34" t="str">
            <v>KOR</v>
          </cell>
          <cell r="H34">
            <v>76.819999999999993</v>
          </cell>
          <cell r="I34">
            <v>80.25</v>
          </cell>
          <cell r="J34">
            <v>70.849999999999994</v>
          </cell>
          <cell r="K34">
            <v>76.2</v>
          </cell>
          <cell r="L34">
            <v>65.05</v>
          </cell>
        </row>
        <row r="35">
          <cell r="B35" t="str">
            <v>LKA</v>
          </cell>
          <cell r="H35">
            <v>59.91</v>
          </cell>
          <cell r="I35">
            <v>46</v>
          </cell>
          <cell r="J35">
            <v>50.14</v>
          </cell>
          <cell r="K35">
            <v>52.53</v>
          </cell>
          <cell r="L35">
            <v>40.07</v>
          </cell>
        </row>
        <row r="36">
          <cell r="B36" t="str">
            <v>TWN</v>
          </cell>
          <cell r="H36">
            <v>81.55</v>
          </cell>
          <cell r="I36">
            <v>80.41</v>
          </cell>
          <cell r="J36">
            <v>75.290000000000006</v>
          </cell>
          <cell r="K36">
            <v>79.13</v>
          </cell>
          <cell r="L36">
            <v>71.8</v>
          </cell>
        </row>
        <row r="37">
          <cell r="B37" t="str">
            <v>THA</v>
          </cell>
          <cell r="H37">
            <v>54.22</v>
          </cell>
          <cell r="I37">
            <v>56.27</v>
          </cell>
          <cell r="J37">
            <v>56.54</v>
          </cell>
          <cell r="K37">
            <v>53.26</v>
          </cell>
          <cell r="L37">
            <v>37.18</v>
          </cell>
        </row>
        <row r="38">
          <cell r="B38" t="str">
            <v>TUR</v>
          </cell>
          <cell r="H38">
            <v>49.31</v>
          </cell>
          <cell r="I38">
            <v>49.97</v>
          </cell>
          <cell r="J38">
            <v>51.53</v>
          </cell>
          <cell r="K38">
            <v>42.45</v>
          </cell>
          <cell r="L38">
            <v>36.450000000000003</v>
          </cell>
        </row>
        <row r="39">
          <cell r="B39" t="str">
            <v>USA</v>
          </cell>
          <cell r="H39">
            <v>64.27</v>
          </cell>
          <cell r="I39">
            <v>77.78</v>
          </cell>
          <cell r="J39">
            <v>76.19</v>
          </cell>
          <cell r="K39">
            <v>73.52</v>
          </cell>
          <cell r="L39">
            <v>69.86</v>
          </cell>
        </row>
        <row r="40">
          <cell r="B40" t="str">
            <v>VNM</v>
          </cell>
          <cell r="H40">
            <v>65.989999999999995</v>
          </cell>
          <cell r="I40">
            <v>49.55</v>
          </cell>
          <cell r="J40">
            <v>50.65</v>
          </cell>
          <cell r="K40">
            <v>51.56</v>
          </cell>
          <cell r="L40">
            <v>42.76</v>
          </cell>
        </row>
      </sheetData>
      <sheetData sheetId="8">
        <row r="5">
          <cell r="B5" t="str">
            <v>AUS</v>
          </cell>
          <cell r="K5">
            <v>38.793495462386915</v>
          </cell>
          <cell r="L5">
            <v>68.347902938560651</v>
          </cell>
          <cell r="M5">
            <v>69.705536589196953</v>
          </cell>
          <cell r="N5">
            <v>0</v>
          </cell>
          <cell r="O5">
            <v>25</v>
          </cell>
        </row>
        <row r="6">
          <cell r="B6" t="str">
            <v>BGD</v>
          </cell>
          <cell r="K6">
            <v>67.34006518409852</v>
          </cell>
          <cell r="L6">
            <v>86.118444009881827</v>
          </cell>
          <cell r="M6">
            <v>79.049483484808263</v>
          </cell>
          <cell r="N6">
            <v>80</v>
          </cell>
          <cell r="O6">
            <v>75</v>
          </cell>
        </row>
        <row r="7">
          <cell r="B7" t="str">
            <v>BIH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 t="str">
            <v>BRA</v>
          </cell>
          <cell r="K8">
            <v>77.378252217793744</v>
          </cell>
          <cell r="L8">
            <v>93.390610921289024</v>
          </cell>
          <cell r="M8">
            <v>92.187035486105884</v>
          </cell>
          <cell r="N8">
            <v>60</v>
          </cell>
          <cell r="O8">
            <v>50</v>
          </cell>
        </row>
        <row r="9">
          <cell r="B9" t="str">
            <v>BGR</v>
          </cell>
          <cell r="K9">
            <v>27.909491500903865</v>
          </cell>
          <cell r="L9">
            <v>74.895698846750449</v>
          </cell>
          <cell r="M9">
            <v>75.608549391196163</v>
          </cell>
          <cell r="N9">
            <v>0</v>
          </cell>
          <cell r="O9">
            <v>0</v>
          </cell>
        </row>
        <row r="10">
          <cell r="B10" t="str">
            <v>KHM</v>
          </cell>
          <cell r="K10">
            <v>47.329500309680192</v>
          </cell>
          <cell r="L10">
            <v>88.762670409318559</v>
          </cell>
          <cell r="M10">
            <v>85.970240147762297</v>
          </cell>
          <cell r="N10">
            <v>100</v>
          </cell>
          <cell r="O10">
            <v>75</v>
          </cell>
        </row>
        <row r="11">
          <cell r="B11" t="str">
            <v>CAN</v>
          </cell>
          <cell r="K11">
            <v>54.264331425345972</v>
          </cell>
          <cell r="L11">
            <v>81.013002329374544</v>
          </cell>
          <cell r="M11">
            <v>78.543942182117746</v>
          </cell>
          <cell r="N11">
            <v>0</v>
          </cell>
          <cell r="O11">
            <v>25</v>
          </cell>
        </row>
        <row r="12">
          <cell r="B12" t="str">
            <v>CHL</v>
          </cell>
          <cell r="K12">
            <v>49.170962768731449</v>
          </cell>
          <cell r="L12">
            <v>79.591754658081342</v>
          </cell>
          <cell r="M12">
            <v>79.557075796773731</v>
          </cell>
          <cell r="N12">
            <v>80</v>
          </cell>
          <cell r="O12">
            <v>50</v>
          </cell>
        </row>
        <row r="13">
          <cell r="B13" t="str">
            <v>CHN</v>
          </cell>
          <cell r="K13">
            <v>98.244506494389398</v>
          </cell>
          <cell r="L13">
            <v>96.462949478613481</v>
          </cell>
          <cell r="M13">
            <v>95.365892445627736</v>
          </cell>
          <cell r="N13">
            <v>20</v>
          </cell>
          <cell r="O13">
            <v>25</v>
          </cell>
        </row>
        <row r="14">
          <cell r="B14" t="str">
            <v>CZE</v>
          </cell>
          <cell r="K14">
            <v>0</v>
          </cell>
          <cell r="L14">
            <v>0</v>
          </cell>
          <cell r="M14">
            <v>0</v>
          </cell>
          <cell r="N14">
            <v>20</v>
          </cell>
          <cell r="O14">
            <v>0</v>
          </cell>
        </row>
        <row r="15">
          <cell r="B15" t="str">
            <v>DOM</v>
          </cell>
          <cell r="K15">
            <v>0</v>
          </cell>
          <cell r="L15">
            <v>0</v>
          </cell>
          <cell r="M15">
            <v>0</v>
          </cell>
          <cell r="N15">
            <v>60</v>
          </cell>
          <cell r="O15">
            <v>75</v>
          </cell>
        </row>
        <row r="16">
          <cell r="B16" t="str">
            <v>DEU</v>
          </cell>
          <cell r="K16">
            <v>52.234565558124892</v>
          </cell>
          <cell r="L16">
            <v>80.446634890820434</v>
          </cell>
          <cell r="M16">
            <v>81.609069675533149</v>
          </cell>
          <cell r="N16">
            <v>20</v>
          </cell>
          <cell r="O16">
            <v>25</v>
          </cell>
        </row>
        <row r="17">
          <cell r="B17" t="str">
            <v>HKG</v>
          </cell>
          <cell r="K17">
            <v>9.3031638336346223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 t="str">
            <v>IND</v>
          </cell>
          <cell r="K18">
            <v>100</v>
          </cell>
          <cell r="L18">
            <v>98.455795001810188</v>
          </cell>
          <cell r="M18">
            <v>97.588667672624084</v>
          </cell>
          <cell r="N18">
            <v>60</v>
          </cell>
          <cell r="O18">
            <v>25</v>
          </cell>
        </row>
        <row r="19">
          <cell r="B19" t="str">
            <v>IDN</v>
          </cell>
          <cell r="K19">
            <v>55.607614407814744</v>
          </cell>
          <cell r="L19">
            <v>91.774645698147665</v>
          </cell>
          <cell r="M19">
            <v>92.000932052476458</v>
          </cell>
          <cell r="N19">
            <v>80</v>
          </cell>
          <cell r="O19">
            <v>50</v>
          </cell>
        </row>
        <row r="20">
          <cell r="B20" t="str">
            <v>JPN</v>
          </cell>
          <cell r="K20">
            <v>21.601277476656247</v>
          </cell>
          <cell r="L20">
            <v>0</v>
          </cell>
          <cell r="M20">
            <v>0</v>
          </cell>
          <cell r="N20">
            <v>60</v>
          </cell>
          <cell r="O20">
            <v>100</v>
          </cell>
        </row>
        <row r="21">
          <cell r="B21" t="str">
            <v>KAZ</v>
          </cell>
          <cell r="K21">
            <v>33.351493481645392</v>
          </cell>
          <cell r="L21">
            <v>63.550358253869277</v>
          </cell>
          <cell r="M21">
            <v>52.120099600337234</v>
          </cell>
          <cell r="N21">
            <v>60</v>
          </cell>
          <cell r="O21">
            <v>25</v>
          </cell>
        </row>
        <row r="22">
          <cell r="B22" t="str">
            <v>LAO</v>
          </cell>
          <cell r="K22">
            <v>48.096659296021542</v>
          </cell>
          <cell r="L22">
            <v>73.695151813069131</v>
          </cell>
          <cell r="M22">
            <v>68.753611295803012</v>
          </cell>
          <cell r="N22">
            <v>80</v>
          </cell>
          <cell r="O22">
            <v>50</v>
          </cell>
        </row>
        <row r="23">
          <cell r="B23" t="str">
            <v>MYS</v>
          </cell>
          <cell r="K23">
            <v>40.207605143925491</v>
          </cell>
          <cell r="L23">
            <v>76.790877214038943</v>
          </cell>
          <cell r="M23">
            <v>71.96030324238663</v>
          </cell>
          <cell r="N23">
            <v>60</v>
          </cell>
          <cell r="O23">
            <v>50</v>
          </cell>
        </row>
        <row r="24">
          <cell r="B24" t="str">
            <v>MEX</v>
          </cell>
          <cell r="K24">
            <v>80.314168694001765</v>
          </cell>
          <cell r="L24">
            <v>83.261212833364908</v>
          </cell>
          <cell r="M24">
            <v>79.43234210432361</v>
          </cell>
          <cell r="N24">
            <v>60</v>
          </cell>
          <cell r="O24">
            <v>50</v>
          </cell>
        </row>
        <row r="25">
          <cell r="B25" t="str">
            <v>MNG</v>
          </cell>
          <cell r="K25">
            <v>41.486822953073208</v>
          </cell>
          <cell r="L25">
            <v>73.384597481572285</v>
          </cell>
          <cell r="M25">
            <v>65.899708890634685</v>
          </cell>
          <cell r="N25">
            <v>100</v>
          </cell>
          <cell r="O25">
            <v>50</v>
          </cell>
        </row>
        <row r="26">
          <cell r="B26" t="str">
            <v>MAR</v>
          </cell>
          <cell r="K26">
            <v>36.346443291032401</v>
          </cell>
          <cell r="L26">
            <v>69.954975725945843</v>
          </cell>
          <cell r="M26">
            <v>65.099022037534866</v>
          </cell>
          <cell r="N26">
            <v>60</v>
          </cell>
          <cell r="O26">
            <v>50</v>
          </cell>
        </row>
        <row r="27">
          <cell r="B27" t="str">
            <v>PRK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25</v>
          </cell>
        </row>
        <row r="28">
          <cell r="B28" t="str">
            <v>PAK</v>
          </cell>
          <cell r="K28">
            <v>44.723610446331691</v>
          </cell>
          <cell r="L28">
            <v>78.781357247085566</v>
          </cell>
          <cell r="M28">
            <v>76.491575384072036</v>
          </cell>
          <cell r="N28">
            <v>60</v>
          </cell>
          <cell r="O28">
            <v>50</v>
          </cell>
        </row>
        <row r="29">
          <cell r="B29" t="str">
            <v>PHL</v>
          </cell>
          <cell r="K29">
            <v>43.202554953312493</v>
          </cell>
          <cell r="L29">
            <v>68.942154948680084</v>
          </cell>
          <cell r="M29">
            <v>67.889368729617914</v>
          </cell>
          <cell r="N29">
            <v>80</v>
          </cell>
          <cell r="O29">
            <v>50</v>
          </cell>
        </row>
        <row r="30">
          <cell r="B30" t="str">
            <v>POL</v>
          </cell>
          <cell r="K30">
            <v>18.606327667269245</v>
          </cell>
          <cell r="L30">
            <v>0</v>
          </cell>
          <cell r="M30">
            <v>0</v>
          </cell>
          <cell r="N30">
            <v>0</v>
          </cell>
          <cell r="O30">
            <v>25</v>
          </cell>
        </row>
        <row r="31">
          <cell r="B31" t="str">
            <v>RUS</v>
          </cell>
          <cell r="K31">
            <v>27.909491500903865</v>
          </cell>
          <cell r="L31">
            <v>70.367559715509614</v>
          </cell>
          <cell r="M31">
            <v>67.997925868177006</v>
          </cell>
          <cell r="N31">
            <v>0</v>
          </cell>
          <cell r="O31">
            <v>25</v>
          </cell>
        </row>
        <row r="32">
          <cell r="B32" t="str">
            <v>SRB</v>
          </cell>
          <cell r="K32">
            <v>18.606327667269245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B33" t="str">
            <v>ZAF</v>
          </cell>
          <cell r="K33">
            <v>63.567495258980586</v>
          </cell>
          <cell r="L33">
            <v>81.884821634273308</v>
          </cell>
          <cell r="M33">
            <v>82.159024319041237</v>
          </cell>
          <cell r="N33">
            <v>40</v>
          </cell>
          <cell r="O33">
            <v>50</v>
          </cell>
        </row>
        <row r="34">
          <cell r="B34" t="str">
            <v>KOR</v>
          </cell>
          <cell r="K34">
            <v>37.212655334538489</v>
          </cell>
          <cell r="L34">
            <v>84.525950047088486</v>
          </cell>
          <cell r="M34">
            <v>84.573512934862521</v>
          </cell>
          <cell r="N34">
            <v>60</v>
          </cell>
          <cell r="O34">
            <v>50</v>
          </cell>
        </row>
        <row r="35">
          <cell r="B35" t="str">
            <v>LKA</v>
          </cell>
          <cell r="K35">
            <v>40.207605143925491</v>
          </cell>
          <cell r="L35">
            <v>64.548694978848289</v>
          </cell>
          <cell r="M35">
            <v>61.720796216812879</v>
          </cell>
          <cell r="N35">
            <v>100</v>
          </cell>
          <cell r="O35">
            <v>50</v>
          </cell>
        </row>
        <row r="36">
          <cell r="B36" t="str">
            <v>TWN</v>
          </cell>
          <cell r="K36">
            <v>33.351493481645392</v>
          </cell>
          <cell r="L36">
            <v>77.738510214980465</v>
          </cell>
          <cell r="M36">
            <v>78.645558265774696</v>
          </cell>
          <cell r="N36">
            <v>0</v>
          </cell>
          <cell r="O36">
            <v>0</v>
          </cell>
        </row>
        <row r="37">
          <cell r="B37" t="str">
            <v>THA</v>
          </cell>
          <cell r="K37">
            <v>61.673990748190874</v>
          </cell>
          <cell r="L37">
            <v>83.754142366783441</v>
          </cell>
          <cell r="M37">
            <v>82.981560324434952</v>
          </cell>
          <cell r="N37">
            <v>100</v>
          </cell>
          <cell r="O37">
            <v>100</v>
          </cell>
        </row>
        <row r="38">
          <cell r="B38" t="str">
            <v>TUR</v>
          </cell>
          <cell r="K38">
            <v>84.738095304075102</v>
          </cell>
          <cell r="L38">
            <v>93.110938586413951</v>
          </cell>
          <cell r="M38">
            <v>91.746448514194682</v>
          </cell>
          <cell r="N38">
            <v>20</v>
          </cell>
          <cell r="O38">
            <v>25</v>
          </cell>
        </row>
        <row r="39">
          <cell r="B39" t="str">
            <v>USA</v>
          </cell>
          <cell r="K39">
            <v>99.361134449367881</v>
          </cell>
          <cell r="L39">
            <v>100</v>
          </cell>
          <cell r="M39">
            <v>100</v>
          </cell>
          <cell r="N39">
            <v>0</v>
          </cell>
          <cell r="O39">
            <v>25</v>
          </cell>
        </row>
        <row r="40">
          <cell r="B40" t="str">
            <v>VNM</v>
          </cell>
          <cell r="K40">
            <v>65.433086494557074</v>
          </cell>
          <cell r="L40">
            <v>85.143509485739457</v>
          </cell>
          <cell r="M40">
            <v>80.230052760877442</v>
          </cell>
          <cell r="N40">
            <v>80</v>
          </cell>
          <cell r="O40">
            <v>50</v>
          </cell>
        </row>
      </sheetData>
      <sheetData sheetId="9">
        <row r="5">
          <cell r="B5" t="str">
            <v>AUS</v>
          </cell>
          <cell r="I5">
            <v>64.658674825794535</v>
          </cell>
          <cell r="J5">
            <v>100</v>
          </cell>
          <cell r="K5">
            <v>66.259333333333331</v>
          </cell>
          <cell r="L5">
            <v>69.013548084961897</v>
          </cell>
        </row>
        <row r="6">
          <cell r="B6" t="str">
            <v>BGD</v>
          </cell>
          <cell r="I6">
            <v>17.905585789398135</v>
          </cell>
          <cell r="J6">
            <v>50</v>
          </cell>
          <cell r="K6">
            <v>72.685333333333332</v>
          </cell>
          <cell r="L6">
            <v>57.184957196220807</v>
          </cell>
        </row>
        <row r="7">
          <cell r="B7" t="str">
            <v>BIH</v>
          </cell>
          <cell r="I7">
            <v>24.133688580539488</v>
          </cell>
          <cell r="J7">
            <v>100</v>
          </cell>
          <cell r="K7">
            <v>80.397999999999996</v>
          </cell>
          <cell r="L7">
            <v>72.660776713944045</v>
          </cell>
        </row>
        <row r="8">
          <cell r="B8" t="str">
            <v>BRA</v>
          </cell>
          <cell r="I8">
            <v>37.815436546977097</v>
          </cell>
          <cell r="J8">
            <v>100</v>
          </cell>
          <cell r="K8">
            <v>41.981333333333325</v>
          </cell>
          <cell r="L8">
            <v>36.434710155597173</v>
          </cell>
        </row>
        <row r="9">
          <cell r="B9" t="str">
            <v>BGR</v>
          </cell>
          <cell r="I9">
            <v>23.533951244262521</v>
          </cell>
          <cell r="J9">
            <v>100</v>
          </cell>
          <cell r="K9">
            <v>84.106666666666669</v>
          </cell>
          <cell r="L9">
            <v>72.593461271729538</v>
          </cell>
        </row>
        <row r="10">
          <cell r="B10" t="str">
            <v>KHM</v>
          </cell>
          <cell r="I10">
            <v>62.329882874732853</v>
          </cell>
          <cell r="J10">
            <v>100</v>
          </cell>
          <cell r="K10">
            <v>82.574666666666673</v>
          </cell>
          <cell r="L10">
            <v>97.072729733275111</v>
          </cell>
        </row>
        <row r="11">
          <cell r="B11" t="str">
            <v>CAN</v>
          </cell>
          <cell r="I11">
            <v>100</v>
          </cell>
          <cell r="J11">
            <v>100</v>
          </cell>
          <cell r="K11">
            <v>26.653999999999996</v>
          </cell>
          <cell r="L11">
            <v>77.341500524337064</v>
          </cell>
        </row>
        <row r="12">
          <cell r="B12" t="str">
            <v>CHL</v>
          </cell>
          <cell r="I12">
            <v>52.02191773696434</v>
          </cell>
          <cell r="J12">
            <v>100</v>
          </cell>
          <cell r="K12">
            <v>72.233333333333334</v>
          </cell>
          <cell r="L12">
            <v>37.384738453831964</v>
          </cell>
        </row>
        <row r="13">
          <cell r="B13" t="str">
            <v>CHN</v>
          </cell>
          <cell r="I13">
            <v>97.082998422405296</v>
          </cell>
          <cell r="J13">
            <v>100</v>
          </cell>
          <cell r="K13">
            <v>39.719333333333331</v>
          </cell>
          <cell r="L13">
            <v>75.641081919899051</v>
          </cell>
        </row>
        <row r="14">
          <cell r="B14" t="str">
            <v>CZE</v>
          </cell>
          <cell r="I14">
            <v>24.013687670596319</v>
          </cell>
          <cell r="J14">
            <v>100</v>
          </cell>
          <cell r="K14">
            <v>71.13933333333334</v>
          </cell>
          <cell r="L14">
            <v>65.813596832198272</v>
          </cell>
        </row>
        <row r="15">
          <cell r="B15" t="str">
            <v>DOM</v>
          </cell>
          <cell r="I15">
            <v>15.961043243816167</v>
          </cell>
          <cell r="J15">
            <v>100</v>
          </cell>
          <cell r="K15">
            <v>60.805333333333337</v>
          </cell>
          <cell r="L15">
            <v>69.51635004046895</v>
          </cell>
        </row>
        <row r="16">
          <cell r="B16" t="str">
            <v>DEU</v>
          </cell>
          <cell r="I16">
            <v>38.626742287246017</v>
          </cell>
          <cell r="J16">
            <v>100</v>
          </cell>
          <cell r="K16">
            <v>58.515333333333338</v>
          </cell>
          <cell r="L16">
            <v>72.918260899113221</v>
          </cell>
        </row>
        <row r="17">
          <cell r="B17" t="str">
            <v>HKG</v>
          </cell>
          <cell r="I17">
            <v>100</v>
          </cell>
          <cell r="J17">
            <v>100</v>
          </cell>
          <cell r="K17">
            <v>93.859333333333339</v>
          </cell>
          <cell r="L17">
            <v>96.845274111031898</v>
          </cell>
        </row>
        <row r="18">
          <cell r="B18" t="str">
            <v>IND</v>
          </cell>
          <cell r="I18">
            <v>20.01076124094401</v>
          </cell>
          <cell r="J18">
            <v>100</v>
          </cell>
          <cell r="K18">
            <v>43.478666666666669</v>
          </cell>
          <cell r="L18">
            <v>75.822437744783684</v>
          </cell>
        </row>
        <row r="19">
          <cell r="B19" t="str">
            <v>IDN</v>
          </cell>
          <cell r="I19">
            <v>18.196225381905634</v>
          </cell>
          <cell r="J19">
            <v>100</v>
          </cell>
          <cell r="K19">
            <v>73.223333333333329</v>
          </cell>
          <cell r="L19">
            <v>79.28441600817419</v>
          </cell>
        </row>
        <row r="20">
          <cell r="B20" t="str">
            <v>JPN</v>
          </cell>
          <cell r="I20">
            <v>97.305699651845131</v>
          </cell>
          <cell r="J20">
            <v>100</v>
          </cell>
          <cell r="K20">
            <v>0</v>
          </cell>
          <cell r="L20">
            <v>49.584713619360244</v>
          </cell>
        </row>
        <row r="21">
          <cell r="B21" t="str">
            <v>KAZ</v>
          </cell>
          <cell r="I21">
            <v>13.639839788982663</v>
          </cell>
          <cell r="J21">
            <v>75</v>
          </cell>
          <cell r="K21">
            <v>83.748666666666665</v>
          </cell>
          <cell r="L21">
            <v>69.915940345017916</v>
          </cell>
        </row>
        <row r="22">
          <cell r="B22" t="str">
            <v>LAO</v>
          </cell>
          <cell r="I22">
            <v>41.489550362462204</v>
          </cell>
          <cell r="J22">
            <v>25</v>
          </cell>
          <cell r="K22">
            <v>36.878666666666668</v>
          </cell>
          <cell r="L22">
            <v>0</v>
          </cell>
        </row>
        <row r="23">
          <cell r="B23" t="str">
            <v>MYS</v>
          </cell>
          <cell r="I23">
            <v>58.053705403695929</v>
          </cell>
          <cell r="J23">
            <v>100</v>
          </cell>
          <cell r="K23">
            <v>53.440666666666672</v>
          </cell>
          <cell r="L23">
            <v>82.480892541424637</v>
          </cell>
        </row>
        <row r="24">
          <cell r="B24" t="str">
            <v>MEX</v>
          </cell>
          <cell r="I24">
            <v>17.292952005505054</v>
          </cell>
          <cell r="J24">
            <v>100</v>
          </cell>
          <cell r="K24">
            <v>60.576666666666668</v>
          </cell>
          <cell r="L24">
            <v>55.003749477606647</v>
          </cell>
        </row>
        <row r="25">
          <cell r="B25" t="str">
            <v>MNG</v>
          </cell>
          <cell r="I25">
            <v>22.452941775452757</v>
          </cell>
          <cell r="J25">
            <v>75</v>
          </cell>
          <cell r="K25">
            <v>70.605999999999995</v>
          </cell>
          <cell r="L25">
            <v>61.084671032658314</v>
          </cell>
        </row>
        <row r="26">
          <cell r="B26" t="str">
            <v>MAR</v>
          </cell>
          <cell r="I26">
            <v>38.881776690873558</v>
          </cell>
          <cell r="J26">
            <v>100</v>
          </cell>
          <cell r="K26">
            <v>54.843333333333334</v>
          </cell>
          <cell r="L26">
            <v>71.104320632943114</v>
          </cell>
        </row>
        <row r="27">
          <cell r="B27" t="str">
            <v>PRK</v>
          </cell>
          <cell r="I27">
            <v>80.17359133911809</v>
          </cell>
          <cell r="J27">
            <v>75</v>
          </cell>
          <cell r="K27">
            <v>68.73599999999999</v>
          </cell>
          <cell r="L27">
            <v>0</v>
          </cell>
        </row>
        <row r="28">
          <cell r="B28" t="str">
            <v>PAK</v>
          </cell>
          <cell r="I28">
            <v>5.7330408068213368</v>
          </cell>
          <cell r="J28">
            <v>50</v>
          </cell>
          <cell r="K28">
            <v>53.186666666666667</v>
          </cell>
          <cell r="L28">
            <v>13.878439358521211</v>
          </cell>
        </row>
        <row r="29">
          <cell r="B29" t="str">
            <v>PHL</v>
          </cell>
          <cell r="I29">
            <v>24.925395321228478</v>
          </cell>
          <cell r="J29">
            <v>100</v>
          </cell>
          <cell r="K29">
            <v>62.248666666666665</v>
          </cell>
          <cell r="L29">
            <v>72.529855412062716</v>
          </cell>
        </row>
        <row r="30">
          <cell r="B30" t="str">
            <v>POL</v>
          </cell>
          <cell r="I30">
            <v>16.792895009404855</v>
          </cell>
          <cell r="J30">
            <v>100</v>
          </cell>
          <cell r="K30">
            <v>63.274000000000001</v>
          </cell>
          <cell r="L30">
            <v>61.544510511114645</v>
          </cell>
        </row>
        <row r="31">
          <cell r="B31" t="str">
            <v>RUS</v>
          </cell>
          <cell r="I31">
            <v>24.073688125567905</v>
          </cell>
          <cell r="J31">
            <v>75</v>
          </cell>
          <cell r="K31">
            <v>90.161333333333332</v>
          </cell>
          <cell r="L31">
            <v>31.410758098101578</v>
          </cell>
        </row>
        <row r="32">
          <cell r="B32" t="str">
            <v>SRB</v>
          </cell>
          <cell r="I32">
            <v>16.318262245133074</v>
          </cell>
          <cell r="J32">
            <v>100</v>
          </cell>
          <cell r="K32">
            <v>70.623999999999995</v>
          </cell>
          <cell r="L32">
            <v>72.04245274469767</v>
          </cell>
        </row>
        <row r="33">
          <cell r="B33" t="str">
            <v>ZAF</v>
          </cell>
          <cell r="I33">
            <v>44.723818008672154</v>
          </cell>
          <cell r="J33">
            <v>100</v>
          </cell>
          <cell r="K33">
            <v>49.358000000000004</v>
          </cell>
          <cell r="L33">
            <v>36.385468699347214</v>
          </cell>
        </row>
        <row r="34">
          <cell r="B34" t="str">
            <v>KOR</v>
          </cell>
          <cell r="I34">
            <v>80.17359133911809</v>
          </cell>
          <cell r="J34">
            <v>100</v>
          </cell>
          <cell r="K34">
            <v>66.866</v>
          </cell>
          <cell r="L34">
            <v>70.07568586017517</v>
          </cell>
        </row>
        <row r="35">
          <cell r="B35" t="str">
            <v>LKA</v>
          </cell>
          <cell r="I35">
            <v>17.905585789398135</v>
          </cell>
          <cell r="J35">
            <v>100</v>
          </cell>
          <cell r="K35">
            <v>32.773333333333326</v>
          </cell>
          <cell r="L35">
            <v>6.4172441711099708</v>
          </cell>
        </row>
        <row r="36">
          <cell r="B36" t="str">
            <v>TWN</v>
          </cell>
          <cell r="I36">
            <v>97.082998422405296</v>
          </cell>
          <cell r="J36">
            <v>100</v>
          </cell>
          <cell r="K36">
            <v>82.145333333333326</v>
          </cell>
          <cell r="L36">
            <v>67.994356585733343</v>
          </cell>
        </row>
        <row r="37">
          <cell r="B37" t="str">
            <v>THA</v>
          </cell>
          <cell r="I37">
            <v>73.54596351412593</v>
          </cell>
          <cell r="J37">
            <v>100</v>
          </cell>
          <cell r="K37">
            <v>58.058000000000007</v>
          </cell>
          <cell r="L37">
            <v>80.497091373357193</v>
          </cell>
        </row>
        <row r="38">
          <cell r="B38" t="str">
            <v>TUR</v>
          </cell>
          <cell r="I38">
            <v>21.477332923901614</v>
          </cell>
          <cell r="J38">
            <v>0</v>
          </cell>
          <cell r="K38">
            <v>84.266666666666666</v>
          </cell>
          <cell r="L38">
            <v>0</v>
          </cell>
        </row>
        <row r="39">
          <cell r="B39" t="str">
            <v>USA</v>
          </cell>
          <cell r="I39">
            <v>100</v>
          </cell>
          <cell r="J39">
            <v>100</v>
          </cell>
          <cell r="K39">
            <v>18.486666666666679</v>
          </cell>
          <cell r="L39">
            <v>100</v>
          </cell>
        </row>
        <row r="40">
          <cell r="B40" t="str">
            <v>VNM</v>
          </cell>
          <cell r="I40">
            <v>41.489550362462204</v>
          </cell>
          <cell r="J40">
            <v>100</v>
          </cell>
          <cell r="K40">
            <v>79.224666666666664</v>
          </cell>
          <cell r="L40">
            <v>92.988537012131658</v>
          </cell>
        </row>
      </sheetData>
      <sheetData sheetId="10">
        <row r="5">
          <cell r="B5" t="str">
            <v>AUS</v>
          </cell>
          <cell r="I5">
            <v>60</v>
          </cell>
          <cell r="K5">
            <v>94.63</v>
          </cell>
          <cell r="L5">
            <v>100</v>
          </cell>
        </row>
        <row r="6">
          <cell r="B6" t="str">
            <v>BGD</v>
          </cell>
          <cell r="I6">
            <v>20</v>
          </cell>
          <cell r="K6">
            <v>38.274999999999999</v>
          </cell>
          <cell r="L6">
            <v>100</v>
          </cell>
        </row>
        <row r="7">
          <cell r="B7" t="str">
            <v>BIH</v>
          </cell>
          <cell r="I7">
            <v>60</v>
          </cell>
          <cell r="K7">
            <v>63.565000000000005</v>
          </cell>
          <cell r="L7">
            <v>50</v>
          </cell>
        </row>
        <row r="8">
          <cell r="B8" t="str">
            <v>BRA</v>
          </cell>
          <cell r="I8">
            <v>45</v>
          </cell>
          <cell r="K8">
            <v>73.790000000000006</v>
          </cell>
          <cell r="L8">
            <v>75</v>
          </cell>
        </row>
        <row r="9">
          <cell r="B9" t="str">
            <v>BGR</v>
          </cell>
          <cell r="I9">
            <v>60</v>
          </cell>
          <cell r="K9">
            <v>83.394999999999996</v>
          </cell>
          <cell r="L9">
            <v>100</v>
          </cell>
        </row>
        <row r="10">
          <cell r="B10" t="str">
            <v>KHM</v>
          </cell>
          <cell r="I10">
            <v>20</v>
          </cell>
          <cell r="K10">
            <v>34.730000000000004</v>
          </cell>
          <cell r="L10">
            <v>100</v>
          </cell>
        </row>
        <row r="11">
          <cell r="B11" t="str">
            <v>CAN</v>
          </cell>
          <cell r="I11">
            <v>60</v>
          </cell>
          <cell r="K11">
            <v>95.004999999999995</v>
          </cell>
          <cell r="L11">
            <v>75</v>
          </cell>
        </row>
        <row r="12">
          <cell r="B12" t="str">
            <v>CHL</v>
          </cell>
          <cell r="I12">
            <v>60</v>
          </cell>
          <cell r="K12">
            <v>79.674999999999997</v>
          </cell>
          <cell r="L12">
            <v>75</v>
          </cell>
        </row>
        <row r="13">
          <cell r="B13" t="str">
            <v>CHN</v>
          </cell>
          <cell r="I13">
            <v>20</v>
          </cell>
          <cell r="K13">
            <v>82.564999999999998</v>
          </cell>
          <cell r="L13">
            <v>100</v>
          </cell>
        </row>
        <row r="14">
          <cell r="B14" t="str">
            <v>CZE</v>
          </cell>
          <cell r="I14">
            <v>80</v>
          </cell>
          <cell r="K14">
            <v>83.31</v>
          </cell>
          <cell r="L14">
            <v>100</v>
          </cell>
        </row>
        <row r="15">
          <cell r="B15" t="str">
            <v>DOM</v>
          </cell>
          <cell r="I15">
            <v>80</v>
          </cell>
          <cell r="K15">
            <v>66.81</v>
          </cell>
          <cell r="L15">
            <v>75</v>
          </cell>
        </row>
        <row r="16">
          <cell r="B16" t="str">
            <v>DEU</v>
          </cell>
          <cell r="I16">
            <v>100</v>
          </cell>
          <cell r="K16">
            <v>98.564999999999998</v>
          </cell>
          <cell r="L16">
            <v>100</v>
          </cell>
        </row>
        <row r="17">
          <cell r="B17" t="str">
            <v>HKG</v>
          </cell>
          <cell r="I17">
            <v>20</v>
          </cell>
          <cell r="K17">
            <v>90.625</v>
          </cell>
          <cell r="L17">
            <v>100</v>
          </cell>
        </row>
        <row r="18">
          <cell r="B18" t="str">
            <v>IND</v>
          </cell>
          <cell r="I18">
            <v>20</v>
          </cell>
          <cell r="K18">
            <v>65.77</v>
          </cell>
          <cell r="L18">
            <v>100</v>
          </cell>
        </row>
        <row r="19">
          <cell r="B19" t="str">
            <v>IDN</v>
          </cell>
          <cell r="I19">
            <v>20</v>
          </cell>
          <cell r="K19">
            <v>60.774999999999999</v>
          </cell>
          <cell r="L19">
            <v>100</v>
          </cell>
        </row>
        <row r="20">
          <cell r="B20" t="str">
            <v>JPN</v>
          </cell>
          <cell r="I20">
            <v>80</v>
          </cell>
          <cell r="K20">
            <v>93.864999999999995</v>
          </cell>
          <cell r="L20">
            <v>100</v>
          </cell>
        </row>
        <row r="21">
          <cell r="B21" t="str">
            <v>KAZ</v>
          </cell>
          <cell r="I21">
            <v>20</v>
          </cell>
          <cell r="K21">
            <v>90.59</v>
          </cell>
          <cell r="L21">
            <v>100</v>
          </cell>
        </row>
        <row r="22">
          <cell r="B22" t="str">
            <v>LAO</v>
          </cell>
          <cell r="I22">
            <v>20</v>
          </cell>
          <cell r="K22">
            <v>31.67</v>
          </cell>
          <cell r="L22">
            <v>100</v>
          </cell>
        </row>
        <row r="23">
          <cell r="B23" t="str">
            <v>MYS</v>
          </cell>
          <cell r="I23">
            <v>20</v>
          </cell>
          <cell r="K23">
            <v>47.644999999999996</v>
          </cell>
          <cell r="L23">
            <v>100</v>
          </cell>
        </row>
        <row r="24">
          <cell r="B24" t="str">
            <v>MEX</v>
          </cell>
          <cell r="I24">
            <v>35</v>
          </cell>
          <cell r="K24">
            <v>80.135000000000005</v>
          </cell>
          <cell r="L24">
            <v>100</v>
          </cell>
        </row>
        <row r="25">
          <cell r="B25" t="str">
            <v>MNG</v>
          </cell>
          <cell r="I25">
            <v>60</v>
          </cell>
          <cell r="K25">
            <v>86.92</v>
          </cell>
          <cell r="L25">
            <v>75</v>
          </cell>
        </row>
        <row r="26">
          <cell r="B26" t="str">
            <v>MAR</v>
          </cell>
          <cell r="I26">
            <v>60</v>
          </cell>
          <cell r="K26">
            <v>38.174999999999997</v>
          </cell>
          <cell r="L26">
            <v>75</v>
          </cell>
        </row>
        <row r="27">
          <cell r="B27" t="str">
            <v>PRK</v>
          </cell>
          <cell r="I27">
            <v>0</v>
          </cell>
          <cell r="K27">
            <v>58.05</v>
          </cell>
          <cell r="L27">
            <v>100</v>
          </cell>
        </row>
        <row r="28">
          <cell r="B28" t="str">
            <v>PAK</v>
          </cell>
          <cell r="I28">
            <v>20</v>
          </cell>
          <cell r="K28">
            <v>32.17</v>
          </cell>
          <cell r="L28">
            <v>75</v>
          </cell>
        </row>
        <row r="29">
          <cell r="B29" t="str">
            <v>PHL</v>
          </cell>
          <cell r="I29">
            <v>20</v>
          </cell>
          <cell r="K29">
            <v>47.884999999999998</v>
          </cell>
          <cell r="L29">
            <v>100</v>
          </cell>
        </row>
        <row r="30">
          <cell r="B30" t="str">
            <v>POL</v>
          </cell>
          <cell r="I30">
            <v>60</v>
          </cell>
          <cell r="K30">
            <v>86.44</v>
          </cell>
          <cell r="L30">
            <v>100</v>
          </cell>
        </row>
        <row r="31">
          <cell r="B31" t="str">
            <v>RUS</v>
          </cell>
          <cell r="I31">
            <v>15</v>
          </cell>
          <cell r="K31">
            <v>91.13</v>
          </cell>
          <cell r="L31">
            <v>100</v>
          </cell>
        </row>
        <row r="32">
          <cell r="B32" t="str">
            <v>SRB</v>
          </cell>
          <cell r="I32">
            <v>40</v>
          </cell>
          <cell r="K32">
            <v>71.665000000000006</v>
          </cell>
          <cell r="L32">
            <v>75</v>
          </cell>
        </row>
        <row r="33">
          <cell r="B33" t="str">
            <v>ZAF</v>
          </cell>
          <cell r="I33">
            <v>60</v>
          </cell>
          <cell r="K33">
            <v>57.98</v>
          </cell>
          <cell r="L33">
            <v>0</v>
          </cell>
        </row>
        <row r="34">
          <cell r="B34" t="str">
            <v>KOR</v>
          </cell>
          <cell r="I34">
            <v>20</v>
          </cell>
          <cell r="K34">
            <v>84.925000000000011</v>
          </cell>
          <cell r="L34">
            <v>100</v>
          </cell>
        </row>
        <row r="35">
          <cell r="B35" t="str">
            <v>LKA</v>
          </cell>
          <cell r="I35">
            <v>40</v>
          </cell>
          <cell r="K35">
            <v>54.004999999999995</v>
          </cell>
          <cell r="L35">
            <v>100</v>
          </cell>
        </row>
        <row r="36">
          <cell r="B36" t="str">
            <v>TWN</v>
          </cell>
          <cell r="I36">
            <v>80</v>
          </cell>
          <cell r="K36">
            <v>94.31</v>
          </cell>
          <cell r="L36">
            <v>100</v>
          </cell>
        </row>
        <row r="37">
          <cell r="B37" t="str">
            <v>THA</v>
          </cell>
          <cell r="I37">
            <v>20</v>
          </cell>
          <cell r="K37">
            <v>73.495000000000005</v>
          </cell>
          <cell r="L37">
            <v>100</v>
          </cell>
        </row>
        <row r="38">
          <cell r="B38" t="str">
            <v>TUR</v>
          </cell>
          <cell r="I38">
            <v>20</v>
          </cell>
          <cell r="K38">
            <v>71.454999999999998</v>
          </cell>
          <cell r="L38">
            <v>75</v>
          </cell>
        </row>
        <row r="39">
          <cell r="B39" t="str">
            <v>USA</v>
          </cell>
          <cell r="I39">
            <v>40</v>
          </cell>
          <cell r="K39">
            <v>84.05</v>
          </cell>
          <cell r="L39">
            <v>100</v>
          </cell>
        </row>
        <row r="40">
          <cell r="B40" t="str">
            <v>VNM</v>
          </cell>
          <cell r="I40">
            <v>40</v>
          </cell>
          <cell r="K40">
            <v>51.704999999999998</v>
          </cell>
          <cell r="L40">
            <v>100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s.dgbas.gov.tw/001/Upload/463/relfile/10315/2652/113%E5%B9%B4%E6%88%91%E5%9C%8B%E7%A4%BE%E6%9C%83%E4%BF%9D%E9%9A%9C%E7%B8%BD%E9%AB%94%E6%9C%89%E6%95%88%E8%A6%86%E8%93%8B%E7%8E%8794.8%EF%BC%85%EF%BC%8C%E8%BC%83105%E5%B9%B4%E5%A2%9E3.3%E5%80%8B%E7%99%BE%E5%88%86%E9%BB%9E.pdf?utm_source=chatgpt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2A9E-4C3D-E245-A7C0-BF052A02C436}">
  <dimension ref="A1:G135"/>
  <sheetViews>
    <sheetView zoomScaleNormal="100" workbookViewId="0">
      <selection activeCell="A77" sqref="A77:F77"/>
    </sheetView>
  </sheetViews>
  <sheetFormatPr baseColWidth="10" defaultRowHeight="14"/>
  <cols>
    <col min="1" max="1" width="35.83203125" style="41" customWidth="1"/>
    <col min="2" max="2" width="35.83203125" style="35" customWidth="1"/>
    <col min="3" max="4" width="35.83203125" style="40" customWidth="1"/>
    <col min="5" max="5" width="50.83203125" style="40" customWidth="1"/>
    <col min="6" max="6" width="70.83203125" style="40" customWidth="1"/>
    <col min="7" max="13" width="25.83203125" style="35" customWidth="1"/>
    <col min="14" max="16384" width="10.83203125" style="35"/>
  </cols>
  <sheetData>
    <row r="1" spans="1:7" ht="50" customHeight="1">
      <c r="A1" s="204" t="s">
        <v>676</v>
      </c>
      <c r="B1" s="204"/>
      <c r="C1" s="204"/>
      <c r="D1" s="204"/>
      <c r="E1" s="204"/>
      <c r="F1" s="204"/>
      <c r="G1" s="59"/>
    </row>
    <row r="2" spans="1:7" ht="20" customHeight="1">
      <c r="A2" s="62" t="s">
        <v>668</v>
      </c>
      <c r="B2" s="62" t="s">
        <v>669</v>
      </c>
      <c r="C2" s="62"/>
      <c r="D2" s="62"/>
      <c r="E2" s="62"/>
      <c r="F2" s="62"/>
    </row>
    <row r="3" spans="1:7" ht="20" customHeight="1">
      <c r="A3" s="35" t="s">
        <v>927</v>
      </c>
      <c r="B3" s="35" t="s">
        <v>928</v>
      </c>
      <c r="C3" s="81"/>
      <c r="D3" s="35"/>
      <c r="E3" s="35"/>
      <c r="F3" s="80"/>
      <c r="G3" s="40"/>
    </row>
    <row r="4" spans="1:7" ht="20" customHeight="1">
      <c r="A4" s="35" t="s">
        <v>670</v>
      </c>
      <c r="B4" s="35" t="s">
        <v>929</v>
      </c>
      <c r="C4" s="81"/>
      <c r="D4" s="35"/>
      <c r="E4" s="35"/>
      <c r="F4" s="80"/>
      <c r="G4" s="40"/>
    </row>
    <row r="5" spans="1:7" ht="20" customHeight="1">
      <c r="A5" s="35" t="s">
        <v>671</v>
      </c>
      <c r="B5" s="35" t="s">
        <v>930</v>
      </c>
      <c r="C5" s="81"/>
      <c r="D5" s="35"/>
      <c r="E5" s="35"/>
      <c r="F5" s="80"/>
      <c r="G5" s="40"/>
    </row>
    <row r="6" spans="1:7" ht="20" customHeight="1">
      <c r="A6" s="35" t="s">
        <v>672</v>
      </c>
      <c r="B6" s="35" t="s">
        <v>707</v>
      </c>
      <c r="C6" s="81"/>
      <c r="D6" s="35"/>
      <c r="E6" s="35"/>
      <c r="F6" s="80"/>
      <c r="G6" s="40"/>
    </row>
    <row r="7" spans="1:7" ht="20" customHeight="1">
      <c r="A7" s="35" t="s">
        <v>673</v>
      </c>
      <c r="B7" s="35" t="s">
        <v>708</v>
      </c>
      <c r="C7" s="81"/>
      <c r="D7" s="35"/>
      <c r="E7" s="35"/>
      <c r="F7" s="80"/>
      <c r="G7" s="40"/>
    </row>
    <row r="8" spans="1:7" ht="20" customHeight="1">
      <c r="A8" s="35" t="s">
        <v>674</v>
      </c>
      <c r="B8" s="35" t="s">
        <v>709</v>
      </c>
      <c r="C8" s="81"/>
      <c r="D8" s="35"/>
      <c r="E8" s="35"/>
      <c r="F8" s="80"/>
      <c r="G8" s="40"/>
    </row>
    <row r="9" spans="1:7" ht="20" customHeight="1">
      <c r="A9" s="35" t="s">
        <v>675</v>
      </c>
      <c r="B9" s="35" t="s">
        <v>710</v>
      </c>
      <c r="C9" s="81"/>
      <c r="D9" s="35"/>
      <c r="E9" s="35"/>
      <c r="F9" s="80"/>
      <c r="G9" s="40"/>
    </row>
    <row r="10" spans="1:7" ht="20" customHeight="1">
      <c r="A10" s="35"/>
      <c r="C10" s="81"/>
      <c r="D10" s="35"/>
      <c r="E10" s="35"/>
      <c r="F10" s="80"/>
      <c r="G10" s="40"/>
    </row>
    <row r="11" spans="1:7" ht="20" customHeight="1">
      <c r="A11" s="35"/>
      <c r="B11" s="40"/>
    </row>
    <row r="12" spans="1:7" ht="50" customHeight="1">
      <c r="A12" s="204" t="s">
        <v>947</v>
      </c>
      <c r="B12" s="204"/>
      <c r="C12" s="204"/>
      <c r="D12" s="204"/>
      <c r="E12" s="204"/>
      <c r="F12" s="204"/>
      <c r="G12" s="59"/>
    </row>
    <row r="13" spans="1:7" customFormat="1" ht="20" customHeight="1">
      <c r="A13" s="62" t="s">
        <v>931</v>
      </c>
      <c r="B13" s="62" t="s">
        <v>932</v>
      </c>
      <c r="C13" s="62" t="s">
        <v>933</v>
      </c>
      <c r="D13" s="62" t="s">
        <v>934</v>
      </c>
      <c r="E13" s="62" t="s">
        <v>935</v>
      </c>
      <c r="F13" s="62" t="s">
        <v>444</v>
      </c>
    </row>
    <row r="14" spans="1:7" customFormat="1" ht="20" customHeight="1">
      <c r="A14" s="197" t="s">
        <v>615</v>
      </c>
      <c r="B14" s="197" t="s">
        <v>570</v>
      </c>
      <c r="C14" s="197" t="s">
        <v>1033</v>
      </c>
      <c r="D14" s="197" t="s">
        <v>936</v>
      </c>
      <c r="E14" s="197" t="s">
        <v>937</v>
      </c>
      <c r="F14" s="197" t="s">
        <v>969</v>
      </c>
    </row>
    <row r="15" spans="1:7" customFormat="1" ht="20" customHeight="1">
      <c r="A15" s="197" t="s">
        <v>938</v>
      </c>
      <c r="B15" s="197" t="s">
        <v>570</v>
      </c>
      <c r="C15" s="197" t="s">
        <v>1032</v>
      </c>
      <c r="D15" s="197" t="s">
        <v>939</v>
      </c>
      <c r="E15" s="197"/>
      <c r="F15" s="197" t="s">
        <v>970</v>
      </c>
    </row>
    <row r="16" spans="1:7" customFormat="1" ht="20" customHeight="1">
      <c r="A16" s="197" t="s">
        <v>938</v>
      </c>
      <c r="B16" s="197" t="s">
        <v>940</v>
      </c>
      <c r="C16" s="197" t="s">
        <v>1032</v>
      </c>
      <c r="D16" s="197" t="s">
        <v>941</v>
      </c>
      <c r="E16" s="197"/>
      <c r="F16" s="197" t="s">
        <v>971</v>
      </c>
    </row>
    <row r="17" spans="1:7" customFormat="1" ht="20" customHeight="1">
      <c r="A17" s="197" t="s">
        <v>938</v>
      </c>
      <c r="B17" s="197" t="s">
        <v>942</v>
      </c>
      <c r="C17" s="197" t="s">
        <v>1032</v>
      </c>
      <c r="D17" s="197" t="s">
        <v>943</v>
      </c>
      <c r="E17" s="197"/>
      <c r="F17" s="197" t="s">
        <v>972</v>
      </c>
    </row>
    <row r="18" spans="1:7" customFormat="1" ht="20" customHeight="1">
      <c r="A18" s="197" t="s">
        <v>938</v>
      </c>
      <c r="B18" s="197" t="s">
        <v>944</v>
      </c>
      <c r="C18" s="197" t="s">
        <v>1034</v>
      </c>
      <c r="D18" s="197" t="s">
        <v>945</v>
      </c>
      <c r="E18" s="197" t="s">
        <v>946</v>
      </c>
      <c r="F18" s="197" t="s">
        <v>973</v>
      </c>
    </row>
    <row r="19" spans="1:7" ht="20" customHeight="1">
      <c r="A19" s="35"/>
      <c r="C19"/>
    </row>
    <row r="20" spans="1:7" ht="50" customHeight="1">
      <c r="A20" s="204" t="s">
        <v>678</v>
      </c>
      <c r="B20" s="205"/>
      <c r="C20" s="204"/>
      <c r="D20" s="204"/>
      <c r="E20" s="204"/>
      <c r="F20" s="204"/>
      <c r="G20" s="59"/>
    </row>
    <row r="21" spans="1:7" ht="20" customHeight="1">
      <c r="A21" s="62" t="s">
        <v>496</v>
      </c>
      <c r="B21" s="62" t="s">
        <v>948</v>
      </c>
      <c r="C21" s="62" t="s">
        <v>949</v>
      </c>
      <c r="D21" s="62"/>
      <c r="E21" s="62"/>
      <c r="F21" s="62"/>
    </row>
    <row r="22" spans="1:7" ht="20" customHeight="1">
      <c r="A22" s="40" t="s">
        <v>957</v>
      </c>
      <c r="B22" s="80">
        <v>0.2</v>
      </c>
      <c r="C22" s="35" t="s">
        <v>963</v>
      </c>
      <c r="D22" s="35"/>
      <c r="E22" s="35"/>
      <c r="F22" s="35"/>
    </row>
    <row r="23" spans="1:7" ht="20" customHeight="1">
      <c r="A23" s="40" t="s">
        <v>958</v>
      </c>
      <c r="B23" s="80">
        <v>0.2</v>
      </c>
      <c r="C23" s="35" t="s">
        <v>964</v>
      </c>
      <c r="D23" s="35"/>
      <c r="E23" s="35"/>
      <c r="F23" s="35"/>
    </row>
    <row r="24" spans="1:7" ht="20" customHeight="1">
      <c r="A24" s="40" t="s">
        <v>959</v>
      </c>
      <c r="B24" s="80">
        <v>0.15</v>
      </c>
      <c r="C24" s="35" t="s">
        <v>965</v>
      </c>
      <c r="D24" s="35"/>
      <c r="E24" s="35"/>
      <c r="F24" s="35"/>
    </row>
    <row r="25" spans="1:7" ht="20" customHeight="1">
      <c r="A25" s="40" t="s">
        <v>960</v>
      </c>
      <c r="B25" s="80">
        <v>0.2</v>
      </c>
      <c r="C25" s="35" t="s">
        <v>966</v>
      </c>
      <c r="D25" s="35"/>
      <c r="E25" s="35"/>
      <c r="F25" s="35"/>
    </row>
    <row r="26" spans="1:7" ht="20" customHeight="1">
      <c r="A26" s="40" t="s">
        <v>961</v>
      </c>
      <c r="B26" s="80">
        <v>0.15</v>
      </c>
      <c r="C26" s="35" t="s">
        <v>967</v>
      </c>
      <c r="D26" s="35"/>
      <c r="E26" s="35"/>
      <c r="F26" s="35"/>
    </row>
    <row r="27" spans="1:7" ht="20" customHeight="1">
      <c r="A27" s="40" t="s">
        <v>962</v>
      </c>
      <c r="B27" s="80">
        <v>0.1</v>
      </c>
      <c r="C27" s="35" t="s">
        <v>968</v>
      </c>
      <c r="D27" s="35"/>
      <c r="E27" s="35"/>
      <c r="F27" s="35"/>
    </row>
    <row r="28" spans="1:7" ht="20" customHeight="1"/>
    <row r="29" spans="1:7" ht="20" customHeight="1"/>
    <row r="30" spans="1:7" ht="50" customHeight="1">
      <c r="A30" s="204" t="s">
        <v>679</v>
      </c>
      <c r="B30" s="204"/>
      <c r="C30" s="204"/>
      <c r="D30" s="204"/>
      <c r="E30" s="204"/>
      <c r="F30" s="204"/>
      <c r="G30" s="59"/>
    </row>
    <row r="31" spans="1:7" ht="20" customHeight="1">
      <c r="A31" s="62" t="s">
        <v>496</v>
      </c>
      <c r="B31" s="62" t="s">
        <v>687</v>
      </c>
      <c r="C31" s="62" t="s">
        <v>677</v>
      </c>
      <c r="D31" s="62" t="s">
        <v>699</v>
      </c>
      <c r="E31" s="62" t="s">
        <v>688</v>
      </c>
      <c r="F31" s="62" t="s">
        <v>672</v>
      </c>
      <c r="G31" s="40"/>
    </row>
    <row r="32" spans="1:7" ht="30" customHeight="1">
      <c r="A32" s="35" t="s">
        <v>974</v>
      </c>
      <c r="B32" s="40" t="s">
        <v>570</v>
      </c>
      <c r="C32" s="80">
        <v>0</v>
      </c>
      <c r="D32" s="81" t="s">
        <v>703</v>
      </c>
      <c r="E32" s="40" t="s">
        <v>975</v>
      </c>
      <c r="F32" s="40" t="s">
        <v>976</v>
      </c>
      <c r="G32" s="40"/>
    </row>
    <row r="33" spans="1:7" ht="30" customHeight="1">
      <c r="A33" s="35" t="s">
        <v>974</v>
      </c>
      <c r="B33" s="40" t="s">
        <v>571</v>
      </c>
      <c r="C33" s="80">
        <v>0</v>
      </c>
      <c r="D33" s="81" t="s">
        <v>704</v>
      </c>
      <c r="E33" s="40" t="s">
        <v>977</v>
      </c>
      <c r="F33" s="40" t="s">
        <v>978</v>
      </c>
      <c r="G33" s="40"/>
    </row>
    <row r="34" spans="1:7" ht="30" customHeight="1">
      <c r="A34" s="35" t="s">
        <v>974</v>
      </c>
      <c r="B34" s="40" t="s">
        <v>979</v>
      </c>
      <c r="C34" s="80">
        <v>0</v>
      </c>
      <c r="D34" s="81" t="s">
        <v>703</v>
      </c>
      <c r="E34" s="40" t="s">
        <v>980</v>
      </c>
      <c r="F34" s="40" t="s">
        <v>981</v>
      </c>
      <c r="G34" s="40"/>
    </row>
    <row r="35" spans="1:7" ht="30" customHeight="1">
      <c r="A35" s="35" t="s">
        <v>689</v>
      </c>
      <c r="B35" s="40" t="s">
        <v>572</v>
      </c>
      <c r="C35" s="80">
        <v>0.35</v>
      </c>
      <c r="D35" s="81" t="s">
        <v>704</v>
      </c>
      <c r="E35" s="40" t="s">
        <v>982</v>
      </c>
      <c r="F35" s="40" t="s">
        <v>983</v>
      </c>
      <c r="G35" s="40"/>
    </row>
    <row r="36" spans="1:7" ht="30" customHeight="1">
      <c r="A36" s="35" t="s">
        <v>689</v>
      </c>
      <c r="B36" s="40" t="s">
        <v>573</v>
      </c>
      <c r="C36" s="80">
        <v>0.3</v>
      </c>
      <c r="D36" s="81" t="s">
        <v>704</v>
      </c>
      <c r="E36" s="40" t="s">
        <v>984</v>
      </c>
      <c r="F36" s="40" t="s">
        <v>983</v>
      </c>
      <c r="G36" s="40"/>
    </row>
    <row r="37" spans="1:7" ht="30" customHeight="1">
      <c r="A37" s="35" t="s">
        <v>689</v>
      </c>
      <c r="B37" s="40" t="s">
        <v>574</v>
      </c>
      <c r="C37" s="80">
        <v>0.35</v>
      </c>
      <c r="D37" s="81" t="s">
        <v>704</v>
      </c>
      <c r="E37" s="40" t="s">
        <v>985</v>
      </c>
      <c r="F37" s="40" t="s">
        <v>986</v>
      </c>
      <c r="G37" s="40"/>
    </row>
    <row r="38" spans="1:7" ht="30" customHeight="1">
      <c r="A38" s="35" t="s">
        <v>690</v>
      </c>
      <c r="B38" s="40" t="s">
        <v>564</v>
      </c>
      <c r="C38" s="80">
        <v>0.12</v>
      </c>
      <c r="D38" s="81" t="s">
        <v>705</v>
      </c>
      <c r="E38" s="40" t="s">
        <v>691</v>
      </c>
      <c r="F38" s="40" t="s">
        <v>987</v>
      </c>
      <c r="G38" s="40"/>
    </row>
    <row r="39" spans="1:7" ht="30" customHeight="1">
      <c r="A39" s="35" t="s">
        <v>690</v>
      </c>
      <c r="B39" s="40" t="s">
        <v>565</v>
      </c>
      <c r="C39" s="80">
        <v>0.16</v>
      </c>
      <c r="D39" s="81" t="s">
        <v>703</v>
      </c>
      <c r="E39" s="40" t="s">
        <v>988</v>
      </c>
      <c r="F39" s="40" t="s">
        <v>989</v>
      </c>
      <c r="G39" s="40"/>
    </row>
    <row r="40" spans="1:7" ht="30" customHeight="1">
      <c r="A40" s="35" t="s">
        <v>690</v>
      </c>
      <c r="B40" s="40" t="s">
        <v>566</v>
      </c>
      <c r="C40" s="80">
        <v>0.12</v>
      </c>
      <c r="D40" s="81" t="s">
        <v>703</v>
      </c>
      <c r="E40" s="40" t="s">
        <v>990</v>
      </c>
      <c r="F40" s="40" t="s">
        <v>989</v>
      </c>
      <c r="G40" s="40"/>
    </row>
    <row r="41" spans="1:7" ht="30" customHeight="1">
      <c r="A41" s="35" t="s">
        <v>690</v>
      </c>
      <c r="B41" s="40" t="s">
        <v>991</v>
      </c>
      <c r="C41" s="80">
        <v>0.12</v>
      </c>
      <c r="D41" s="81" t="s">
        <v>700</v>
      </c>
      <c r="E41" s="40" t="s">
        <v>992</v>
      </c>
      <c r="F41" s="40" t="s">
        <v>986</v>
      </c>
      <c r="G41" s="40"/>
    </row>
    <row r="42" spans="1:7" ht="30" customHeight="1">
      <c r="A42" s="35" t="s">
        <v>690</v>
      </c>
      <c r="B42" s="40" t="s">
        <v>993</v>
      </c>
      <c r="C42" s="80">
        <v>0.12</v>
      </c>
      <c r="D42" s="81" t="s">
        <v>700</v>
      </c>
      <c r="E42" s="40" t="s">
        <v>994</v>
      </c>
      <c r="F42" s="40" t="s">
        <v>995</v>
      </c>
      <c r="G42" s="40"/>
    </row>
    <row r="43" spans="1:7" ht="30" customHeight="1">
      <c r="A43" s="35" t="s">
        <v>690</v>
      </c>
      <c r="B43" s="40" t="s">
        <v>996</v>
      </c>
      <c r="C43" s="80">
        <v>0.08</v>
      </c>
      <c r="D43" s="81" t="s">
        <v>700</v>
      </c>
      <c r="E43" s="40" t="s">
        <v>997</v>
      </c>
      <c r="F43" s="40" t="s">
        <v>986</v>
      </c>
      <c r="G43" s="40"/>
    </row>
    <row r="44" spans="1:7" ht="45" customHeight="1">
      <c r="A44" s="35" t="s">
        <v>690</v>
      </c>
      <c r="B44" s="40" t="s">
        <v>868</v>
      </c>
      <c r="C44" s="80">
        <v>0.08</v>
      </c>
      <c r="D44" s="81" t="s">
        <v>998</v>
      </c>
      <c r="E44" s="40" t="s">
        <v>999</v>
      </c>
      <c r="F44" s="40" t="s">
        <v>1000</v>
      </c>
      <c r="G44" s="40"/>
    </row>
    <row r="45" spans="1:7" ht="45" customHeight="1">
      <c r="A45" s="35" t="s">
        <v>690</v>
      </c>
      <c r="B45" s="40" t="s">
        <v>862</v>
      </c>
      <c r="C45" s="80">
        <v>0.2</v>
      </c>
      <c r="D45" s="81" t="s">
        <v>1001</v>
      </c>
      <c r="E45" s="40" t="s">
        <v>1002</v>
      </c>
      <c r="F45" s="40" t="s">
        <v>1003</v>
      </c>
      <c r="G45" s="40"/>
    </row>
    <row r="46" spans="1:7" ht="30" customHeight="1">
      <c r="A46" s="35" t="s">
        <v>693</v>
      </c>
      <c r="B46" s="40" t="s">
        <v>593</v>
      </c>
      <c r="C46" s="80">
        <v>0.1</v>
      </c>
      <c r="D46" s="81" t="s">
        <v>704</v>
      </c>
      <c r="E46" s="40" t="s">
        <v>1004</v>
      </c>
      <c r="F46" s="40" t="s">
        <v>987</v>
      </c>
      <c r="G46" s="40"/>
    </row>
    <row r="47" spans="1:7" ht="30" customHeight="1">
      <c r="A47" s="35" t="s">
        <v>693</v>
      </c>
      <c r="B47" s="40" t="s">
        <v>592</v>
      </c>
      <c r="C47" s="80">
        <v>0.25</v>
      </c>
      <c r="D47" s="81" t="s">
        <v>704</v>
      </c>
      <c r="E47" s="40" t="s">
        <v>1005</v>
      </c>
      <c r="F47" s="40" t="s">
        <v>987</v>
      </c>
      <c r="G47" s="40"/>
    </row>
    <row r="48" spans="1:7" ht="30" customHeight="1">
      <c r="A48" s="35" t="s">
        <v>693</v>
      </c>
      <c r="B48" s="40" t="s">
        <v>599</v>
      </c>
      <c r="C48" s="80">
        <v>0.25</v>
      </c>
      <c r="D48" s="81" t="s">
        <v>704</v>
      </c>
      <c r="E48" s="40" t="s">
        <v>1006</v>
      </c>
      <c r="F48" s="40" t="s">
        <v>987</v>
      </c>
      <c r="G48" s="40"/>
    </row>
    <row r="49" spans="1:7" ht="30" customHeight="1">
      <c r="A49" s="35" t="s">
        <v>693</v>
      </c>
      <c r="B49" s="40" t="s">
        <v>600</v>
      </c>
      <c r="C49" s="80">
        <v>0.2</v>
      </c>
      <c r="D49" s="81" t="s">
        <v>704</v>
      </c>
      <c r="E49" s="40" t="s">
        <v>1007</v>
      </c>
      <c r="F49" s="40" t="s">
        <v>987</v>
      </c>
      <c r="G49" s="40"/>
    </row>
    <row r="50" spans="1:7" ht="30" customHeight="1">
      <c r="A50" s="35" t="s">
        <v>693</v>
      </c>
      <c r="B50" s="40" t="s">
        <v>601</v>
      </c>
      <c r="C50" s="80">
        <v>0.2</v>
      </c>
      <c r="D50" s="81" t="s">
        <v>704</v>
      </c>
      <c r="E50" s="40" t="s">
        <v>1008</v>
      </c>
      <c r="F50" s="40" t="s">
        <v>987</v>
      </c>
      <c r="G50" s="40"/>
    </row>
    <row r="51" spans="1:7" ht="30" customHeight="1">
      <c r="A51" s="35" t="s">
        <v>694</v>
      </c>
      <c r="B51" s="40" t="s">
        <v>445</v>
      </c>
      <c r="C51" s="80">
        <v>0.2</v>
      </c>
      <c r="D51" s="81" t="s">
        <v>1009</v>
      </c>
      <c r="E51" s="40" t="s">
        <v>1010</v>
      </c>
      <c r="F51" s="40" t="s">
        <v>1011</v>
      </c>
    </row>
    <row r="52" spans="1:7" ht="30" customHeight="1">
      <c r="A52" s="35" t="s">
        <v>694</v>
      </c>
      <c r="B52" s="40" t="s">
        <v>446</v>
      </c>
      <c r="C52" s="80">
        <v>0.2</v>
      </c>
      <c r="D52" s="81" t="s">
        <v>1009</v>
      </c>
      <c r="E52" s="40" t="s">
        <v>1012</v>
      </c>
      <c r="F52" s="40" t="s">
        <v>1011</v>
      </c>
    </row>
    <row r="53" spans="1:7" ht="30" customHeight="1">
      <c r="A53" s="35" t="s">
        <v>694</v>
      </c>
      <c r="B53" s="40" t="s">
        <v>447</v>
      </c>
      <c r="C53" s="80">
        <v>0.15</v>
      </c>
      <c r="D53" s="81" t="s">
        <v>701</v>
      </c>
      <c r="E53" s="40" t="s">
        <v>1013</v>
      </c>
      <c r="F53" s="40" t="s">
        <v>1011</v>
      </c>
    </row>
    <row r="54" spans="1:7" ht="30" customHeight="1">
      <c r="A54" s="35" t="s">
        <v>694</v>
      </c>
      <c r="B54" s="40" t="s">
        <v>773</v>
      </c>
      <c r="C54" s="80">
        <v>0.2</v>
      </c>
      <c r="D54" s="81" t="s">
        <v>775</v>
      </c>
      <c r="E54" s="40" t="s">
        <v>1014</v>
      </c>
      <c r="F54" s="40" t="s">
        <v>1015</v>
      </c>
    </row>
    <row r="55" spans="1:7" ht="30" customHeight="1">
      <c r="A55" s="35" t="s">
        <v>694</v>
      </c>
      <c r="B55" s="40" t="s">
        <v>774</v>
      </c>
      <c r="C55" s="80">
        <v>0.25</v>
      </c>
      <c r="D55" s="81" t="s">
        <v>775</v>
      </c>
      <c r="E55" s="40" t="s">
        <v>1016</v>
      </c>
      <c r="F55" s="40" t="s">
        <v>1017</v>
      </c>
    </row>
    <row r="56" spans="1:7" ht="30" customHeight="1">
      <c r="A56" s="35" t="s">
        <v>761</v>
      </c>
      <c r="B56" s="40" t="s">
        <v>452</v>
      </c>
      <c r="C56" s="80">
        <v>0.3</v>
      </c>
      <c r="D56" s="81" t="s">
        <v>704</v>
      </c>
      <c r="E56" s="40" t="s">
        <v>1018</v>
      </c>
      <c r="F56" s="40" t="s">
        <v>1019</v>
      </c>
      <c r="G56" s="40"/>
    </row>
    <row r="57" spans="1:7" ht="30" customHeight="1">
      <c r="A57" s="35" t="s">
        <v>761</v>
      </c>
      <c r="B57" s="40" t="s">
        <v>453</v>
      </c>
      <c r="C57" s="80">
        <v>0.25</v>
      </c>
      <c r="D57" s="81" t="s">
        <v>704</v>
      </c>
      <c r="E57" s="40" t="s">
        <v>695</v>
      </c>
      <c r="F57" s="40" t="s">
        <v>1020</v>
      </c>
    </row>
    <row r="58" spans="1:7" ht="30" customHeight="1">
      <c r="A58" s="35" t="s">
        <v>761</v>
      </c>
      <c r="B58" s="40" t="s">
        <v>454</v>
      </c>
      <c r="C58" s="80">
        <v>0.2</v>
      </c>
      <c r="D58" s="81" t="s">
        <v>704</v>
      </c>
      <c r="E58" s="40" t="s">
        <v>1021</v>
      </c>
      <c r="F58" s="40" t="s">
        <v>1022</v>
      </c>
    </row>
    <row r="59" spans="1:7" ht="30" customHeight="1">
      <c r="A59" s="35" t="s">
        <v>761</v>
      </c>
      <c r="B59" s="40" t="s">
        <v>891</v>
      </c>
      <c r="C59" s="80">
        <v>0.25</v>
      </c>
      <c r="D59" s="81" t="s">
        <v>700</v>
      </c>
      <c r="E59" s="40" t="s">
        <v>1023</v>
      </c>
      <c r="F59" s="40" t="s">
        <v>1024</v>
      </c>
    </row>
    <row r="60" spans="1:7" ht="30" customHeight="1">
      <c r="A60" s="35" t="s">
        <v>696</v>
      </c>
      <c r="B60" s="40" t="s">
        <v>467</v>
      </c>
      <c r="C60" s="80">
        <v>0.35</v>
      </c>
      <c r="D60" s="81" t="s">
        <v>704</v>
      </c>
      <c r="E60" s="40" t="s">
        <v>1025</v>
      </c>
      <c r="F60" s="40" t="s">
        <v>1026</v>
      </c>
    </row>
    <row r="61" spans="1:7" ht="30" customHeight="1">
      <c r="A61" s="35" t="s">
        <v>696</v>
      </c>
      <c r="B61" s="40" t="s">
        <v>902</v>
      </c>
      <c r="C61" s="80">
        <v>0.45</v>
      </c>
      <c r="D61" s="81" t="s">
        <v>1027</v>
      </c>
      <c r="E61" s="40" t="s">
        <v>1028</v>
      </c>
      <c r="F61" s="40" t="s">
        <v>1029</v>
      </c>
    </row>
    <row r="62" spans="1:7" ht="30" customHeight="1">
      <c r="A62" s="35" t="s">
        <v>696</v>
      </c>
      <c r="B62" s="40" t="s">
        <v>468</v>
      </c>
      <c r="C62" s="80">
        <v>0.2</v>
      </c>
      <c r="D62" s="81" t="s">
        <v>704</v>
      </c>
      <c r="E62" s="40" t="s">
        <v>1030</v>
      </c>
      <c r="F62" s="40" t="s">
        <v>1031</v>
      </c>
      <c r="G62" s="40"/>
    </row>
    <row r="63" spans="1:7" ht="30" customHeight="1">
      <c r="A63" s="35" t="s">
        <v>696</v>
      </c>
      <c r="B63" s="40" t="s">
        <v>469</v>
      </c>
      <c r="C63" s="80">
        <v>0</v>
      </c>
      <c r="D63" s="81" t="s">
        <v>702</v>
      </c>
      <c r="E63" s="40" t="s">
        <v>697</v>
      </c>
      <c r="F63" s="40" t="s">
        <v>698</v>
      </c>
    </row>
    <row r="64" spans="1:7" customFormat="1" ht="20" customHeight="1"/>
    <row r="65" spans="1:7" customFormat="1" ht="20" customHeight="1"/>
    <row r="66" spans="1:7" ht="50" customHeight="1">
      <c r="A66" s="204" t="s">
        <v>1047</v>
      </c>
      <c r="B66" s="204"/>
      <c r="C66" s="204"/>
      <c r="D66" s="204"/>
      <c r="E66" s="204"/>
      <c r="F66" s="204"/>
      <c r="G66" s="59"/>
    </row>
    <row r="67" spans="1:7" ht="20" customHeight="1">
      <c r="A67" s="62" t="s">
        <v>687</v>
      </c>
      <c r="B67" s="62" t="s">
        <v>1035</v>
      </c>
      <c r="C67" s="62" t="s">
        <v>1036</v>
      </c>
      <c r="D67" s="62"/>
      <c r="E67" s="62"/>
      <c r="F67" s="62"/>
      <c r="G67" s="40"/>
    </row>
    <row r="68" spans="1:7" ht="20" customHeight="1">
      <c r="A68" s="35" t="s">
        <v>570</v>
      </c>
      <c r="B68" s="35" t="s">
        <v>615</v>
      </c>
      <c r="C68" s="81" t="s">
        <v>1042</v>
      </c>
      <c r="D68" s="35"/>
      <c r="E68" s="35"/>
      <c r="F68" s="80"/>
    </row>
    <row r="69" spans="1:7" ht="20" customHeight="1">
      <c r="A69" s="35" t="s">
        <v>940</v>
      </c>
      <c r="B69" s="35" t="s">
        <v>938</v>
      </c>
      <c r="C69" s="81" t="s">
        <v>1041</v>
      </c>
      <c r="D69" s="35"/>
      <c r="E69" s="35"/>
      <c r="F69" s="80"/>
    </row>
    <row r="70" spans="1:7" ht="20" customHeight="1">
      <c r="A70" s="35" t="s">
        <v>1037</v>
      </c>
      <c r="B70" s="35" t="s">
        <v>1046</v>
      </c>
      <c r="C70" s="81" t="s">
        <v>1043</v>
      </c>
      <c r="D70" s="35"/>
      <c r="E70" s="35"/>
      <c r="F70" s="80"/>
    </row>
    <row r="71" spans="1:7" ht="20" customHeight="1">
      <c r="A71" s="35" t="s">
        <v>1038</v>
      </c>
      <c r="B71" s="35" t="s">
        <v>1046</v>
      </c>
      <c r="C71" s="81" t="s">
        <v>1044</v>
      </c>
      <c r="D71" s="35"/>
      <c r="E71" s="35"/>
      <c r="F71" s="80"/>
    </row>
    <row r="72" spans="1:7" ht="20" customHeight="1">
      <c r="A72" s="35" t="s">
        <v>1039</v>
      </c>
      <c r="B72" s="35" t="s">
        <v>1046</v>
      </c>
      <c r="C72" s="81" t="s">
        <v>1044</v>
      </c>
      <c r="D72" s="35"/>
      <c r="E72" s="35"/>
      <c r="F72" s="80"/>
    </row>
    <row r="73" spans="1:7" ht="20" customHeight="1">
      <c r="A73" s="35" t="s">
        <v>1040</v>
      </c>
      <c r="B73" s="35" t="s">
        <v>1046</v>
      </c>
      <c r="C73" s="81" t="s">
        <v>1045</v>
      </c>
      <c r="D73" s="35"/>
      <c r="E73" s="35"/>
      <c r="F73" s="80"/>
    </row>
    <row r="74" spans="1:7" ht="20" customHeight="1">
      <c r="A74" s="35" t="s">
        <v>1048</v>
      </c>
      <c r="B74" s="35" t="s">
        <v>1046</v>
      </c>
      <c r="C74" s="81" t="s">
        <v>1049</v>
      </c>
      <c r="D74" s="35"/>
      <c r="E74" s="35"/>
      <c r="F74" s="80"/>
    </row>
    <row r="75" spans="1:7" customFormat="1" ht="20" customHeight="1"/>
    <row r="76" spans="1:7" customFormat="1" ht="20" customHeight="1"/>
    <row r="77" spans="1:7" ht="50" customHeight="1">
      <c r="A77" s="204" t="s">
        <v>737</v>
      </c>
      <c r="B77" s="204"/>
      <c r="C77" s="204"/>
      <c r="D77" s="204"/>
      <c r="E77" s="204"/>
      <c r="F77" s="204"/>
      <c r="G77" s="59"/>
    </row>
    <row r="78" spans="1:7" ht="20" customHeight="1">
      <c r="A78" s="62" t="s">
        <v>738</v>
      </c>
      <c r="B78" s="62"/>
      <c r="C78" s="62"/>
      <c r="D78" s="62"/>
      <c r="E78" s="62"/>
      <c r="F78" s="62"/>
      <c r="G78" s="40"/>
    </row>
    <row r="79" spans="1:7" ht="20" customHeight="1">
      <c r="A79" s="35" t="s">
        <v>740</v>
      </c>
      <c r="C79" s="81"/>
      <c r="D79" s="35"/>
      <c r="E79" s="35"/>
      <c r="F79" s="80"/>
    </row>
    <row r="80" spans="1:7" ht="20" customHeight="1">
      <c r="A80" s="35" t="s">
        <v>741</v>
      </c>
      <c r="C80" s="81"/>
      <c r="D80" s="35"/>
      <c r="E80" s="35"/>
      <c r="F80" s="80"/>
    </row>
    <row r="81" spans="1:6" ht="20" customHeight="1">
      <c r="A81" s="35" t="s">
        <v>739</v>
      </c>
      <c r="C81" s="81"/>
      <c r="D81" s="35"/>
      <c r="E81" s="35"/>
      <c r="F81" s="80"/>
    </row>
    <row r="82" spans="1:6" ht="20" customHeight="1">
      <c r="A82" s="35" t="s">
        <v>742</v>
      </c>
      <c r="C82" s="81"/>
      <c r="D82" s="35"/>
      <c r="E82" s="35"/>
      <c r="F82" s="80"/>
    </row>
    <row r="83" spans="1:6" customFormat="1" ht="20" customHeight="1"/>
    <row r="84" spans="1:6" ht="20" customHeight="1">
      <c r="A84" s="35" t="s">
        <v>743</v>
      </c>
      <c r="C84" s="81"/>
      <c r="D84" s="35"/>
      <c r="E84" s="35"/>
      <c r="F84" s="80"/>
    </row>
    <row r="85" spans="1:6" ht="20" customHeight="1">
      <c r="A85" s="35" t="s">
        <v>744</v>
      </c>
      <c r="C85" s="81"/>
      <c r="D85" s="35"/>
      <c r="E85" s="35"/>
      <c r="F85" s="80"/>
    </row>
    <row r="86" spans="1:6" ht="20" customHeight="1">
      <c r="A86" s="35"/>
      <c r="C86" s="81"/>
      <c r="D86" s="35"/>
      <c r="E86" s="35"/>
      <c r="F86" s="80"/>
    </row>
    <row r="87" spans="1:6" ht="20" customHeight="1">
      <c r="A87" s="35" t="s">
        <v>762</v>
      </c>
      <c r="C87" s="81"/>
      <c r="D87" s="35"/>
      <c r="E87" s="35"/>
      <c r="F87" s="80"/>
    </row>
    <row r="88" spans="1:6" ht="20" customHeight="1">
      <c r="A88" s="35" t="s">
        <v>763</v>
      </c>
      <c r="C88" s="81"/>
      <c r="D88" s="35"/>
      <c r="E88" s="35"/>
      <c r="F88" s="80"/>
    </row>
    <row r="89" spans="1:6" ht="20" customHeight="1">
      <c r="A89" s="35"/>
      <c r="C89" s="81"/>
      <c r="D89" s="35"/>
      <c r="E89" s="35"/>
      <c r="F89" s="80"/>
    </row>
    <row r="90" spans="1:6" customFormat="1" ht="20" hidden="1" customHeight="1">
      <c r="A90" s="35" t="s">
        <v>765</v>
      </c>
    </row>
    <row r="91" spans="1:6" customFormat="1" ht="20" customHeight="1">
      <c r="A91" s="35"/>
    </row>
    <row r="92" spans="1:6" customFormat="1" ht="20" customHeight="1">
      <c r="A92" s="62" t="s">
        <v>804</v>
      </c>
      <c r="B92" s="62"/>
      <c r="C92" s="62"/>
      <c r="D92" s="62"/>
      <c r="E92" s="62"/>
      <c r="F92" s="62"/>
    </row>
    <row r="93" spans="1:6" customFormat="1" ht="20" customHeight="1">
      <c r="A93" s="35"/>
      <c r="B93" s="35"/>
      <c r="C93" s="35"/>
    </row>
    <row r="94" spans="1:6" ht="20" hidden="1" customHeight="1">
      <c r="A94" s="124" t="s">
        <v>950</v>
      </c>
      <c r="B94" s="128" t="s">
        <v>951</v>
      </c>
      <c r="C94"/>
    </row>
    <row r="95" spans="1:6" ht="20" hidden="1" customHeight="1">
      <c r="A95" s="125" t="s">
        <v>411</v>
      </c>
      <c r="B95" s="129">
        <v>8</v>
      </c>
      <c r="C95"/>
    </row>
    <row r="96" spans="1:6" ht="20" hidden="1" customHeight="1">
      <c r="A96" s="125" t="s">
        <v>290</v>
      </c>
      <c r="B96" s="129">
        <v>7</v>
      </c>
      <c r="C96"/>
    </row>
    <row r="97" spans="1:3" ht="20" hidden="1" customHeight="1">
      <c r="A97" s="125" t="s">
        <v>478</v>
      </c>
      <c r="B97" s="129">
        <v>7</v>
      </c>
      <c r="C97"/>
    </row>
    <row r="98" spans="1:3" ht="20" hidden="1" customHeight="1">
      <c r="A98" s="125" t="s">
        <v>405</v>
      </c>
      <c r="B98" s="129">
        <v>5</v>
      </c>
      <c r="C98"/>
    </row>
    <row r="99" spans="1:3" ht="20" hidden="1" customHeight="1">
      <c r="A99" s="125" t="s">
        <v>430</v>
      </c>
      <c r="B99" s="129">
        <v>4</v>
      </c>
      <c r="C99"/>
    </row>
    <row r="100" spans="1:3" ht="20" hidden="1" customHeight="1">
      <c r="A100" s="125" t="s">
        <v>389</v>
      </c>
      <c r="B100" s="129">
        <v>3</v>
      </c>
      <c r="C100"/>
    </row>
    <row r="101" spans="1:3" ht="20" hidden="1" customHeight="1">
      <c r="A101" s="125" t="s">
        <v>312</v>
      </c>
      <c r="B101" s="129">
        <v>2</v>
      </c>
      <c r="C101"/>
    </row>
    <row r="102" spans="1:3" ht="20" hidden="1" customHeight="1">
      <c r="A102" s="125" t="s">
        <v>820</v>
      </c>
      <c r="B102" s="129">
        <v>2</v>
      </c>
      <c r="C102"/>
    </row>
    <row r="103" spans="1:3" ht="20" hidden="1" customHeight="1">
      <c r="A103" s="125" t="s">
        <v>476</v>
      </c>
      <c r="B103" s="129">
        <v>2</v>
      </c>
      <c r="C103"/>
    </row>
    <row r="104" spans="1:3" ht="20" hidden="1" customHeight="1">
      <c r="A104" s="125" t="s">
        <v>373</v>
      </c>
      <c r="B104" s="129">
        <v>2</v>
      </c>
      <c r="C104"/>
    </row>
    <row r="105" spans="1:3" ht="20" hidden="1" customHeight="1">
      <c r="A105" s="125" t="s">
        <v>270</v>
      </c>
      <c r="B105" s="129">
        <v>2</v>
      </c>
      <c r="C105"/>
    </row>
    <row r="106" spans="1:3" ht="20" hidden="1" customHeight="1">
      <c r="A106" s="126" t="s">
        <v>438</v>
      </c>
      <c r="B106" s="130">
        <v>2</v>
      </c>
      <c r="C106"/>
    </row>
    <row r="107" spans="1:3" ht="20" hidden="1" customHeight="1">
      <c r="A107" s="35"/>
      <c r="C107"/>
    </row>
    <row r="108" spans="1:3" ht="20" customHeight="1">
      <c r="A108" s="198" t="s">
        <v>950</v>
      </c>
      <c r="B108" s="199" t="s">
        <v>956</v>
      </c>
    </row>
    <row r="109" spans="1:3" ht="20" customHeight="1">
      <c r="A109" s="200" t="s">
        <v>952</v>
      </c>
      <c r="B109" s="201">
        <v>8</v>
      </c>
      <c r="C109"/>
    </row>
    <row r="110" spans="1:3" ht="20" customHeight="1">
      <c r="A110" s="125" t="s">
        <v>478</v>
      </c>
      <c r="B110" s="129">
        <v>7</v>
      </c>
      <c r="C110"/>
    </row>
    <row r="111" spans="1:3" ht="20" customHeight="1">
      <c r="A111" s="125" t="s">
        <v>476</v>
      </c>
      <c r="B111" s="129">
        <v>4</v>
      </c>
      <c r="C111"/>
    </row>
    <row r="112" spans="1:3" ht="20" customHeight="1">
      <c r="A112" s="125" t="s">
        <v>312</v>
      </c>
      <c r="B112" s="129">
        <v>2</v>
      </c>
      <c r="C112"/>
    </row>
    <row r="113" spans="1:6" ht="20" customHeight="1">
      <c r="A113" s="125" t="s">
        <v>238</v>
      </c>
      <c r="B113" s="129">
        <v>2</v>
      </c>
      <c r="C113"/>
    </row>
    <row r="114" spans="1:6" ht="20" customHeight="1">
      <c r="A114" s="125" t="s">
        <v>86</v>
      </c>
      <c r="B114" s="129">
        <v>1</v>
      </c>
      <c r="C114"/>
    </row>
    <row r="115" spans="1:6" ht="20" customHeight="1">
      <c r="A115" s="125" t="s">
        <v>953</v>
      </c>
      <c r="B115" s="129">
        <v>1</v>
      </c>
      <c r="C115"/>
    </row>
    <row r="116" spans="1:6" ht="20" customHeight="1">
      <c r="A116" s="125" t="s">
        <v>857</v>
      </c>
      <c r="B116" s="129">
        <v>1</v>
      </c>
      <c r="C116"/>
    </row>
    <row r="117" spans="1:6" ht="20" customHeight="1">
      <c r="A117" s="125" t="s">
        <v>274</v>
      </c>
      <c r="B117" s="129">
        <v>1</v>
      </c>
      <c r="C117"/>
    </row>
    <row r="118" spans="1:6" ht="20" customHeight="1">
      <c r="A118" s="125" t="s">
        <v>954</v>
      </c>
      <c r="B118" s="129">
        <v>1</v>
      </c>
      <c r="C118"/>
    </row>
    <row r="119" spans="1:6" ht="20" customHeight="1">
      <c r="A119" s="126" t="s">
        <v>482</v>
      </c>
      <c r="B119" s="130">
        <v>1</v>
      </c>
      <c r="C119"/>
    </row>
    <row r="120" spans="1:6" ht="20" customHeight="1">
      <c r="A120" s="35"/>
      <c r="C120" s="81"/>
      <c r="D120" s="35"/>
      <c r="E120" s="35"/>
      <c r="F120" s="80"/>
    </row>
    <row r="121" spans="1:6" ht="20" customHeight="1">
      <c r="A121" s="127" t="s">
        <v>806</v>
      </c>
      <c r="C121"/>
    </row>
    <row r="122" spans="1:6" ht="20" customHeight="1">
      <c r="A122" s="35" t="s">
        <v>807</v>
      </c>
      <c r="C122"/>
    </row>
    <row r="123" spans="1:6" ht="20" customHeight="1">
      <c r="A123" s="35" t="s">
        <v>808</v>
      </c>
      <c r="C123"/>
    </row>
    <row r="124" spans="1:6" ht="20" customHeight="1">
      <c r="A124" s="35" t="s">
        <v>809</v>
      </c>
      <c r="C124"/>
    </row>
    <row r="125" spans="1:6" ht="20" customHeight="1">
      <c r="A125" s="35" t="s">
        <v>810</v>
      </c>
      <c r="C125"/>
    </row>
    <row r="126" spans="1:6" ht="20" customHeight="1">
      <c r="A126" s="35" t="s">
        <v>811</v>
      </c>
      <c r="C126"/>
    </row>
    <row r="127" spans="1:6" ht="20" customHeight="1">
      <c r="A127" s="35"/>
      <c r="C127"/>
    </row>
    <row r="128" spans="1:6" ht="20" customHeight="1">
      <c r="A128" s="127" t="s">
        <v>955</v>
      </c>
      <c r="C128"/>
    </row>
    <row r="129" spans="1:3" ht="20" customHeight="1">
      <c r="A129" s="35"/>
      <c r="C129"/>
    </row>
    <row r="130" spans="1:3" ht="20" customHeight="1">
      <c r="A130" s="124" t="s">
        <v>805</v>
      </c>
      <c r="B130" s="131" t="s">
        <v>812</v>
      </c>
      <c r="C130" s="133" t="s">
        <v>821</v>
      </c>
    </row>
    <row r="131" spans="1:3" ht="20" customHeight="1">
      <c r="A131" s="125" t="s">
        <v>813</v>
      </c>
      <c r="B131" s="35" t="s">
        <v>814</v>
      </c>
      <c r="C131" s="129">
        <f>COUNTIF(INDEX!$M$4:$M$39,"Higher")</f>
        <v>31</v>
      </c>
    </row>
    <row r="132" spans="1:3" ht="20" customHeight="1">
      <c r="A132" s="125" t="s">
        <v>815</v>
      </c>
      <c r="B132" s="35" t="s">
        <v>816</v>
      </c>
      <c r="C132" s="129">
        <f>COUNTIF(INDEX!$M$4:$M$39,"Moderate")</f>
        <v>2</v>
      </c>
    </row>
    <row r="133" spans="1:3" ht="20" customHeight="1">
      <c r="A133" s="126" t="s">
        <v>817</v>
      </c>
      <c r="B133" s="132" t="s">
        <v>818</v>
      </c>
      <c r="C133" s="130">
        <f>COUNTIF(INDEX!$M$4:$M$39,"Lower")</f>
        <v>3</v>
      </c>
    </row>
    <row r="134" spans="1:3" ht="20" customHeight="1">
      <c r="A134" s="26"/>
      <c r="B134" s="26"/>
      <c r="C134"/>
    </row>
    <row r="135" spans="1:3" ht="20" customHeight="1"/>
  </sheetData>
  <mergeCells count="6">
    <mergeCell ref="A1:F1"/>
    <mergeCell ref="A20:F20"/>
    <mergeCell ref="A30:F30"/>
    <mergeCell ref="A77:F77"/>
    <mergeCell ref="A12:F12"/>
    <mergeCell ref="A66:F66"/>
  </mergeCells>
  <pageMargins left="0.7" right="0.7" top="0.75" bottom="0.75" header="0.3" footer="0.3"/>
  <ignoredErrors>
    <ignoredError sqref="D16 D33:D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7E4E-3B9F-4D42-A02C-DBABD788454D}">
  <dimension ref="A1:P48"/>
  <sheetViews>
    <sheetView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A4" sqref="A4:B39"/>
    </sheetView>
  </sheetViews>
  <sheetFormatPr baseColWidth="10" defaultRowHeight="15"/>
  <cols>
    <col min="1" max="1" width="25.83203125" customWidth="1"/>
    <col min="2" max="2" width="17.83203125" customWidth="1"/>
    <col min="3" max="10" width="20.83203125" style="30" customWidth="1"/>
    <col min="11" max="11" width="5.83203125" customWidth="1"/>
    <col min="12" max="13" width="20.83203125" customWidth="1"/>
    <col min="14" max="14" width="5.83203125" customWidth="1"/>
    <col min="15" max="16" width="20.83203125" customWidth="1"/>
  </cols>
  <sheetData>
    <row r="1" spans="1:16" ht="35" customHeight="1">
      <c r="A1" s="206" t="s">
        <v>838</v>
      </c>
      <c r="B1" s="207"/>
      <c r="C1" s="208" t="s">
        <v>485</v>
      </c>
      <c r="D1" s="208"/>
      <c r="E1" s="208"/>
      <c r="F1" s="208"/>
      <c r="G1" s="208"/>
      <c r="H1" s="208"/>
      <c r="I1" s="209"/>
      <c r="J1" s="210"/>
    </row>
    <row r="2" spans="1:16" ht="35" customHeight="1">
      <c r="A2" s="207"/>
      <c r="B2" s="207"/>
      <c r="C2" s="116">
        <v>0.2</v>
      </c>
      <c r="D2" s="116">
        <v>0.2</v>
      </c>
      <c r="E2" s="116">
        <v>0.15</v>
      </c>
      <c r="F2" s="116">
        <v>0.2</v>
      </c>
      <c r="G2" s="116">
        <v>0.15</v>
      </c>
      <c r="H2" s="116">
        <v>0.1</v>
      </c>
      <c r="I2" s="117">
        <f>SUM(C2:H2)</f>
        <v>1</v>
      </c>
      <c r="J2" s="118"/>
    </row>
    <row r="3" spans="1:16" ht="55" customHeight="1">
      <c r="A3" s="8" t="s">
        <v>2</v>
      </c>
      <c r="B3" s="8" t="s">
        <v>443</v>
      </c>
      <c r="C3" s="8" t="s">
        <v>680</v>
      </c>
      <c r="D3" s="8" t="s">
        <v>681</v>
      </c>
      <c r="E3" s="8" t="s">
        <v>682</v>
      </c>
      <c r="F3" s="8" t="s">
        <v>683</v>
      </c>
      <c r="G3" s="8" t="s">
        <v>795</v>
      </c>
      <c r="H3" s="8" t="s">
        <v>684</v>
      </c>
      <c r="I3" s="175" t="s">
        <v>483</v>
      </c>
      <c r="J3" s="175" t="s">
        <v>484</v>
      </c>
      <c r="K3" s="191"/>
      <c r="L3" s="8" t="s">
        <v>926</v>
      </c>
      <c r="M3" s="8" t="s">
        <v>819</v>
      </c>
      <c r="N3" s="115"/>
      <c r="O3" s="34" t="s">
        <v>498</v>
      </c>
      <c r="P3" s="34" t="s">
        <v>499</v>
      </c>
    </row>
    <row r="4" spans="1:16" s="32" customFormat="1" ht="20" customHeight="1">
      <c r="A4" s="35" t="str" cm="1">
        <f t="array" ref="A4:B39">_xlfn._xlws.FILTER(Screening!$A$2:$B$216,Screening!$L$2:$L$216="Yes","")</f>
        <v>Australia</v>
      </c>
      <c r="B4" s="35" t="str">
        <v>AUS</v>
      </c>
      <c r="C4" s="54">
        <f>IF($B4="","",_xlfn.XLOOKUP($B4,'Pillar-1'!$B$5:$B$216,'Pillar-1'!$M$5:$M$216,"",0))</f>
        <v>46.551741007301679</v>
      </c>
      <c r="D4" s="54">
        <f>IF($B4="","",_xlfn.XLOOKUP($B4,'Pillar-2'!$B$5:$B$216,'Pillar-2'!$S$5:$S$216,"",0))</f>
        <v>69.78265702819607</v>
      </c>
      <c r="E4" s="54">
        <f>IF($B4="","",_xlfn.XLOOKUP($B4,'Pillar-3'!$B$5:$B$217,'Pillar-3'!$M$5:$M$217,"",0))</f>
        <v>83.603499999999997</v>
      </c>
      <c r="F4" s="54">
        <f>IF($B4="","",_xlfn.XLOOKUP($B4,'Pillar-4'!$B$5:$B$217,'Pillar-4'!$R$5:$R$217,"",0))</f>
        <v>38.134110168569059</v>
      </c>
      <c r="G4" s="54">
        <f>IF($B4="","",_xlfn.XLOOKUP($B4,'Pillar-5'!$B$5:$B$216,'Pillar-5'!$O$5:$O$216,"",0))</f>
        <v>74.902856135645507</v>
      </c>
      <c r="H4" s="176">
        <f>IF($B4="","",_xlfn.XLOOKUP($B4,'Pillar-6'!$B$5:$B$216,'Pillar-6'!$O$5:$O$216,"",0))</f>
        <v>83.583500000000001</v>
      </c>
      <c r="I4" s="178">
        <f>IF(COUNT(C4:H4)=6,SUMPRODUCT(C4:H4,$C$2:$H$2),"")</f>
        <v>63.028005061160194</v>
      </c>
      <c r="J4" s="179">
        <f>IF(ISNUMBER(I4),1+COUNTIF($I$4:$I$39,"&gt;"&amp;I4),"")</f>
        <v>6</v>
      </c>
      <c r="K4" s="35"/>
      <c r="L4" s="192">
        <f>IF($B4="","",SUM(_xlfn.XLOOKUP($B4,'Pillar-1'!$B$57:$B$92,'Pillar-1'!$F$57:$F$92,0,0),_xlfn.XLOOKUP($B4,'Pillar-2'!$B$65:$B$100,'Pillar-2'!$K$65:$K$100,0,0),_xlfn.XLOOKUP($B4,'Pillar-3'!$B$54:$B$89,'Pillar-3'!$H$54:$H$89,0,0),_xlfn.XLOOKUP($B4,'Pillar-4'!$B$65:$B$100,'Pillar-4'!$H$65:$H$100,0,0),_xlfn.XLOOKUP($B4,'Pillar-5'!$B$80:$B$115,'Pillar-5'!$G$80:$G$115,0,0),_xlfn.XLOOKUP($B4,'Pillar-6'!$B$74:$B$109,'Pillar-6'!$F$74:$F$109,0,0)))</f>
        <v>0</v>
      </c>
      <c r="M4" s="71" t="str">
        <f>IF($B4="","",IF(L4&lt;=1,"Higher",IF(L4&lt;=3,"Moderate","Lower")))</f>
        <v>Higher</v>
      </c>
      <c r="N4" s="35"/>
      <c r="O4" s="72" t="e">
        <f>IF(COUNT(C4:H4)=6,C4*#REF!+D4*#REF!+E4*#REF!+F4*#REF!+G4*#REF!+H4*#REF!,"")</f>
        <v>#REF!</v>
      </c>
      <c r="P4" s="119" t="str">
        <f t="shared" ref="P4:P39" si="0">IF(ISNUMBER(O4),1+COUNTIF($O$4:$O$39,"&gt;"&amp;O4),"")</f>
        <v/>
      </c>
    </row>
    <row r="5" spans="1:16" s="32" customFormat="1" ht="20" customHeight="1">
      <c r="A5" s="35" t="str">
        <v>Bangladesh</v>
      </c>
      <c r="B5" s="35" t="str">
        <v>BGD</v>
      </c>
      <c r="C5" s="54">
        <f>IF($B5="","",_xlfn.XLOOKUP($B5,'Pillar-1'!$B$5:$B$216,'Pillar-1'!$M$5:$M$216,"",0))</f>
        <v>3.9510782916984937</v>
      </c>
      <c r="D5" s="54">
        <f>IF($B5="","",_xlfn.XLOOKUP($B5,'Pillar-2'!$B$5:$B$216,'Pillar-2'!$S$5:$S$216,"",0))</f>
        <v>12.974930352149048</v>
      </c>
      <c r="E5" s="54">
        <f>IF($B5="","",_xlfn.XLOOKUP($B5,'Pillar-3'!$B$5:$B$217,'Pillar-3'!$M$5:$M$217,"",0))</f>
        <v>37.085500000000003</v>
      </c>
      <c r="F5" s="54">
        <f>IF($B5="","",_xlfn.XLOOKUP($B5,'Pillar-4'!$B$5:$B$217,'Pillar-4'!$R$5:$R$217,"",0))</f>
        <v>77.2991243615173</v>
      </c>
      <c r="G5" s="54">
        <f>IF($B5="","",_xlfn.XLOOKUP($B5,'Pillar-5'!$B$5:$B$216,'Pillar-5'!$O$5:$O$216,"",0))</f>
        <v>46.704981702541311</v>
      </c>
      <c r="H5" s="176">
        <f>IF($B5="","",_xlfn.XLOOKUP($B5,'Pillar-6'!$B$5:$B$216,'Pillar-6'!$O$5:$O$216,"",0))</f>
        <v>44.223749999999995</v>
      </c>
      <c r="I5" s="178">
        <f t="shared" ref="I5:I39" si="1">IF(COUNT(C5:H5)=6,SUMPRODUCT(C5:H5,$C$2:$H$2),"")</f>
        <v>35.835973856454167</v>
      </c>
      <c r="J5" s="179">
        <f t="shared" ref="J5:J39" si="2">IF(ISNUMBER(I5),1+COUNTIF($I$4:$I$179,"&gt;"&amp;I5),"")</f>
        <v>36</v>
      </c>
      <c r="K5" s="35"/>
      <c r="L5" s="192">
        <f>IF($B5="","",SUM(_xlfn.XLOOKUP($B5,'Pillar-1'!$B$57:$B$92,'Pillar-1'!$F$57:$F$92,0,0),_xlfn.XLOOKUP($B5,'Pillar-2'!$B$65:$B$100,'Pillar-2'!$K$65:$K$100,0,0),_xlfn.XLOOKUP($B5,'Pillar-3'!$B$54:$B$89,'Pillar-3'!$H$54:$H$89,0,0),_xlfn.XLOOKUP($B5,'Pillar-4'!$B$65:$B$100,'Pillar-4'!$H$65:$H$100,0,0),_xlfn.XLOOKUP($B5,'Pillar-5'!$B$80:$B$115,'Pillar-5'!$G$80:$G$115,0,0),_xlfn.XLOOKUP($B5,'Pillar-6'!$B$74:$B$109,'Pillar-6'!$F$74:$F$109,0,0)))</f>
        <v>0</v>
      </c>
      <c r="M5" s="71" t="str">
        <f t="shared" ref="M5:M39" si="3">IF($B5="","",IF(L5&lt;=1,"Higher",IF(L5&lt;=3,"Moderate","Lower")))</f>
        <v>Higher</v>
      </c>
      <c r="N5" s="35"/>
      <c r="O5" s="72" t="e">
        <f>IF(COUNT(C5:H5)=6,C5*#REF!+D5*#REF!+E5*#REF!+F5*#REF!+G5*#REF!+H5*#REF!,"")</f>
        <v>#REF!</v>
      </c>
      <c r="P5" s="119" t="str">
        <f t="shared" si="0"/>
        <v/>
      </c>
    </row>
    <row r="6" spans="1:16" s="32" customFormat="1" ht="20" customHeight="1">
      <c r="A6" s="35" t="str">
        <v>Bosnia and Herzegovina</v>
      </c>
      <c r="B6" s="35" t="str">
        <v>BIH</v>
      </c>
      <c r="C6" s="54">
        <f>IF($B6="","",_xlfn.XLOOKUP($B6,'Pillar-1'!$B$5:$B$216,'Pillar-1'!$M$5:$M$216,"",0))</f>
        <v>28.514445126007296</v>
      </c>
      <c r="D6" s="54">
        <f>IF($B6="","",_xlfn.XLOOKUP($B6,'Pillar-2'!$B$5:$B$216,'Pillar-2'!$S$5:$S$216,"",0))</f>
        <v>38.326415086222688</v>
      </c>
      <c r="E6" s="54">
        <f>IF($B6="","",_xlfn.XLOOKUP($B6,'Pillar-3'!$B$5:$B$217,'Pillar-3'!$M$5:$M$217,"",0))</f>
        <v>45.606999999999999</v>
      </c>
      <c r="F6" s="54">
        <f>IF($B6="","",_xlfn.XLOOKUP($B6,'Pillar-4'!$B$5:$B$217,'Pillar-4'!$R$5:$R$217,"",0))</f>
        <v>0</v>
      </c>
      <c r="G6" s="54">
        <f>IF($B6="","",_xlfn.XLOOKUP($B6,'Pillar-5'!$B$5:$B$216,'Pillar-5'!$O$5:$O$216,"",0))</f>
        <v>66.48490075264786</v>
      </c>
      <c r="H6" s="176">
        <f>IF($B6="","",_xlfn.XLOOKUP($B6,'Pillar-6'!$B$5:$B$216,'Pillar-6'!$O$5:$O$216,"",0))</f>
        <v>59.604250000000008</v>
      </c>
      <c r="I6" s="178">
        <f t="shared" si="1"/>
        <v>36.142382155343178</v>
      </c>
      <c r="J6" s="179">
        <f t="shared" si="2"/>
        <v>35</v>
      </c>
      <c r="K6" s="35"/>
      <c r="L6" s="192">
        <f>IF($B6="","",SUM(_xlfn.XLOOKUP($B6,'Pillar-1'!$B$57:$B$92,'Pillar-1'!$F$57:$F$92,0,0),_xlfn.XLOOKUP($B6,'Pillar-2'!$B$65:$B$100,'Pillar-2'!$K$65:$K$100,0,0),_xlfn.XLOOKUP($B6,'Pillar-3'!$B$54:$B$89,'Pillar-3'!$H$54:$H$89,0,0),_xlfn.XLOOKUP($B6,'Pillar-4'!$B$65:$B$100,'Pillar-4'!$H$65:$H$100,0,0),_xlfn.XLOOKUP($B6,'Pillar-5'!$B$80:$B$115,'Pillar-5'!$G$80:$G$115,0,0),_xlfn.XLOOKUP($B6,'Pillar-6'!$B$74:$B$109,'Pillar-6'!$F$74:$F$109,0,0)))</f>
        <v>0</v>
      </c>
      <c r="M6" s="71" t="str">
        <f t="shared" si="3"/>
        <v>Higher</v>
      </c>
      <c r="N6" s="35"/>
      <c r="O6" s="72" t="e">
        <f>IF(COUNT(C6:H6)=6,C6*#REF!+D6*#REF!+E6*#REF!+F6*#REF!+G6*#REF!+H6*#REF!,"")</f>
        <v>#REF!</v>
      </c>
      <c r="P6" s="119" t="str">
        <f t="shared" si="0"/>
        <v/>
      </c>
    </row>
    <row r="7" spans="1:16" s="32" customFormat="1" ht="20" customHeight="1">
      <c r="A7" s="35" t="str">
        <v>Brazil</v>
      </c>
      <c r="B7" s="35" t="str">
        <v>BRA</v>
      </c>
      <c r="C7" s="54">
        <f>IF($B7="","",_xlfn.XLOOKUP($B7,'Pillar-1'!$B$5:$B$216,'Pillar-1'!$M$5:$M$216,"",0))</f>
        <v>86.575121163166401</v>
      </c>
      <c r="D7" s="54">
        <f>IF($B7="","",_xlfn.XLOOKUP($B7,'Pillar-2'!$B$5:$B$216,'Pillar-2'!$S$5:$S$216,"",0))</f>
        <v>56.001411517573672</v>
      </c>
      <c r="E7" s="54">
        <f>IF($B7="","",_xlfn.XLOOKUP($B7,'Pillar-3'!$B$5:$B$217,'Pillar-3'!$M$5:$M$217,"",0))</f>
        <v>47.772000000000006</v>
      </c>
      <c r="F7" s="54">
        <f>IF($B7="","",_xlfn.XLOOKUP($B7,'Pillar-4'!$B$5:$B$217,'Pillar-4'!$R$5:$R$217,"",0))</f>
        <v>72.481827950732423</v>
      </c>
      <c r="G7" s="54">
        <f>IF($B7="","",_xlfn.XLOOKUP($B7,'Pillar-5'!$B$5:$B$216,'Pillar-5'!$O$5:$O$216,"",0))</f>
        <v>53.849575169659083</v>
      </c>
      <c r="H7" s="176">
        <f>IF($B7="","",_xlfn.XLOOKUP($B7,'Pillar-6'!$B$5:$B$216,'Pillar-6'!$O$5:$O$216,"",0))</f>
        <v>63.955500000000001</v>
      </c>
      <c r="I7" s="178">
        <f t="shared" si="1"/>
        <v>64.650458401743364</v>
      </c>
      <c r="J7" s="179">
        <f t="shared" si="2"/>
        <v>5</v>
      </c>
      <c r="K7" s="35"/>
      <c r="L7" s="192">
        <f>IF($B7="","",SUM(_xlfn.XLOOKUP($B7,'Pillar-1'!$B$57:$B$92,'Pillar-1'!$F$57:$F$92,0,0),_xlfn.XLOOKUP($B7,'Pillar-2'!$B$65:$B$100,'Pillar-2'!$K$65:$K$100,0,0),_xlfn.XLOOKUP($B7,'Pillar-3'!$B$54:$B$89,'Pillar-3'!$H$54:$H$89,0,0),_xlfn.XLOOKUP($B7,'Pillar-4'!$B$65:$B$100,'Pillar-4'!$H$65:$H$100,0,0),_xlfn.XLOOKUP($B7,'Pillar-5'!$B$80:$B$115,'Pillar-5'!$G$80:$G$115,0,0),_xlfn.XLOOKUP($B7,'Pillar-6'!$B$74:$B$109,'Pillar-6'!$F$74:$F$109,0,0)))</f>
        <v>0</v>
      </c>
      <c r="M7" s="71" t="str">
        <f t="shared" si="3"/>
        <v>Higher</v>
      </c>
      <c r="N7" s="35"/>
      <c r="O7" s="72" t="e">
        <f>IF(COUNT(C7:H7)=6,C7*#REF!+D7*#REF!+E7*#REF!+F7*#REF!+G7*#REF!+H7*#REF!,"")</f>
        <v>#REF!</v>
      </c>
      <c r="P7" s="119" t="str">
        <f t="shared" si="0"/>
        <v/>
      </c>
    </row>
    <row r="8" spans="1:16" s="32" customFormat="1" ht="20" customHeight="1">
      <c r="A8" s="35" t="str">
        <v>Bulgaria</v>
      </c>
      <c r="B8" s="35" t="str">
        <v>BGR</v>
      </c>
      <c r="C8" s="54">
        <f>IF($B8="","",_xlfn.XLOOKUP($B8,'Pillar-1'!$B$5:$B$216,'Pillar-1'!$M$5:$M$216,"",0))</f>
        <v>55.203174657784132</v>
      </c>
      <c r="D8" s="54">
        <f>IF($B8="","",_xlfn.XLOOKUP($B8,'Pillar-2'!$B$5:$B$216,'Pillar-2'!$S$5:$S$216,"",0))</f>
        <v>69.049864980741603</v>
      </c>
      <c r="E8" s="54">
        <f>IF($B8="","",_xlfn.XLOOKUP($B8,'Pillar-3'!$B$5:$B$217,'Pillar-3'!$M$5:$M$217,"",0))</f>
        <v>54.430999999999997</v>
      </c>
      <c r="F8" s="54">
        <f>IF($B8="","",_xlfn.XLOOKUP($B8,'Pillar-4'!$B$5:$B$217,'Pillar-4'!$R$5:$R$217,"",0))</f>
        <v>31.902320478210292</v>
      </c>
      <c r="G8" s="54">
        <f>IF($B8="","",_xlfn.XLOOKUP($B8,'Pillar-5'!$B$5:$B$216,'Pillar-5'!$O$5:$O$216,"",0))</f>
        <v>67.029884024544472</v>
      </c>
      <c r="H8" s="176">
        <f>IF($B8="","",_xlfn.XLOOKUP($B8,'Pillar-6'!$B$5:$B$216,'Pillar-6'!$O$5:$O$216,"",0))</f>
        <v>78.527749999999997</v>
      </c>
      <c r="I8" s="178">
        <f t="shared" si="1"/>
        <v>57.302979627028883</v>
      </c>
      <c r="J8" s="179">
        <f t="shared" si="2"/>
        <v>11</v>
      </c>
      <c r="K8" s="35"/>
      <c r="L8" s="192">
        <f>IF($B8="","",SUM(_xlfn.XLOOKUP($B8,'Pillar-1'!$B$57:$B$92,'Pillar-1'!$F$57:$F$92,0,0),_xlfn.XLOOKUP($B8,'Pillar-2'!$B$65:$B$100,'Pillar-2'!$K$65:$K$100,0,0),_xlfn.XLOOKUP($B8,'Pillar-3'!$B$54:$B$89,'Pillar-3'!$H$54:$H$89,0,0),_xlfn.XLOOKUP($B8,'Pillar-4'!$B$65:$B$100,'Pillar-4'!$H$65:$H$100,0,0),_xlfn.XLOOKUP($B8,'Pillar-5'!$B$80:$B$115,'Pillar-5'!$G$80:$G$115,0,0),_xlfn.XLOOKUP($B8,'Pillar-6'!$B$74:$B$109,'Pillar-6'!$F$74:$F$109,0,0)))</f>
        <v>0</v>
      </c>
      <c r="M8" s="71" t="str">
        <f t="shared" si="3"/>
        <v>Higher</v>
      </c>
      <c r="N8" s="35"/>
      <c r="O8" s="72" t="e">
        <f>IF(COUNT(C8:H8)=6,C8*#REF!+D8*#REF!+E8*#REF!+F8*#REF!+G8*#REF!+H8*#REF!,"")</f>
        <v>#REF!</v>
      </c>
      <c r="P8" s="119" t="str">
        <f t="shared" si="0"/>
        <v/>
      </c>
    </row>
    <row r="9" spans="1:16" s="32" customFormat="1" ht="20" customHeight="1">
      <c r="A9" s="35" t="str">
        <v>Cambodia</v>
      </c>
      <c r="B9" s="35" t="str">
        <v>KHM</v>
      </c>
      <c r="C9" s="54">
        <f>IF($B9="","",_xlfn.XLOOKUP($B9,'Pillar-1'!$B$5:$B$216,'Pillar-1'!$M$5:$M$216,"",0))</f>
        <v>32.203217333020483</v>
      </c>
      <c r="D9" s="54">
        <f>IF($B9="","",_xlfn.XLOOKUP($B9,'Pillar-2'!$B$5:$B$216,'Pillar-2'!$S$5:$S$216,"",0))</f>
        <v>17.98822894922889</v>
      </c>
      <c r="E9" s="54">
        <f>IF($B9="","",_xlfn.XLOOKUP($B9,'Pillar-3'!$B$5:$B$217,'Pillar-3'!$M$5:$M$217,"",0))</f>
        <v>41.782000000000004</v>
      </c>
      <c r="F9" s="54">
        <f>IF($B9="","",_xlfn.XLOOKUP($B9,'Pillar-4'!$B$5:$B$217,'Pillar-4'!$R$5:$R$217,"",0))</f>
        <v>78.863970165964091</v>
      </c>
      <c r="G9" s="54">
        <f>IF($B9="","",_xlfn.XLOOKUP($B9,'Pillar-5'!$B$5:$B$216,'Pillar-5'!$O$5:$O$216,"",0))</f>
        <v>84.482080629071959</v>
      </c>
      <c r="H9" s="176">
        <f>IF($B9="","",_xlfn.XLOOKUP($B9,'Pillar-6'!$B$5:$B$216,'Pillar-6'!$O$5:$O$216,"",0))</f>
        <v>42.628500000000003</v>
      </c>
      <c r="I9" s="178">
        <f t="shared" si="1"/>
        <v>49.013545384003486</v>
      </c>
      <c r="J9" s="179">
        <f t="shared" si="2"/>
        <v>20</v>
      </c>
      <c r="K9" s="35"/>
      <c r="L9" s="192">
        <f>IF($B9="","",SUM(_xlfn.XLOOKUP($B9,'Pillar-1'!$B$57:$B$92,'Pillar-1'!$F$57:$F$92,0,0),_xlfn.XLOOKUP($B9,'Pillar-2'!$B$65:$B$100,'Pillar-2'!$K$65:$K$100,0,0),_xlfn.XLOOKUP($B9,'Pillar-3'!$B$54:$B$89,'Pillar-3'!$H$54:$H$89,0,0),_xlfn.XLOOKUP($B9,'Pillar-4'!$B$65:$B$100,'Pillar-4'!$H$65:$H$100,0,0),_xlfn.XLOOKUP($B9,'Pillar-5'!$B$80:$B$115,'Pillar-5'!$G$80:$G$115,0,0),_xlfn.XLOOKUP($B9,'Pillar-6'!$B$74:$B$109,'Pillar-6'!$F$74:$F$109,0,0)))</f>
        <v>0</v>
      </c>
      <c r="M9" s="71" t="str">
        <f t="shared" si="3"/>
        <v>Higher</v>
      </c>
      <c r="N9" s="35"/>
      <c r="O9" s="72" t="e">
        <f>IF(COUNT(C9:H9)=6,C9*#REF!+D9*#REF!+E9*#REF!+F9*#REF!+G9*#REF!+H9*#REF!,"")</f>
        <v>#REF!</v>
      </c>
      <c r="P9" s="119" t="str">
        <f t="shared" si="0"/>
        <v/>
      </c>
    </row>
    <row r="10" spans="1:16" s="32" customFormat="1" ht="20" customHeight="1">
      <c r="A10" s="35" t="str">
        <v>Canada</v>
      </c>
      <c r="B10" s="35" t="str">
        <v>CAN</v>
      </c>
      <c r="C10" s="54">
        <f>IF($B10="","",_xlfn.XLOOKUP($B10,'Pillar-1'!$B$5:$B$216,'Pillar-1'!$M$5:$M$216,"",0))</f>
        <v>66.642502457310357</v>
      </c>
      <c r="D10" s="54">
        <f>IF($B10="","",_xlfn.XLOOKUP($B10,'Pillar-2'!$B$5:$B$216,'Pillar-2'!$S$5:$S$216,"",0))</f>
        <v>61.782230524109885</v>
      </c>
      <c r="E10" s="54">
        <f>IF($B10="","",_xlfn.XLOOKUP($B10,'Pillar-3'!$B$5:$B$217,'Pillar-3'!$M$5:$M$217,"",0))</f>
        <v>80.6845</v>
      </c>
      <c r="F10" s="54">
        <f>IF($B10="","",_xlfn.XLOOKUP($B10,'Pillar-4'!$B$5:$B$217,'Pillar-4'!$R$5:$R$217,"",0))</f>
        <v>45.087058078261769</v>
      </c>
      <c r="G10" s="54">
        <f>IF($B10="","",_xlfn.XLOOKUP($B10,'Pillar-5'!$B$5:$B$216,'Pillar-5'!$O$5:$O$216,"",0))</f>
        <v>79.666175131084259</v>
      </c>
      <c r="H10" s="176">
        <f>IF($B10="","",_xlfn.XLOOKUP($B10,'Pillar-6'!$B$5:$B$216,'Pillar-6'!$O$5:$O$216,"",0))</f>
        <v>78.752250000000004</v>
      </c>
      <c r="I10" s="178">
        <f t="shared" si="1"/>
        <v>66.630184481599045</v>
      </c>
      <c r="J10" s="179">
        <f t="shared" si="2"/>
        <v>3</v>
      </c>
      <c r="K10" s="35"/>
      <c r="L10" s="192">
        <f>IF($B10="","",SUM(_xlfn.XLOOKUP($B10,'Pillar-1'!$B$57:$B$92,'Pillar-1'!$F$57:$F$92,0,0),_xlfn.XLOOKUP($B10,'Pillar-2'!$B$65:$B$100,'Pillar-2'!$K$65:$K$100,0,0),_xlfn.XLOOKUP($B10,'Pillar-3'!$B$54:$B$89,'Pillar-3'!$H$54:$H$89,0,0),_xlfn.XLOOKUP($B10,'Pillar-4'!$B$65:$B$100,'Pillar-4'!$H$65:$H$100,0,0),_xlfn.XLOOKUP($B10,'Pillar-5'!$B$80:$B$115,'Pillar-5'!$G$80:$G$115,0,0),_xlfn.XLOOKUP($B10,'Pillar-6'!$B$74:$B$109,'Pillar-6'!$F$74:$F$109,0,0)))</f>
        <v>1</v>
      </c>
      <c r="M10" s="71" t="str">
        <f t="shared" si="3"/>
        <v>Higher</v>
      </c>
      <c r="N10" s="35"/>
      <c r="O10" s="76" t="e">
        <f>IF(COUNT(C10:H10)=6,C10*#REF!+D10*#REF!+E10*#REF!+F10*#REF!+G10*#REF!+H10*#REF!,"")</f>
        <v>#REF!</v>
      </c>
      <c r="P10" s="120" t="str">
        <f t="shared" si="0"/>
        <v/>
      </c>
    </row>
    <row r="11" spans="1:16" s="32" customFormat="1" ht="20" customHeight="1">
      <c r="A11" s="35" t="str">
        <v>Chile</v>
      </c>
      <c r="B11" s="35" t="str">
        <v>CHL</v>
      </c>
      <c r="C11" s="54">
        <f>IF($B11="","",_xlfn.XLOOKUP($B11,'Pillar-1'!$B$5:$B$216,'Pillar-1'!$M$5:$M$216,"",0))</f>
        <v>84.124011228417714</v>
      </c>
      <c r="D11" s="54">
        <f>IF($B11="","",_xlfn.XLOOKUP($B11,'Pillar-2'!$B$5:$B$216,'Pillar-2'!$S$5:$S$216,"",0))</f>
        <v>96.046666666666653</v>
      </c>
      <c r="E11" s="54">
        <f>IF($B11="","",_xlfn.XLOOKUP($B11,'Pillar-3'!$B$5:$B$217,'Pillar-3'!$M$5:$M$217,"",0))</f>
        <v>68.9345</v>
      </c>
      <c r="F11" s="54">
        <f>IF($B11="","",_xlfn.XLOOKUP($B11,'Pillar-4'!$B$5:$B$217,'Pillar-4'!$R$5:$R$217,"",0))</f>
        <v>66.186104854878621</v>
      </c>
      <c r="G11" s="54">
        <f>IF($B11="","",_xlfn.XLOOKUP($B11,'Pillar-5'!$B$5:$B$216,'Pillar-5'!$O$5:$O$216,"",0))</f>
        <v>64.39942660121396</v>
      </c>
      <c r="H11" s="176">
        <f>IF($B11="","",_xlfn.XLOOKUP($B11,'Pillar-6'!$B$5:$B$216,'Pillar-6'!$O$5:$O$216,"",0))</f>
        <v>71.853749999999991</v>
      </c>
      <c r="I11" s="178">
        <f t="shared" si="1"/>
        <v>76.456820540174689</v>
      </c>
      <c r="J11" s="179">
        <f t="shared" si="2"/>
        <v>1</v>
      </c>
      <c r="K11" s="35"/>
      <c r="L11" s="192">
        <f>IF($B11="","",SUM(_xlfn.XLOOKUP($B11,'Pillar-1'!$B$57:$B$92,'Pillar-1'!$F$57:$F$92,0,0),_xlfn.XLOOKUP($B11,'Pillar-2'!$B$65:$B$100,'Pillar-2'!$K$65:$K$100,0,0),_xlfn.XLOOKUP($B11,'Pillar-3'!$B$54:$B$89,'Pillar-3'!$H$54:$H$89,0,0),_xlfn.XLOOKUP($B11,'Pillar-4'!$B$65:$B$100,'Pillar-4'!$H$65:$H$100,0,0),_xlfn.XLOOKUP($B11,'Pillar-5'!$B$80:$B$115,'Pillar-5'!$G$80:$G$115,0,0),_xlfn.XLOOKUP($B11,'Pillar-6'!$B$74:$B$109,'Pillar-6'!$F$74:$F$109,0,0)))</f>
        <v>0</v>
      </c>
      <c r="M11" s="71" t="str">
        <f t="shared" si="3"/>
        <v>Higher</v>
      </c>
      <c r="N11" s="35"/>
      <c r="O11" s="72" t="e">
        <f>IF(COUNT(C11:H11)=6,C11*#REF!+D11*#REF!+E11*#REF!+F11*#REF!+G11*#REF!+H11*#REF!,"")</f>
        <v>#REF!</v>
      </c>
      <c r="P11" s="119" t="str">
        <f t="shared" si="0"/>
        <v/>
      </c>
    </row>
    <row r="12" spans="1:16" s="32" customFormat="1" ht="20" customHeight="1">
      <c r="A12" s="35" t="str">
        <v>China</v>
      </c>
      <c r="B12" s="35" t="str">
        <v>CHN</v>
      </c>
      <c r="C12" s="54">
        <f>IF($B12="","",_xlfn.XLOOKUP($B12,'Pillar-1'!$B$5:$B$216,'Pillar-1'!$M$5:$M$216,"",0))</f>
        <v>38.100942036629121</v>
      </c>
      <c r="D12" s="54">
        <f>IF($B12="","",_xlfn.XLOOKUP($B12,'Pillar-2'!$B$5:$B$216,'Pillar-2'!$S$5:$S$216,"",0))</f>
        <v>43.783305182996749</v>
      </c>
      <c r="E12" s="54">
        <f>IF($B12="","",_xlfn.XLOOKUP($B12,'Pillar-3'!$B$5:$B$217,'Pillar-3'!$M$5:$M$217,"",0))</f>
        <v>56.281000000000006</v>
      </c>
      <c r="F12" s="54">
        <f>IF($B12="","",_xlfn.XLOOKUP($B12,'Pillar-4'!$B$5:$B$217,'Pillar-4'!$R$5:$R$217,"",0))</f>
        <v>63.496375061444738</v>
      </c>
      <c r="G12" s="54">
        <f>IF($B12="","",_xlfn.XLOOKUP($B12,'Pillar-5'!$B$5:$B$216,'Pillar-5'!$O$5:$O$216,"",0))</f>
        <v>80.979036673363026</v>
      </c>
      <c r="H12" s="176">
        <f>IF($B12="","",_xlfn.XLOOKUP($B12,'Pillar-6'!$B$5:$B$216,'Pillar-6'!$O$5:$O$216,"",0))</f>
        <v>64.15424999999999</v>
      </c>
      <c r="I12" s="178">
        <f t="shared" si="1"/>
        <v>56.080554957218574</v>
      </c>
      <c r="J12" s="179">
        <f t="shared" si="2"/>
        <v>13</v>
      </c>
      <c r="K12" s="35"/>
      <c r="L12" s="192">
        <f>IF($B12="","",SUM(_xlfn.XLOOKUP($B12,'Pillar-1'!$B$57:$B$92,'Pillar-1'!$F$57:$F$92,0,0),_xlfn.XLOOKUP($B12,'Pillar-2'!$B$65:$B$100,'Pillar-2'!$K$65:$K$100,0,0),_xlfn.XLOOKUP($B12,'Pillar-3'!$B$54:$B$89,'Pillar-3'!$H$54:$H$89,0,0),_xlfn.XLOOKUP($B12,'Pillar-4'!$B$65:$B$100,'Pillar-4'!$H$65:$H$100,0,0),_xlfn.XLOOKUP($B12,'Pillar-5'!$B$80:$B$115,'Pillar-5'!$G$80:$G$115,0,0),_xlfn.XLOOKUP($B12,'Pillar-6'!$B$74:$B$109,'Pillar-6'!$F$74:$F$109,0,0)))</f>
        <v>0</v>
      </c>
      <c r="M12" s="71" t="str">
        <f t="shared" si="3"/>
        <v>Higher</v>
      </c>
      <c r="N12" s="35"/>
      <c r="O12" s="72" t="e">
        <f>IF(COUNT(C12:H12)=6,C12*#REF!+D12*#REF!+E12*#REF!+F12*#REF!+G12*#REF!+H12*#REF!,"")</f>
        <v>#REF!</v>
      </c>
      <c r="P12" s="119" t="str">
        <f t="shared" si="0"/>
        <v/>
      </c>
    </row>
    <row r="13" spans="1:16" s="32" customFormat="1" ht="20" customHeight="1">
      <c r="A13" s="35" t="str">
        <v>Czech Republic</v>
      </c>
      <c r="B13" s="35" t="str">
        <v>CZE</v>
      </c>
      <c r="C13" s="54">
        <f>IF($B13="","",_xlfn.XLOOKUP($B13,'Pillar-1'!$B$5:$B$216,'Pillar-1'!$M$5:$M$216,"",0))</f>
        <v>32.268071389276322</v>
      </c>
      <c r="D13" s="54">
        <f>IF($B13="","",_xlfn.XLOOKUP($B13,'Pillar-2'!$B$5:$B$216,'Pillar-2'!$S$5:$S$216,"",0))</f>
        <v>74.694259594311589</v>
      </c>
      <c r="E13" s="54">
        <f>IF($B13="","",_xlfn.XLOOKUP($B13,'Pillar-3'!$B$5:$B$217,'Pillar-3'!$M$5:$M$217,"",0))</f>
        <v>74.201999999999998</v>
      </c>
      <c r="F13" s="54">
        <f>IF($B13="","",_xlfn.XLOOKUP($B13,'Pillar-4'!$B$5:$B$217,'Pillar-4'!$R$5:$R$217,"",0))</f>
        <v>4</v>
      </c>
      <c r="G13" s="54">
        <f>IF($B13="","",_xlfn.XLOOKUP($B13,'Pillar-5'!$B$5:$B$216,'Pillar-5'!$O$5:$O$216,"",0))</f>
        <v>62.885372175895135</v>
      </c>
      <c r="H13" s="176">
        <f>IF($B13="","",_xlfn.XLOOKUP($B13,'Pillar-6'!$B$5:$B$216,'Pillar-6'!$O$5:$O$216,"",0))</f>
        <v>85.489499999999992</v>
      </c>
      <c r="I13" s="178">
        <f t="shared" si="1"/>
        <v>51.304522023101846</v>
      </c>
      <c r="J13" s="179">
        <f t="shared" si="2"/>
        <v>19</v>
      </c>
      <c r="K13" s="35"/>
      <c r="L13" s="192">
        <f>IF($B13="","",SUM(_xlfn.XLOOKUP($B13,'Pillar-1'!$B$57:$B$92,'Pillar-1'!$F$57:$F$92,0,0),_xlfn.XLOOKUP($B13,'Pillar-2'!$B$65:$B$100,'Pillar-2'!$K$65:$K$100,0,0),_xlfn.XLOOKUP($B13,'Pillar-3'!$B$54:$B$89,'Pillar-3'!$H$54:$H$89,0,0),_xlfn.XLOOKUP($B13,'Pillar-4'!$B$65:$B$100,'Pillar-4'!$H$65:$H$100,0,0),_xlfn.XLOOKUP($B13,'Pillar-5'!$B$80:$B$115,'Pillar-5'!$G$80:$G$115,0,0),_xlfn.XLOOKUP($B13,'Pillar-6'!$B$74:$B$109,'Pillar-6'!$F$74:$F$109,0,0)))</f>
        <v>0</v>
      </c>
      <c r="M13" s="71" t="str">
        <f t="shared" si="3"/>
        <v>Higher</v>
      </c>
      <c r="N13" s="35"/>
      <c r="O13" s="76" t="e">
        <f>IF(COUNT(C13:H13)=6,C13*#REF!+D13*#REF!+E13*#REF!+F13*#REF!+G13*#REF!+H13*#REF!,"")</f>
        <v>#REF!</v>
      </c>
      <c r="P13" s="120" t="str">
        <f t="shared" si="0"/>
        <v/>
      </c>
    </row>
    <row r="14" spans="1:16" s="32" customFormat="1" ht="20" customHeight="1">
      <c r="A14" s="35" t="str">
        <v>Dominican Republic</v>
      </c>
      <c r="B14" s="35" t="str">
        <v>DOM</v>
      </c>
      <c r="C14" s="54">
        <f>IF($B14="","",_xlfn.XLOOKUP($B14,'Pillar-1'!$B$5:$B$216,'Pillar-1'!$M$5:$M$216,"",0))</f>
        <v>26.862615534405023</v>
      </c>
      <c r="D14" s="54">
        <f>IF($B14="","",_xlfn.XLOOKUP($B14,'Pillar-2'!$B$5:$B$216,'Pillar-2'!$S$5:$S$216,"",0))</f>
        <v>39.015957437877105</v>
      </c>
      <c r="E14" s="54">
        <f>IF($B14="","",_xlfn.XLOOKUP($B14,'Pillar-3'!$B$5:$B$217,'Pillar-3'!$M$5:$M$217,"",0))</f>
        <v>54.588000000000001</v>
      </c>
      <c r="F14" s="54">
        <f>IF($B14="","",_xlfn.XLOOKUP($B14,'Pillar-4'!$B$5:$B$217,'Pillar-4'!$R$5:$R$217,"",0))</f>
        <v>30.75</v>
      </c>
      <c r="G14" s="54">
        <f>IF($B14="","",_xlfn.XLOOKUP($B14,'Pillar-5'!$B$5:$B$216,'Pillar-5'!$O$5:$O$216,"",0))</f>
        <v>59.328467149928755</v>
      </c>
      <c r="H14" s="176">
        <f>IF($B14="","",_xlfn.XLOOKUP($B14,'Pillar-6'!$B$5:$B$216,'Pillar-6'!$O$5:$O$216,"",0))</f>
        <v>73.06450000000001</v>
      </c>
      <c r="I14" s="178">
        <f t="shared" si="1"/>
        <v>43.719634666945737</v>
      </c>
      <c r="J14" s="179">
        <f t="shared" si="2"/>
        <v>27</v>
      </c>
      <c r="K14" s="35"/>
      <c r="L14" s="192">
        <f>IF($B14="","",SUM(_xlfn.XLOOKUP($B14,'Pillar-1'!$B$57:$B$92,'Pillar-1'!$F$57:$F$92,0,0),_xlfn.XLOOKUP($B14,'Pillar-2'!$B$65:$B$100,'Pillar-2'!$K$65:$K$100,0,0),_xlfn.XLOOKUP($B14,'Pillar-3'!$B$54:$B$89,'Pillar-3'!$H$54:$H$89,0,0),_xlfn.XLOOKUP($B14,'Pillar-4'!$B$65:$B$100,'Pillar-4'!$H$65:$H$100,0,0),_xlfn.XLOOKUP($B14,'Pillar-5'!$B$80:$B$115,'Pillar-5'!$G$80:$G$115,0,0),_xlfn.XLOOKUP($B14,'Pillar-6'!$B$74:$B$109,'Pillar-6'!$F$74:$F$109,0,0)))</f>
        <v>0</v>
      </c>
      <c r="M14" s="71" t="str">
        <f t="shared" si="3"/>
        <v>Higher</v>
      </c>
      <c r="N14" s="35"/>
      <c r="O14" s="72" t="e">
        <f>IF(COUNT(C14:H14)=6,C14*#REF!+D14*#REF!+E14*#REF!+F14*#REF!+G14*#REF!+H14*#REF!,"")</f>
        <v>#REF!</v>
      </c>
      <c r="P14" s="119" t="str">
        <f t="shared" si="0"/>
        <v/>
      </c>
    </row>
    <row r="15" spans="1:16" s="32" customFormat="1" ht="20" customHeight="1">
      <c r="A15" s="35" t="str">
        <v>Germany</v>
      </c>
      <c r="B15" s="35" t="str">
        <v>DEU</v>
      </c>
      <c r="C15" s="54">
        <f>IF($B15="","",_xlfn.XLOOKUP($B15,'Pillar-1'!$B$5:$B$216,'Pillar-1'!$M$5:$M$216,"",0))</f>
        <v>80.528426624680336</v>
      </c>
      <c r="D15" s="54">
        <f>IF($B15="","",_xlfn.XLOOKUP($B15,'Pillar-2'!$B$5:$B$216,'Pillar-2'!$S$5:$S$216,"",0))</f>
        <v>87.14420929084983</v>
      </c>
      <c r="E15" s="54">
        <f>IF($B15="","",_xlfn.XLOOKUP($B15,'Pillar-3'!$B$5:$B$217,'Pillar-3'!$M$5:$M$217,"",0))</f>
        <v>80.516999999999996</v>
      </c>
      <c r="F15" s="54">
        <f>IF($B15="","",_xlfn.XLOOKUP($B15,'Pillar-4'!$B$5:$B$217,'Pillar-4'!$R$5:$R$217,"",0))</f>
        <v>49.027600541119043</v>
      </c>
      <c r="G15" s="54">
        <f>IF($B15="","",_xlfn.XLOOKUP($B15,'Pillar-5'!$B$5:$B$216,'Pillar-5'!$O$5:$O$216,"",0))</f>
        <v>66.520654577618785</v>
      </c>
      <c r="H15" s="176">
        <f>IF($B15="","",_xlfn.XLOOKUP($B15,'Pillar-6'!$B$5:$B$216,'Pillar-6'!$O$5:$O$216,"",0))</f>
        <v>99.354250000000008</v>
      </c>
      <c r="I15" s="178">
        <f t="shared" si="1"/>
        <v>75.331120477972661</v>
      </c>
      <c r="J15" s="179">
        <f t="shared" si="2"/>
        <v>2</v>
      </c>
      <c r="K15" s="35"/>
      <c r="L15" s="192">
        <f>IF($B15="","",SUM(_xlfn.XLOOKUP($B15,'Pillar-1'!$B$57:$B$92,'Pillar-1'!$F$57:$F$92,0,0),_xlfn.XLOOKUP($B15,'Pillar-2'!$B$65:$B$100,'Pillar-2'!$K$65:$K$100,0,0),_xlfn.XLOOKUP($B15,'Pillar-3'!$B$54:$B$89,'Pillar-3'!$H$54:$H$89,0,0),_xlfn.XLOOKUP($B15,'Pillar-4'!$B$65:$B$100,'Pillar-4'!$H$65:$H$100,0,0),_xlfn.XLOOKUP($B15,'Pillar-5'!$B$80:$B$115,'Pillar-5'!$G$80:$G$115,0,0),_xlfn.XLOOKUP($B15,'Pillar-6'!$B$74:$B$109,'Pillar-6'!$F$74:$F$109,0,0)))</f>
        <v>1</v>
      </c>
      <c r="M15" s="71" t="str">
        <f t="shared" si="3"/>
        <v>Higher</v>
      </c>
      <c r="N15" s="35"/>
      <c r="O15" s="72" t="e">
        <f>IF(COUNT(C15:H15)=6,C15*#REF!+D15*#REF!+E15*#REF!+F15*#REF!+G15*#REF!+H15*#REF!,"")</f>
        <v>#REF!</v>
      </c>
      <c r="P15" s="119" t="str">
        <f t="shared" si="0"/>
        <v/>
      </c>
    </row>
    <row r="16" spans="1:16" s="32" customFormat="1" ht="20" customHeight="1">
      <c r="A16" s="35" t="str">
        <v>Hong Kong</v>
      </c>
      <c r="B16" s="35" t="str">
        <v>HKG</v>
      </c>
      <c r="C16" s="54">
        <f>IF($B16="","",_xlfn.XLOOKUP($B16,'Pillar-1'!$B$5:$B$216,'Pillar-1'!$M$5:$M$216,"",0))</f>
        <v>4.5636845257910403</v>
      </c>
      <c r="D16" s="75">
        <f>IF($B16="","",_xlfn.XLOOKUP($B16,'Pillar-2'!$B$5:$B$216,'Pillar-2'!$S$5:$S$216,"",0))</f>
        <v>67.96941158065556</v>
      </c>
      <c r="E16" s="54">
        <f>IF($B16="","",_xlfn.XLOOKUP($B16,'Pillar-3'!$B$5:$B$217,'Pillar-3'!$M$5:$M$217,"",0))</f>
        <v>79.537000000000006</v>
      </c>
      <c r="F16" s="75">
        <f>IF($B16="","",_xlfn.XLOOKUP($B16,'Pillar-4'!$B$5:$B$217,'Pillar-4'!$R$5:$R$217,"",0))</f>
        <v>1.8606327667269245</v>
      </c>
      <c r="G16" s="54">
        <f>IF($B16="","",_xlfn.XLOOKUP($B16,'Pillar-5'!$B$5:$B$216,'Pillar-5'!$O$5:$O$216,"",0))</f>
        <v>97.983185194424635</v>
      </c>
      <c r="H16" s="177">
        <f>IF($B16="","",_xlfn.XLOOKUP($B16,'Pillar-6'!$B$5:$B$216,'Pillar-6'!$O$5:$O$216,"",0))</f>
        <v>67.78125</v>
      </c>
      <c r="I16" s="86">
        <f t="shared" si="1"/>
        <v>48.284898553798406</v>
      </c>
      <c r="J16" s="180">
        <f t="shared" si="2"/>
        <v>21</v>
      </c>
      <c r="K16" s="35"/>
      <c r="L16" s="180">
        <f>IF($B16="","",SUM(_xlfn.XLOOKUP($B16,'Pillar-1'!$B$57:$B$92,'Pillar-1'!$F$57:$F$92,0,0),_xlfn.XLOOKUP($B16,'Pillar-2'!$B$65:$B$100,'Pillar-2'!$K$65:$K$100,0,0),_xlfn.XLOOKUP($B16,'Pillar-3'!$B$54:$B$89,'Pillar-3'!$H$54:$H$89,0,0),_xlfn.XLOOKUP($B16,'Pillar-4'!$B$65:$B$100,'Pillar-4'!$H$65:$H$100,0,0),_xlfn.XLOOKUP($B16,'Pillar-5'!$B$80:$B$115,'Pillar-5'!$G$80:$G$115,0,0),_xlfn.XLOOKUP($B16,'Pillar-6'!$B$74:$B$109,'Pillar-6'!$F$74:$F$109,0,0)))</f>
        <v>4</v>
      </c>
      <c r="M16" s="86" t="str">
        <f t="shared" si="3"/>
        <v>Lower</v>
      </c>
      <c r="N16" s="35"/>
      <c r="O16" s="72" t="e">
        <f>IF(COUNT(C16:H16)=6,C16*#REF!+D16*#REF!+E16*#REF!+F16*#REF!+G16*#REF!+H16*#REF!,"")</f>
        <v>#REF!</v>
      </c>
      <c r="P16" s="119" t="str">
        <f t="shared" si="0"/>
        <v/>
      </c>
    </row>
    <row r="17" spans="1:16" s="32" customFormat="1" ht="20" customHeight="1">
      <c r="A17" s="35" t="str">
        <v>India</v>
      </c>
      <c r="B17" s="35" t="str">
        <v>IND</v>
      </c>
      <c r="C17" s="54">
        <f>IF($B17="","",_xlfn.XLOOKUP($B17,'Pillar-1'!$B$5:$B$216,'Pillar-1'!$M$5:$M$216,"",0))</f>
        <v>17.370261790657619</v>
      </c>
      <c r="D17" s="54">
        <f>IF($B17="","",_xlfn.XLOOKUP($B17,'Pillar-2'!$B$5:$B$216,'Pillar-2'!$S$5:$S$216,"",0))</f>
        <v>37.758330209006573</v>
      </c>
      <c r="E17" s="54">
        <f>IF($B17="","",_xlfn.XLOOKUP($B17,'Pillar-3'!$B$5:$B$217,'Pillar-3'!$M$5:$M$217,"",0))</f>
        <v>53.021000000000001</v>
      </c>
      <c r="F17" s="54">
        <f>IF($B17="","",_xlfn.XLOOKUP($B17,'Pillar-4'!$B$5:$B$217,'Pillar-4'!$R$5:$R$217,"",0))</f>
        <v>72.579459151255648</v>
      </c>
      <c r="G17" s="54">
        <f>IF($B17="","",_xlfn.XLOOKUP($B17,'Pillar-5'!$B$5:$B$216,'Pillar-5'!$O$5:$O$216,"",0))</f>
        <v>58.654571141812461</v>
      </c>
      <c r="H17" s="176">
        <f>IF($B17="","",_xlfn.XLOOKUP($B17,'Pillar-6'!$B$5:$B$216,'Pillar-6'!$O$5:$O$216,"",0))</f>
        <v>56.596499999999999</v>
      </c>
      <c r="I17" s="178">
        <f t="shared" si="1"/>
        <v>47.952595901455837</v>
      </c>
      <c r="J17" s="179">
        <f t="shared" si="2"/>
        <v>23</v>
      </c>
      <c r="K17" s="35"/>
      <c r="L17" s="192">
        <f>IF($B17="","",SUM(_xlfn.XLOOKUP($B17,'Pillar-1'!$B$57:$B$92,'Pillar-1'!$F$57:$F$92,0,0),_xlfn.XLOOKUP($B17,'Pillar-2'!$B$65:$B$100,'Pillar-2'!$K$65:$K$100,0,0),_xlfn.XLOOKUP($B17,'Pillar-3'!$B$54:$B$89,'Pillar-3'!$H$54:$H$89,0,0),_xlfn.XLOOKUP($B17,'Pillar-4'!$B$65:$B$100,'Pillar-4'!$H$65:$H$100,0,0),_xlfn.XLOOKUP($B17,'Pillar-5'!$B$80:$B$115,'Pillar-5'!$G$80:$G$115,0,0),_xlfn.XLOOKUP($B17,'Pillar-6'!$B$74:$B$109,'Pillar-6'!$F$74:$F$109,0,0)))</f>
        <v>0</v>
      </c>
      <c r="M17" s="71" t="str">
        <f t="shared" si="3"/>
        <v>Higher</v>
      </c>
      <c r="N17" s="35"/>
      <c r="O17" s="72" t="e">
        <f>IF(COUNT(C17:H17)=6,C17*#REF!+D17*#REF!+E17*#REF!+F17*#REF!+G17*#REF!+H17*#REF!,"")</f>
        <v>#REF!</v>
      </c>
      <c r="P17" s="119" t="str">
        <f t="shared" si="0"/>
        <v/>
      </c>
    </row>
    <row r="18" spans="1:16" s="32" customFormat="1" ht="20" customHeight="1">
      <c r="A18" s="35" t="str">
        <v>Indonesia</v>
      </c>
      <c r="B18" s="35" t="str">
        <v>IDN</v>
      </c>
      <c r="C18" s="54">
        <f>IF($B18="","",_xlfn.XLOOKUP($B18,'Pillar-1'!$B$5:$B$216,'Pillar-1'!$M$5:$M$216,"",0))</f>
        <v>11.074019663691745</v>
      </c>
      <c r="D18" s="54">
        <f>IF($B18="","",_xlfn.XLOOKUP($B18,'Pillar-2'!$B$5:$B$216,'Pillar-2'!$S$5:$S$216,"",0))</f>
        <v>42.92996178377242</v>
      </c>
      <c r="E18" s="54">
        <f>IF($B18="","",_xlfn.XLOOKUP($B18,'Pillar-3'!$B$5:$B$217,'Pillar-3'!$M$5:$M$217,"",0))</f>
        <v>51.514499999999998</v>
      </c>
      <c r="F18" s="54">
        <f>IF($B18="","",_xlfn.XLOOKUP($B18,'Pillar-4'!$B$5:$B$217,'Pillar-4'!$R$5:$R$217,"",0))</f>
        <v>71.77659182906396</v>
      </c>
      <c r="G18" s="54">
        <f>IF($B18="","",_xlfn.XLOOKUP($B18,'Pillar-5'!$B$5:$B$216,'Pillar-5'!$O$5:$O$216,"",0))</f>
        <v>64.924638283281894</v>
      </c>
      <c r="H18" s="176">
        <f>IF($B18="","",_xlfn.XLOOKUP($B18,'Pillar-6'!$B$5:$B$216,'Pillar-6'!$O$5:$O$216,"",0))</f>
        <v>54.348749999999995</v>
      </c>
      <c r="I18" s="178">
        <f t="shared" si="1"/>
        <v>48.056860397797905</v>
      </c>
      <c r="J18" s="179">
        <f t="shared" si="2"/>
        <v>22</v>
      </c>
      <c r="K18" s="35"/>
      <c r="L18" s="192">
        <f>IF($B18="","",SUM(_xlfn.XLOOKUP($B18,'Pillar-1'!$B$57:$B$92,'Pillar-1'!$F$57:$F$92,0,0),_xlfn.XLOOKUP($B18,'Pillar-2'!$B$65:$B$100,'Pillar-2'!$K$65:$K$100,0,0),_xlfn.XLOOKUP($B18,'Pillar-3'!$B$54:$B$89,'Pillar-3'!$H$54:$H$89,0,0),_xlfn.XLOOKUP($B18,'Pillar-4'!$B$65:$B$100,'Pillar-4'!$H$65:$H$100,0,0),_xlfn.XLOOKUP($B18,'Pillar-5'!$B$80:$B$115,'Pillar-5'!$G$80:$G$115,0,0),_xlfn.XLOOKUP($B18,'Pillar-6'!$B$74:$B$109,'Pillar-6'!$F$74:$F$109,0,0)))</f>
        <v>0</v>
      </c>
      <c r="M18" s="71" t="str">
        <f t="shared" si="3"/>
        <v>Higher</v>
      </c>
      <c r="N18" s="35"/>
      <c r="O18" s="72" t="e">
        <f>IF(COUNT(C18:H18)=6,C18*#REF!+D18*#REF!+E18*#REF!+F18*#REF!+G18*#REF!+H18*#REF!,"")</f>
        <v>#REF!</v>
      </c>
      <c r="P18" s="119" t="str">
        <f t="shared" si="0"/>
        <v/>
      </c>
    </row>
    <row r="19" spans="1:16" s="32" customFormat="1" ht="20" customHeight="1">
      <c r="A19" s="35" t="str">
        <v>Japan</v>
      </c>
      <c r="B19" s="35" t="str">
        <v>JPN</v>
      </c>
      <c r="C19" s="54">
        <f>IF($B19="","",_xlfn.XLOOKUP($B19,'Pillar-1'!$B$5:$B$216,'Pillar-1'!$M$5:$M$216,"",0))</f>
        <v>33.370858377149204</v>
      </c>
      <c r="D19" s="54">
        <f>IF($B19="","",_xlfn.XLOOKUP($B19,'Pillar-2'!$B$5:$B$216,'Pillar-2'!$S$5:$S$216,"",0))</f>
        <v>56.252322904750876</v>
      </c>
      <c r="E19" s="54">
        <f>IF($B19="","",_xlfn.XLOOKUP($B19,'Pillar-3'!$B$5:$B$217,'Pillar-3'!$M$5:$M$217,"",0))</f>
        <v>82.129500000000007</v>
      </c>
      <c r="F19" s="54">
        <f>IF($B19="","",_xlfn.XLOOKUP($B19,'Pillar-4'!$B$5:$B$217,'Pillar-4'!$R$5:$R$217,"",0))</f>
        <v>41.320255495331253</v>
      </c>
      <c r="G19" s="54">
        <f>IF($B19="","",_xlfn.XLOOKUP($B19,'Pillar-5'!$B$5:$B$216,'Pillar-5'!$O$5:$O$216,"",0))</f>
        <v>66.587888300393601</v>
      </c>
      <c r="H19" s="176">
        <f>IF($B19="","",_xlfn.XLOOKUP($B19,'Pillar-6'!$B$5:$B$216,'Pillar-6'!$O$5:$O$216,"",0))</f>
        <v>90.239249999999998</v>
      </c>
      <c r="I19" s="178">
        <f t="shared" si="1"/>
        <v>57.520220600505311</v>
      </c>
      <c r="J19" s="179">
        <f t="shared" si="2"/>
        <v>10</v>
      </c>
      <c r="K19" s="35"/>
      <c r="L19" s="192">
        <f>IF($B19="","",SUM(_xlfn.XLOOKUP($B19,'Pillar-1'!$B$57:$B$92,'Pillar-1'!$F$57:$F$92,0,0),_xlfn.XLOOKUP($B19,'Pillar-2'!$B$65:$B$100,'Pillar-2'!$K$65:$K$100,0,0),_xlfn.XLOOKUP($B19,'Pillar-3'!$B$54:$B$89,'Pillar-3'!$H$54:$H$89,0,0),_xlfn.XLOOKUP($B19,'Pillar-4'!$B$65:$B$100,'Pillar-4'!$H$65:$H$100,0,0),_xlfn.XLOOKUP($B19,'Pillar-5'!$B$80:$B$115,'Pillar-5'!$G$80:$G$115,0,0),_xlfn.XLOOKUP($B19,'Pillar-6'!$B$74:$B$109,'Pillar-6'!$F$74:$F$109,0,0)))</f>
        <v>0</v>
      </c>
      <c r="M19" s="71" t="str">
        <f t="shared" si="3"/>
        <v>Higher</v>
      </c>
      <c r="N19" s="35"/>
      <c r="O19" s="72" t="e">
        <f>IF(COUNT(C19:H19)=6,C19*#REF!+D19*#REF!+E19*#REF!+F19*#REF!+G19*#REF!+H19*#REF!,"")</f>
        <v>#REF!</v>
      </c>
      <c r="P19" s="119" t="str">
        <f t="shared" si="0"/>
        <v/>
      </c>
    </row>
    <row r="20" spans="1:16" s="32" customFormat="1" ht="20" customHeight="1">
      <c r="A20" s="35" t="str">
        <v>Kazakhstan</v>
      </c>
      <c r="B20" s="35" t="str">
        <v>KAZ</v>
      </c>
      <c r="C20" s="54">
        <f>IF($B20="","",_xlfn.XLOOKUP($B20,'Pillar-1'!$B$5:$B$216,'Pillar-1'!$M$5:$M$216,"",0))</f>
        <v>9.5900827070048127</v>
      </c>
      <c r="D20" s="54">
        <f>IF($B20="","",_xlfn.XLOOKUP($B20,'Pillar-2'!$B$5:$B$216,'Pillar-2'!$S$5:$S$216,"",0))</f>
        <v>45.514013916311839</v>
      </c>
      <c r="E20" s="54">
        <f>IF($B20="","",_xlfn.XLOOKUP($B20,'Pillar-3'!$B$5:$B$217,'Pillar-3'!$M$5:$M$217,"",0))</f>
        <v>52.933499999999995</v>
      </c>
      <c r="F20" s="54">
        <f>IF($B20="","",_xlfn.XLOOKUP($B20,'Pillar-4'!$B$5:$B$217,'Pillar-4'!$R$5:$R$217,"",0))</f>
        <v>45.448385287153513</v>
      </c>
      <c r="G20" s="54">
        <f>IF($B20="","",_xlfn.XLOOKUP($B20,'Pillar-5'!$B$5:$B$216,'Pillar-5'!$O$5:$O$216,"",0))</f>
        <v>57.070670356282619</v>
      </c>
      <c r="H20" s="176">
        <f>IF($B20="","",_xlfn.XLOOKUP($B20,'Pillar-6'!$B$5:$B$216,'Pillar-6'!$O$5:$O$216,"",0))</f>
        <v>67.765500000000003</v>
      </c>
      <c r="I20" s="178">
        <f t="shared" si="1"/>
        <v>43.387671935536424</v>
      </c>
      <c r="J20" s="179">
        <f t="shared" si="2"/>
        <v>28</v>
      </c>
      <c r="K20" s="35"/>
      <c r="L20" s="192">
        <f>IF($B20="","",SUM(_xlfn.XLOOKUP($B20,'Pillar-1'!$B$57:$B$92,'Pillar-1'!$F$57:$F$92,0,0),_xlfn.XLOOKUP($B20,'Pillar-2'!$B$65:$B$100,'Pillar-2'!$K$65:$K$100,0,0),_xlfn.XLOOKUP($B20,'Pillar-3'!$B$54:$B$89,'Pillar-3'!$H$54:$H$89,0,0),_xlfn.XLOOKUP($B20,'Pillar-4'!$B$65:$B$100,'Pillar-4'!$H$65:$H$100,0,0),_xlfn.XLOOKUP($B20,'Pillar-5'!$B$80:$B$115,'Pillar-5'!$G$80:$G$115,0,0),_xlfn.XLOOKUP($B20,'Pillar-6'!$B$74:$B$109,'Pillar-6'!$F$74:$F$109,0,0)))</f>
        <v>0</v>
      </c>
      <c r="M20" s="71" t="str">
        <f t="shared" si="3"/>
        <v>Higher</v>
      </c>
      <c r="N20" s="35"/>
      <c r="O20" s="72" t="e">
        <f>IF(COUNT(C20:H20)=6,C20*#REF!+D20*#REF!+E20*#REF!+F20*#REF!+G20*#REF!+H20*#REF!,"")</f>
        <v>#REF!</v>
      </c>
      <c r="P20" s="119" t="str">
        <f t="shared" si="0"/>
        <v/>
      </c>
    </row>
    <row r="21" spans="1:16" s="32" customFormat="1" ht="20" customHeight="1">
      <c r="A21" s="35" t="str">
        <v>Laos</v>
      </c>
      <c r="B21" s="35" t="str">
        <v>LAO</v>
      </c>
      <c r="C21" s="54">
        <f>IF($B21="","",_xlfn.XLOOKUP($B21,'Pillar-1'!$B$5:$B$216,'Pillar-1'!$M$5:$M$216,"",0))</f>
        <v>64.90733233636108</v>
      </c>
      <c r="D21" s="54">
        <f>IF($B21="","",_xlfn.XLOOKUP($B21,'Pillar-2'!$B$5:$B$216,'Pillar-2'!$S$5:$S$216,"",0))</f>
        <v>28.291601417995857</v>
      </c>
      <c r="E21" s="54">
        <f>IF($B21="","",_xlfn.XLOOKUP($B21,'Pillar-3'!$B$5:$B$217,'Pillar-3'!$M$5:$M$217,"",0))</f>
        <v>43.198999999999998</v>
      </c>
      <c r="F21" s="54">
        <f>IF($B21="","",_xlfn.XLOOKUP($B21,'Pillar-4'!$B$5:$B$217,'Pillar-4'!$R$5:$R$217,"",0))</f>
        <v>63.171403916188581</v>
      </c>
      <c r="G21" s="54">
        <f>IF($B21="","",_xlfn.XLOOKUP($B21,'Pillar-5'!$B$5:$B$216,'Pillar-5'!$O$5:$O$216,"",0))</f>
        <v>26.072598442071996</v>
      </c>
      <c r="H21" s="176">
        <f>IF($B21="","",_xlfn.XLOOKUP($B21,'Pillar-6'!$B$5:$B$216,'Pillar-6'!$O$5:$O$216,"",0))</f>
        <v>41.2515</v>
      </c>
      <c r="I21" s="178">
        <f t="shared" si="1"/>
        <v>45.789957300419907</v>
      </c>
      <c r="J21" s="179">
        <f t="shared" si="2"/>
        <v>26</v>
      </c>
      <c r="K21" s="35"/>
      <c r="L21" s="192">
        <f>IF($B21="","",SUM(_xlfn.XLOOKUP($B21,'Pillar-1'!$B$57:$B$92,'Pillar-1'!$F$57:$F$92,0,0),_xlfn.XLOOKUP($B21,'Pillar-2'!$B$65:$B$100,'Pillar-2'!$K$65:$K$100,0,0),_xlfn.XLOOKUP($B21,'Pillar-3'!$B$54:$B$89,'Pillar-3'!$H$54:$H$89,0,0),_xlfn.XLOOKUP($B21,'Pillar-4'!$B$65:$B$100,'Pillar-4'!$H$65:$H$100,0,0),_xlfn.XLOOKUP($B21,'Pillar-5'!$B$80:$B$115,'Pillar-5'!$G$80:$G$115,0,0),_xlfn.XLOOKUP($B21,'Pillar-6'!$B$74:$B$109,'Pillar-6'!$F$74:$F$109,0,0)))</f>
        <v>1</v>
      </c>
      <c r="M21" s="71" t="str">
        <f t="shared" si="3"/>
        <v>Higher</v>
      </c>
      <c r="N21" s="35"/>
      <c r="O21" s="72" t="e">
        <f>IF(COUNT(C21:H21)=6,C21*#REF!+D21*#REF!+E21*#REF!+F21*#REF!+G21*#REF!+H21*#REF!,"")</f>
        <v>#REF!</v>
      </c>
      <c r="P21" s="119" t="str">
        <f t="shared" si="0"/>
        <v/>
      </c>
    </row>
    <row r="22" spans="1:16" s="32" customFormat="1" ht="20" customHeight="1">
      <c r="A22" s="35" t="str">
        <v>Malaysia</v>
      </c>
      <c r="B22" s="35" t="str">
        <v>MYS</v>
      </c>
      <c r="C22" s="54">
        <f>IF($B22="","",_xlfn.XLOOKUP($B22,'Pillar-1'!$B$5:$B$216,'Pillar-1'!$M$5:$M$216,"",0))</f>
        <v>18.486794536815104</v>
      </c>
      <c r="D22" s="54">
        <f>IF($B22="","",_xlfn.XLOOKUP($B22,'Pillar-2'!$B$5:$B$216,'Pillar-2'!$S$5:$S$216,"",0))</f>
        <v>68.71710694927495</v>
      </c>
      <c r="E22" s="54">
        <f>IF($B22="","",_xlfn.XLOOKUP($B22,'Pillar-3'!$B$5:$B$217,'Pillar-3'!$M$5:$M$217,"",0))</f>
        <v>65.094999999999999</v>
      </c>
      <c r="F22" s="54">
        <f>IF($B22="","",_xlfn.XLOOKUP($B22,'Pillar-4'!$B$5:$B$217,'Pillar-4'!$R$5:$R$217,"",0))</f>
        <v>58.693741957950884</v>
      </c>
      <c r="G22" s="54">
        <f>IF($B22="","",_xlfn.XLOOKUP($B22,'Pillar-5'!$B$5:$B$216,'Pillar-5'!$O$5:$O$216,"",0))</f>
        <v>73.724468089798279</v>
      </c>
      <c r="H22" s="176">
        <f>IF($B22="","",_xlfn.XLOOKUP($B22,'Pillar-6'!$B$5:$B$216,'Pillar-6'!$O$5:$O$216,"",0))</f>
        <v>48.440249999999999</v>
      </c>
      <c r="I22" s="178">
        <f t="shared" si="1"/>
        <v>54.846473902277928</v>
      </c>
      <c r="J22" s="179">
        <f t="shared" si="2"/>
        <v>15</v>
      </c>
      <c r="K22" s="35"/>
      <c r="L22" s="192">
        <f>IF($B22="","",SUM(_xlfn.XLOOKUP($B22,'Pillar-1'!$B$57:$B$92,'Pillar-1'!$F$57:$F$92,0,0),_xlfn.XLOOKUP($B22,'Pillar-2'!$B$65:$B$100,'Pillar-2'!$K$65:$K$100,0,0),_xlfn.XLOOKUP($B22,'Pillar-3'!$B$54:$B$89,'Pillar-3'!$H$54:$H$89,0,0),_xlfn.XLOOKUP($B22,'Pillar-4'!$B$65:$B$100,'Pillar-4'!$H$65:$H$100,0,0),_xlfn.XLOOKUP($B22,'Pillar-5'!$B$80:$B$115,'Pillar-5'!$G$80:$G$115,0,0),_xlfn.XLOOKUP($B22,'Pillar-6'!$B$74:$B$109,'Pillar-6'!$F$74:$F$109,0,0)))</f>
        <v>0</v>
      </c>
      <c r="M22" s="71" t="str">
        <f t="shared" si="3"/>
        <v>Higher</v>
      </c>
      <c r="N22" s="35"/>
      <c r="O22" s="72" t="e">
        <f>IF(COUNT(C22:H22)=6,C22*#REF!+D22*#REF!+E22*#REF!+F22*#REF!+G22*#REF!+H22*#REF!,"")</f>
        <v>#REF!</v>
      </c>
      <c r="P22" s="119" t="str">
        <f t="shared" si="0"/>
        <v/>
      </c>
    </row>
    <row r="23" spans="1:16" s="32" customFormat="1" ht="20" customHeight="1">
      <c r="A23" s="35" t="str">
        <v>Mexico</v>
      </c>
      <c r="B23" s="35" t="str">
        <v>MEX</v>
      </c>
      <c r="C23" s="54">
        <f>IF($B23="","",_xlfn.XLOOKUP($B23,'Pillar-1'!$B$5:$B$216,'Pillar-1'!$M$5:$M$216,"",0))</f>
        <v>34.1408156380717</v>
      </c>
      <c r="D23" s="54">
        <f>IF($B23="","",_xlfn.XLOOKUP($B23,'Pillar-2'!$B$5:$B$216,'Pillar-2'!$S$5:$S$216,"",0))</f>
        <v>56.35709507472945</v>
      </c>
      <c r="E23" s="54">
        <f>IF($B23="","",_xlfn.XLOOKUP($B23,'Pillar-3'!$B$5:$B$217,'Pillar-3'!$M$5:$M$217,"",0))</f>
        <v>43.258499999999998</v>
      </c>
      <c r="F23" s="54">
        <f>IF($B23="","",_xlfn.XLOOKUP($B23,'Pillar-4'!$B$5:$B$217,'Pillar-4'!$R$5:$R$217,"",0))</f>
        <v>69.12992762112188</v>
      </c>
      <c r="G23" s="54">
        <f>IF($B23="","",_xlfn.XLOOKUP($B23,'Pillar-5'!$B$5:$B$216,'Pillar-5'!$O$5:$O$216,"",0))</f>
        <v>56.05415630438651</v>
      </c>
      <c r="H23" s="176">
        <f>IF($B23="","",_xlfn.XLOOKUP($B23,'Pillar-6'!$B$5:$B$216,'Pillar-6'!$O$5:$O$216,"",0))</f>
        <v>68.310750000000013</v>
      </c>
      <c r="I23" s="178">
        <f t="shared" si="1"/>
        <v>53.653541112442582</v>
      </c>
      <c r="J23" s="179">
        <f t="shared" si="2"/>
        <v>17</v>
      </c>
      <c r="K23" s="35"/>
      <c r="L23" s="192">
        <f>IF($B23="","",SUM(_xlfn.XLOOKUP($B23,'Pillar-1'!$B$57:$B$92,'Pillar-1'!$F$57:$F$92,0,0),_xlfn.XLOOKUP($B23,'Pillar-2'!$B$65:$B$100,'Pillar-2'!$K$65:$K$100,0,0),_xlfn.XLOOKUP($B23,'Pillar-3'!$B$54:$B$89,'Pillar-3'!$H$54:$H$89,0,0),_xlfn.XLOOKUP($B23,'Pillar-4'!$B$65:$B$100,'Pillar-4'!$H$65:$H$100,0,0),_xlfn.XLOOKUP($B23,'Pillar-5'!$B$80:$B$115,'Pillar-5'!$G$80:$G$115,0,0),_xlfn.XLOOKUP($B23,'Pillar-6'!$B$74:$B$109,'Pillar-6'!$F$74:$F$109,0,0)))</f>
        <v>0</v>
      </c>
      <c r="M23" s="71" t="str">
        <f t="shared" si="3"/>
        <v>Higher</v>
      </c>
      <c r="N23" s="35"/>
      <c r="O23" s="76" t="e">
        <f>IF(COUNT(C23:H23)=6,C23*#REF!+D23*#REF!+E23*#REF!+F23*#REF!+G23*#REF!+H23*#REF!,"")</f>
        <v>#REF!</v>
      </c>
      <c r="P23" s="120" t="str">
        <f t="shared" si="0"/>
        <v/>
      </c>
    </row>
    <row r="24" spans="1:16" s="32" customFormat="1" ht="20" customHeight="1">
      <c r="A24" s="35" t="str">
        <v>Mongolia</v>
      </c>
      <c r="B24" s="35" t="str">
        <v>MNG</v>
      </c>
      <c r="C24" s="54">
        <f>IF($B24="","",_xlfn.XLOOKUP($B24,'Pillar-1'!$B$5:$B$216,'Pillar-1'!$M$5:$M$216,"",0))</f>
        <v>8.6957141420909103</v>
      </c>
      <c r="D24" s="54">
        <f>IF($B24="","",_xlfn.XLOOKUP($B24,'Pillar-2'!$B$5:$B$216,'Pillar-2'!$S$5:$S$216,"",0))</f>
        <v>6.7133221434189121</v>
      </c>
      <c r="E24" s="54">
        <f>IF($B24="","",_xlfn.XLOOKUP($B24,'Pillar-3'!$B$5:$B$217,'Pillar-3'!$M$5:$M$217,"",0))</f>
        <v>50.341999999999999</v>
      </c>
      <c r="F24" s="54">
        <f>IF($B24="","",_xlfn.XLOOKUP($B24,'Pillar-4'!$B$5:$B$217,'Pillar-4'!$R$5:$R$217,"",0))</f>
        <v>65.359240420524301</v>
      </c>
      <c r="G24" s="54">
        <f>IF($B24="","",_xlfn.XLOOKUP($B24,'Pillar-5'!$B$5:$B$216,'Pillar-5'!$O$5:$O$216,"",0))</f>
        <v>54.878250290800409</v>
      </c>
      <c r="H24" s="177">
        <f>IF($B24="","",_xlfn.XLOOKUP($B24,'Pillar-6'!$B$5:$B$216,'Pillar-6'!$O$5:$O$216,"",0))</f>
        <v>75.114000000000004</v>
      </c>
      <c r="I24" s="86">
        <f t="shared" si="1"/>
        <v>39.448092884826892</v>
      </c>
      <c r="J24" s="180">
        <f t="shared" si="2"/>
        <v>33</v>
      </c>
      <c r="K24" s="35"/>
      <c r="L24" s="192">
        <f>IF($B24="","",SUM(_xlfn.XLOOKUP($B24,'Pillar-1'!$B$57:$B$92,'Pillar-1'!$F$57:$F$92,0,0),_xlfn.XLOOKUP($B24,'Pillar-2'!$B$65:$B$100,'Pillar-2'!$K$65:$K$100,0,0),_xlfn.XLOOKUP($B24,'Pillar-3'!$B$54:$B$89,'Pillar-3'!$H$54:$H$89,0,0),_xlfn.XLOOKUP($B24,'Pillar-4'!$B$65:$B$100,'Pillar-4'!$H$65:$H$100,0,0),_xlfn.XLOOKUP($B24,'Pillar-5'!$B$80:$B$115,'Pillar-5'!$G$80:$G$115,0,0),_xlfn.XLOOKUP($B24,'Pillar-6'!$B$74:$B$109,'Pillar-6'!$F$74:$F$109,0,0)))</f>
        <v>1</v>
      </c>
      <c r="M24" s="71" t="str">
        <f t="shared" si="3"/>
        <v>Higher</v>
      </c>
      <c r="N24" s="35"/>
      <c r="O24" s="72" t="e">
        <f>IF(COUNT(C24:H24)=6,C24*#REF!+D24*#REF!+E24*#REF!+F24*#REF!+G24*#REF!+H24*#REF!,"")</f>
        <v>#REF!</v>
      </c>
      <c r="P24" s="119" t="str">
        <f t="shared" si="0"/>
        <v/>
      </c>
    </row>
    <row r="25" spans="1:16" s="32" customFormat="1" ht="20" customHeight="1">
      <c r="A25" s="35" t="str">
        <v>Morocco</v>
      </c>
      <c r="B25" s="35" t="str">
        <v>MAR</v>
      </c>
      <c r="C25" s="54">
        <f>IF($B25="","",_xlfn.XLOOKUP($B25,'Pillar-1'!$B$5:$B$216,'Pillar-1'!$M$5:$M$216,"",0))</f>
        <v>34.574537515189846</v>
      </c>
      <c r="D25" s="54">
        <f>IF($B25="","",_xlfn.XLOOKUP($B25,'Pillar-2'!$B$5:$B$216,'Pillar-2'!$S$5:$S$216,"",0))</f>
        <v>52.779743295437697</v>
      </c>
      <c r="E25" s="54">
        <f>IF($B25="","",_xlfn.XLOOKUP($B25,'Pillar-3'!$B$5:$B$217,'Pillar-3'!$M$5:$M$217,"",0))</f>
        <v>50.736499999999999</v>
      </c>
      <c r="F25" s="54">
        <f>IF($B25="","",_xlfn.XLOOKUP($B25,'Pillar-4'!$B$5:$B$217,'Pillar-4'!$R$5:$R$217,"",0))</f>
        <v>55.525137109025877</v>
      </c>
      <c r="G25" s="54">
        <f>IF($B25="","",_xlfn.XLOOKUP($B25,'Pillar-5'!$B$5:$B$216,'Pillar-5'!$O$5:$O$216,"",0))</f>
        <v>65.409279832164515</v>
      </c>
      <c r="H25" s="176">
        <f>IF($B25="","",_xlfn.XLOOKUP($B25,'Pillar-6'!$B$5:$B$216,'Pillar-6'!$O$5:$O$216,"",0))</f>
        <v>53.178750000000001</v>
      </c>
      <c r="I25" s="178">
        <f t="shared" si="1"/>
        <v>51.315625558755357</v>
      </c>
      <c r="J25" s="179">
        <f t="shared" si="2"/>
        <v>18</v>
      </c>
      <c r="K25" s="35"/>
      <c r="L25" s="192">
        <f>IF($B25="","",SUM(_xlfn.XLOOKUP($B25,'Pillar-1'!$B$57:$B$92,'Pillar-1'!$F$57:$F$92,0,0),_xlfn.XLOOKUP($B25,'Pillar-2'!$B$65:$B$100,'Pillar-2'!$K$65:$K$100,0,0),_xlfn.XLOOKUP($B25,'Pillar-3'!$B$54:$B$89,'Pillar-3'!$H$54:$H$89,0,0),_xlfn.XLOOKUP($B25,'Pillar-4'!$B$65:$B$100,'Pillar-4'!$H$65:$H$100,0,0),_xlfn.XLOOKUP($B25,'Pillar-5'!$B$80:$B$115,'Pillar-5'!$G$80:$G$115,0,0),_xlfn.XLOOKUP($B25,'Pillar-6'!$B$74:$B$109,'Pillar-6'!$F$74:$F$109,0,0)))</f>
        <v>0</v>
      </c>
      <c r="M25" s="71" t="str">
        <f t="shared" si="3"/>
        <v>Higher</v>
      </c>
      <c r="N25" s="35"/>
      <c r="O25" s="72" t="e">
        <f>IF(COUNT(C25:H25)=6,C25*#REF!+D25*#REF!+E25*#REF!+F25*#REF!+G25*#REF!+H25*#REF!,"")</f>
        <v>#REF!</v>
      </c>
      <c r="P25" s="119" t="str">
        <f t="shared" si="0"/>
        <v/>
      </c>
    </row>
    <row r="26" spans="1:16" s="32" customFormat="1" ht="20" customHeight="1">
      <c r="A26" s="35" t="str">
        <v>North Korea</v>
      </c>
      <c r="B26" s="35" t="str">
        <v>PRK</v>
      </c>
      <c r="C26" s="54">
        <f>IF($B26="","",_xlfn.XLOOKUP($B26,'Pillar-1'!$B$5:$B$216,'Pillar-1'!$M$5:$M$216,"",0))</f>
        <v>52.477000392948057</v>
      </c>
      <c r="D26" s="54">
        <f>IF($B26="","",_xlfn.XLOOKUP($B26,'Pillar-2'!$B$5:$B$216,'Pillar-2'!$S$5:$S$216,"",0))</f>
        <v>64.09753021904794</v>
      </c>
      <c r="E26" s="54">
        <f>IF($B26="","",_xlfn.XLOOKUP($B26,'Pillar-3'!$B$5:$B$217,'Pillar-3'!$M$5:$M$217,"",0))</f>
        <v>29.527999999999999</v>
      </c>
      <c r="F26" s="54">
        <f>IF($B26="","",_xlfn.XLOOKUP($B26,'Pillar-4'!$B$5:$B$217,'Pillar-4'!$R$5:$R$217,"",0))</f>
        <v>6.25</v>
      </c>
      <c r="G26" s="75">
        <f>IF($B26="","",_xlfn.XLOOKUP($B26,'Pillar-5'!$B$5:$B$216,'Pillar-5'!$O$5:$O$216,"",0))</f>
        <v>56.549277401735431</v>
      </c>
      <c r="H26" s="177">
        <f>IF($B26="","",_xlfn.XLOOKUP($B26,'Pillar-6'!$B$5:$B$216,'Pillar-6'!$O$5:$O$216,"",0))</f>
        <v>46.122500000000002</v>
      </c>
      <c r="I26" s="86">
        <f t="shared" si="1"/>
        <v>42.08874773265952</v>
      </c>
      <c r="J26" s="180">
        <f t="shared" si="2"/>
        <v>32</v>
      </c>
      <c r="K26" s="35"/>
      <c r="L26" s="180">
        <f>IF($B26="","",SUM(_xlfn.XLOOKUP($B26,'Pillar-1'!$B$57:$B$92,'Pillar-1'!$F$57:$F$92,0,0),_xlfn.XLOOKUP($B26,'Pillar-2'!$B$65:$B$100,'Pillar-2'!$K$65:$K$100,0,0),_xlfn.XLOOKUP($B26,'Pillar-3'!$B$54:$B$89,'Pillar-3'!$H$54:$H$89,0,0),_xlfn.XLOOKUP($B26,'Pillar-4'!$B$65:$B$100,'Pillar-4'!$H$65:$H$100,0,0),_xlfn.XLOOKUP($B26,'Pillar-5'!$B$80:$B$115,'Pillar-5'!$G$80:$G$115,0,0),_xlfn.XLOOKUP($B26,'Pillar-6'!$B$74:$B$109,'Pillar-6'!$F$74:$F$109,0,0)))</f>
        <v>7</v>
      </c>
      <c r="M26" s="86" t="str">
        <f t="shared" si="3"/>
        <v>Lower</v>
      </c>
      <c r="N26" s="35"/>
      <c r="O26" s="72" t="e">
        <f>IF(COUNT(C26:H26)=6,C26*#REF!+D26*#REF!+E26*#REF!+F26*#REF!+G26*#REF!+H26*#REF!,"")</f>
        <v>#REF!</v>
      </c>
      <c r="P26" s="119" t="str">
        <f t="shared" si="0"/>
        <v/>
      </c>
    </row>
    <row r="27" spans="1:16" s="32" customFormat="1" ht="20" customHeight="1">
      <c r="A27" s="35" t="str">
        <v>Pakistan</v>
      </c>
      <c r="B27" s="35" t="str">
        <v>PAK</v>
      </c>
      <c r="C27" s="75">
        <f>IF($B27="","",_xlfn.XLOOKUP($B27,'Pillar-1'!$B$5:$B$216,'Pillar-1'!$M$5:$M$216,"",0))</f>
        <v>44.812241969264583</v>
      </c>
      <c r="D27" s="75">
        <f>IF($B27="","",_xlfn.XLOOKUP($B27,'Pillar-2'!$B$5:$B$216,'Pillar-2'!$S$5:$S$216,"",0))</f>
        <v>42.605452708108047</v>
      </c>
      <c r="E27" s="54">
        <f>IF($B27="","",_xlfn.XLOOKUP($B27,'Pillar-3'!$B$5:$B$217,'Pillar-3'!$M$5:$M$217,"",0))</f>
        <v>36.720500000000001</v>
      </c>
      <c r="F27" s="54">
        <f>IF($B27="","",_xlfn.XLOOKUP($B27,'Pillar-4'!$B$5:$B$217,'Pillar-4'!$R$5:$R$217,"",0))</f>
        <v>60.674729846294255</v>
      </c>
      <c r="G27" s="54">
        <f>IF($B27="","",_xlfn.XLOOKUP($B27,'Pillar-5'!$B$5:$B$216,'Pillar-5'!$O$5:$O$216,"",0))</f>
        <v>28.326855415010037</v>
      </c>
      <c r="H27" s="176">
        <f>IF($B27="","",_xlfn.XLOOKUP($B27,'Pillar-6'!$B$5:$B$216,'Pillar-6'!$O$5:$O$216,"",0))</f>
        <v>36.476500000000001</v>
      </c>
      <c r="I27" s="178">
        <f t="shared" si="1"/>
        <v>43.023238216984879</v>
      </c>
      <c r="J27" s="179">
        <f t="shared" si="2"/>
        <v>29</v>
      </c>
      <c r="K27" s="35"/>
      <c r="L27" s="180">
        <f>IF($B27="","",SUM(_xlfn.XLOOKUP($B27,'Pillar-1'!$B$57:$B$92,'Pillar-1'!$F$57:$F$92,0,0),_xlfn.XLOOKUP($B27,'Pillar-2'!$B$65:$B$100,'Pillar-2'!$K$65:$K$100,0,0),_xlfn.XLOOKUP($B27,'Pillar-3'!$B$54:$B$89,'Pillar-3'!$H$54:$H$89,0,0),_xlfn.XLOOKUP($B27,'Pillar-4'!$B$65:$B$100,'Pillar-4'!$H$65:$H$100,0,0),_xlfn.XLOOKUP($B27,'Pillar-5'!$B$80:$B$115,'Pillar-5'!$G$80:$G$115,0,0),_xlfn.XLOOKUP($B27,'Pillar-6'!$B$74:$B$109,'Pillar-6'!$F$74:$F$109,0,0)))</f>
        <v>2</v>
      </c>
      <c r="M27" s="86" t="str">
        <f t="shared" si="3"/>
        <v>Moderate</v>
      </c>
      <c r="N27" s="35"/>
      <c r="O27" s="72" t="e">
        <f>IF(COUNT(C27:H27)=6,C27*#REF!+D27*#REF!+E27*#REF!+F27*#REF!+G27*#REF!+H27*#REF!,"")</f>
        <v>#REF!</v>
      </c>
      <c r="P27" s="119" t="str">
        <f t="shared" si="0"/>
        <v/>
      </c>
    </row>
    <row r="28" spans="1:16" s="32" customFormat="1" ht="20" customHeight="1">
      <c r="A28" s="35" t="str">
        <v>Philippines</v>
      </c>
      <c r="B28" s="35" t="str">
        <v>PHL</v>
      </c>
      <c r="C28" s="54">
        <f>IF($B28="","",_xlfn.XLOOKUP($B28,'Pillar-1'!$B$5:$B$216,'Pillar-1'!$M$5:$M$216,"",0))</f>
        <v>17.658134338076483</v>
      </c>
      <c r="D28" s="54">
        <f>IF($B28="","",_xlfn.XLOOKUP($B28,'Pillar-2'!$B$5:$B$216,'Pillar-2'!$S$5:$S$216,"",0))</f>
        <v>26.595277220058321</v>
      </c>
      <c r="E28" s="54">
        <f>IF($B28="","",_xlfn.XLOOKUP($B28,'Pillar-3'!$B$5:$B$217,'Pillar-3'!$M$5:$M$217,"",0))</f>
        <v>49.486000000000004</v>
      </c>
      <c r="F28" s="54">
        <f>IF($B28="","",_xlfn.XLOOKUP($B28,'Pillar-4'!$B$5:$B$217,'Pillar-4'!$R$5:$R$217,"",0))</f>
        <v>61.112347289841203</v>
      </c>
      <c r="G28" s="54">
        <f>IF($B28="","",_xlfn.XLOOKUP($B28,'Pillar-5'!$B$5:$B$216,'Pillar-5'!$O$5:$O$216,"",0))</f>
        <v>63.059815782717557</v>
      </c>
      <c r="H28" s="176">
        <f>IF($B28="","",_xlfn.XLOOKUP($B28,'Pillar-6'!$B$5:$B$216,'Pillar-6'!$O$5:$O$216,"",0))</f>
        <v>48.548249999999996</v>
      </c>
      <c r="I28" s="178">
        <f t="shared" si="1"/>
        <v>42.809849137002836</v>
      </c>
      <c r="J28" s="179">
        <f t="shared" si="2"/>
        <v>30</v>
      </c>
      <c r="K28" s="35"/>
      <c r="L28" s="192">
        <f>IF($B28="","",SUM(_xlfn.XLOOKUP($B28,'Pillar-1'!$B$57:$B$92,'Pillar-1'!$F$57:$F$92,0,0),_xlfn.XLOOKUP($B28,'Pillar-2'!$B$65:$B$100,'Pillar-2'!$K$65:$K$100,0,0),_xlfn.XLOOKUP($B28,'Pillar-3'!$B$54:$B$89,'Pillar-3'!$H$54:$H$89,0,0),_xlfn.XLOOKUP($B28,'Pillar-4'!$B$65:$B$100,'Pillar-4'!$H$65:$H$100,0,0),_xlfn.XLOOKUP($B28,'Pillar-5'!$B$80:$B$115,'Pillar-5'!$G$80:$G$115,0,0),_xlfn.XLOOKUP($B28,'Pillar-6'!$B$74:$B$109,'Pillar-6'!$F$74:$F$109,0,0)))</f>
        <v>0</v>
      </c>
      <c r="M28" s="71" t="str">
        <f t="shared" si="3"/>
        <v>Higher</v>
      </c>
      <c r="N28" s="35"/>
      <c r="O28" s="72" t="e">
        <f>IF(COUNT(C28:H28)=6,C28*#REF!+D28*#REF!+E28*#REF!+F28*#REF!+G28*#REF!+H28*#REF!,"")</f>
        <v>#REF!</v>
      </c>
      <c r="P28" s="119" t="str">
        <f t="shared" si="0"/>
        <v/>
      </c>
    </row>
    <row r="29" spans="1:16" s="32" customFormat="1" ht="20" customHeight="1">
      <c r="A29" s="35" t="str">
        <v>Poland</v>
      </c>
      <c r="B29" s="35" t="str">
        <v>POL</v>
      </c>
      <c r="C29" s="54">
        <f>IF($B29="","",_xlfn.XLOOKUP($B29,'Pillar-1'!$B$5:$B$216,'Pillar-1'!$M$5:$M$216,"",0))</f>
        <v>38.417097613960763</v>
      </c>
      <c r="D29" s="54">
        <f>IF($B29="","",_xlfn.XLOOKUP($B29,'Pillar-2'!$B$5:$B$216,'Pillar-2'!$S$5:$S$216,"",0))</f>
        <v>88.374338950789735</v>
      </c>
      <c r="E29" s="54">
        <f>IF($B29="","",_xlfn.XLOOKUP($B29,'Pillar-3'!$B$5:$B$217,'Pillar-3'!$M$5:$M$217,"",0))</f>
        <v>66.132500000000007</v>
      </c>
      <c r="F29" s="54">
        <f>IF($B29="","",_xlfn.XLOOKUP($B29,'Pillar-4'!$B$5:$B$217,'Pillar-4'!$R$5:$R$217,"",0))</f>
        <v>9.9712655334538489</v>
      </c>
      <c r="G29" s="54">
        <f>IF($B29="","",_xlfn.XLOOKUP($B29,'Pillar-5'!$B$5:$B$216,'Pillar-5'!$O$5:$O$216,"",0))</f>
        <v>58.078796130600125</v>
      </c>
      <c r="H29" s="176">
        <f>IF($B29="","",_xlfn.XLOOKUP($B29,'Pillar-6'!$B$5:$B$216,'Pillar-6'!$O$5:$O$216,"",0))</f>
        <v>79.897999999999996</v>
      </c>
      <c r="I29" s="178">
        <f t="shared" si="1"/>
        <v>53.974034839230896</v>
      </c>
      <c r="J29" s="179">
        <f t="shared" si="2"/>
        <v>16</v>
      </c>
      <c r="K29" s="35"/>
      <c r="L29" s="192">
        <f>IF($B29="","",SUM(_xlfn.XLOOKUP($B29,'Pillar-1'!$B$57:$B$92,'Pillar-1'!$F$57:$F$92,0,0),_xlfn.XLOOKUP($B29,'Pillar-2'!$B$65:$B$100,'Pillar-2'!$K$65:$K$100,0,0),_xlfn.XLOOKUP($B29,'Pillar-3'!$B$54:$B$89,'Pillar-3'!$H$54:$H$89,0,0),_xlfn.XLOOKUP($B29,'Pillar-4'!$B$65:$B$100,'Pillar-4'!$H$65:$H$100,0,0),_xlfn.XLOOKUP($B29,'Pillar-5'!$B$80:$B$115,'Pillar-5'!$G$80:$G$115,0,0),_xlfn.XLOOKUP($B29,'Pillar-6'!$B$74:$B$109,'Pillar-6'!$F$74:$F$109,0,0)))</f>
        <v>0</v>
      </c>
      <c r="M29" s="71" t="str">
        <f t="shared" si="3"/>
        <v>Higher</v>
      </c>
      <c r="N29" s="35"/>
      <c r="O29" s="72" t="e">
        <f>IF(COUNT(C29:H29)=6,C29*#REF!+D29*#REF!+E29*#REF!+F29*#REF!+G29*#REF!+H29*#REF!,"")</f>
        <v>#REF!</v>
      </c>
      <c r="P29" s="119" t="str">
        <f t="shared" si="0"/>
        <v/>
      </c>
    </row>
    <row r="30" spans="1:16" s="32" customFormat="1" ht="20" customHeight="1">
      <c r="A30" s="35" t="str">
        <v>Russia</v>
      </c>
      <c r="B30" s="35" t="str">
        <v>RUS</v>
      </c>
      <c r="C30" s="54">
        <f>IF($B30="","",_xlfn.XLOOKUP($B30,'Pillar-1'!$B$5:$B$216,'Pillar-1'!$M$5:$M$216,"",0))</f>
        <v>26.99308882913186</v>
      </c>
      <c r="D30" s="54">
        <f>IF($B30="","",_xlfn.XLOOKUP($B30,'Pillar-2'!$B$5:$B$216,'Pillar-2'!$S$5:$S$216,"",0))</f>
        <v>32.003318388686843</v>
      </c>
      <c r="E30" s="54">
        <f>IF($B30="","",_xlfn.XLOOKUP($B30,'Pillar-3'!$B$5:$B$217,'Pillar-3'!$M$5:$M$217,"",0))</f>
        <v>39.196999999999996</v>
      </c>
      <c r="F30" s="54">
        <f>IF($B30="","",_xlfn.XLOOKUP($B30,'Pillar-4'!$B$5:$B$217,'Pillar-4'!$R$5:$R$217,"",0))</f>
        <v>36.105099123509248</v>
      </c>
      <c r="G30" s="75">
        <f>IF($B30="","",_xlfn.XLOOKUP($B30,'Pillar-5'!$B$5:$B$216,'Pillar-5'!$O$5:$O$216,"",0))</f>
        <v>51.85706262886243</v>
      </c>
      <c r="H30" s="176">
        <f>IF($B30="","",_xlfn.XLOOKUP($B30,'Pillar-6'!$B$5:$B$216,'Pillar-6'!$O$5:$O$216,"",0))</f>
        <v>66.258499999999998</v>
      </c>
      <c r="I30" s="86">
        <f t="shared" si="1"/>
        <v>39.304260662594956</v>
      </c>
      <c r="J30" s="180">
        <f t="shared" si="2"/>
        <v>34</v>
      </c>
      <c r="K30" s="35"/>
      <c r="L30" s="192">
        <f>IF($B30="","",SUM(_xlfn.XLOOKUP($B30,'Pillar-1'!$B$57:$B$92,'Pillar-1'!$F$57:$F$92,0,0),_xlfn.XLOOKUP($B30,'Pillar-2'!$B$65:$B$100,'Pillar-2'!$K$65:$K$100,0,0),_xlfn.XLOOKUP($B30,'Pillar-3'!$B$54:$B$89,'Pillar-3'!$H$54:$H$89,0,0),_xlfn.XLOOKUP($B30,'Pillar-4'!$B$65:$B$100,'Pillar-4'!$H$65:$H$100,0,0),_xlfn.XLOOKUP($B30,'Pillar-5'!$B$80:$B$115,'Pillar-5'!$G$80:$G$115,0,0),_xlfn.XLOOKUP($B30,'Pillar-6'!$B$74:$B$109,'Pillar-6'!$F$74:$F$109,0,0)))</f>
        <v>1</v>
      </c>
      <c r="M30" s="71" t="str">
        <f t="shared" si="3"/>
        <v>Higher</v>
      </c>
      <c r="N30" s="35"/>
      <c r="O30" s="72" t="e">
        <f>IF(COUNT(C30:H30)=6,C30*#REF!+D30*#REF!+E30*#REF!+F30*#REF!+G30*#REF!+H30*#REF!,"")</f>
        <v>#REF!</v>
      </c>
      <c r="P30" s="119" t="str">
        <f t="shared" si="0"/>
        <v/>
      </c>
    </row>
    <row r="31" spans="1:16" s="32" customFormat="1" ht="20" customHeight="1">
      <c r="A31" s="35" t="str">
        <v>Serbia</v>
      </c>
      <c r="B31" s="35" t="str">
        <v>SRB</v>
      </c>
      <c r="C31" s="54">
        <f>IF($B31="","",_xlfn.XLOOKUP($B31,'Pillar-1'!$B$5:$B$216,'Pillar-1'!$M$5:$M$216,"",0))</f>
        <v>19.974587151300067</v>
      </c>
      <c r="D31" s="54">
        <f>IF($B31="","",_xlfn.XLOOKUP($B31,'Pillar-2'!$B$5:$B$216,'Pillar-2'!$S$5:$S$216,"",0))</f>
        <v>73.984764796010836</v>
      </c>
      <c r="E31" s="54">
        <f>IF($B31="","",_xlfn.XLOOKUP($B31,'Pillar-3'!$B$5:$B$217,'Pillar-3'!$M$5:$M$217,"",0))</f>
        <v>51.66</v>
      </c>
      <c r="F31" s="54">
        <f>IF($B31="","",_xlfn.XLOOKUP($B31,'Pillar-4'!$B$5:$B$217,'Pillar-4'!$R$5:$R$217,"",0))</f>
        <v>3.7212655334538489</v>
      </c>
      <c r="G31" s="54">
        <f>IF($B31="","",_xlfn.XLOOKUP($B31,'Pillar-5'!$B$5:$B$216,'Pillar-5'!$O$5:$O$216,"",0))</f>
        <v>62.030891859714337</v>
      </c>
      <c r="H31" s="176">
        <f>IF($B31="","",_xlfn.XLOOKUP($B31,'Pillar-6'!$B$5:$B$216,'Pillar-6'!$O$5:$O$216,"",0))</f>
        <v>61.249250000000004</v>
      </c>
      <c r="I31" s="178">
        <f t="shared" si="1"/>
        <v>42.714682275110107</v>
      </c>
      <c r="J31" s="179">
        <f t="shared" si="2"/>
        <v>31</v>
      </c>
      <c r="K31" s="35"/>
      <c r="L31" s="192">
        <f>IF($B31="","",SUM(_xlfn.XLOOKUP($B31,'Pillar-1'!$B$57:$B$92,'Pillar-1'!$F$57:$F$92,0,0),_xlfn.XLOOKUP($B31,'Pillar-2'!$B$65:$B$100,'Pillar-2'!$K$65:$K$100,0,0),_xlfn.XLOOKUP($B31,'Pillar-3'!$B$54:$B$89,'Pillar-3'!$H$54:$H$89,0,0),_xlfn.XLOOKUP($B31,'Pillar-4'!$B$65:$B$100,'Pillar-4'!$H$65:$H$100,0,0),_xlfn.XLOOKUP($B31,'Pillar-5'!$B$80:$B$115,'Pillar-5'!$G$80:$G$115,0,0),_xlfn.XLOOKUP($B31,'Pillar-6'!$B$74:$B$109,'Pillar-6'!$F$74:$F$109,0,0)))</f>
        <v>0</v>
      </c>
      <c r="M31" s="71" t="str">
        <f t="shared" si="3"/>
        <v>Higher</v>
      </c>
      <c r="N31" s="35"/>
      <c r="O31" s="72" t="e">
        <f>IF(COUNT(C31:H31)=6,C31*#REF!+D31*#REF!+E31*#REF!+F31*#REF!+G31*#REF!+H31*#REF!,"")</f>
        <v>#REF!</v>
      </c>
      <c r="P31" s="119" t="str">
        <f t="shared" si="0"/>
        <v/>
      </c>
    </row>
    <row r="32" spans="1:16" s="32" customFormat="1" ht="20" customHeight="1">
      <c r="A32" s="35" t="str">
        <v>South Africa</v>
      </c>
      <c r="B32" s="35" t="str">
        <v>ZAF</v>
      </c>
      <c r="C32" s="54">
        <f>IF($B32="","",_xlfn.XLOOKUP($B32,'Pillar-1'!$B$5:$B$216,'Pillar-1'!$M$5:$M$216,"",0))</f>
        <v>14.178941797262238</v>
      </c>
      <c r="D32" s="54">
        <f>IF($B32="","",_xlfn.XLOOKUP($B32,'Pillar-2'!$B$5:$B$216,'Pillar-2'!$S$5:$S$216,"",0))</f>
        <v>58.737634483183449</v>
      </c>
      <c r="E32" s="54">
        <f>IF($B32="","",_xlfn.XLOOKUP($B32,'Pillar-3'!$B$5:$B$217,'Pillar-3'!$M$5:$M$217,"",0))</f>
        <v>50.998000000000005</v>
      </c>
      <c r="F32" s="54">
        <f>IF($B32="","",_xlfn.XLOOKUP($B32,'Pillar-4'!$B$5:$B$217,'Pillar-4'!$R$5:$R$217,"",0))</f>
        <v>61.914317026506964</v>
      </c>
      <c r="G32" s="54">
        <f>IF($B32="","",_xlfn.XLOOKUP($B32,'Pillar-5'!$B$5:$B$216,'Pillar-5'!$O$5:$O$216,"",0))</f>
        <v>57.385112577438449</v>
      </c>
      <c r="H32" s="176">
        <f>IF($B32="","",_xlfn.XLOOKUP($B32,'Pillar-6'!$B$5:$B$216,'Pillar-6'!$O$5:$O$216,"",0))</f>
        <v>47.090999999999994</v>
      </c>
      <c r="I32" s="178">
        <f t="shared" si="1"/>
        <v>47.932745548006302</v>
      </c>
      <c r="J32" s="179">
        <f t="shared" si="2"/>
        <v>24</v>
      </c>
      <c r="K32" s="35"/>
      <c r="L32" s="192">
        <f>IF($B32="","",SUM(_xlfn.XLOOKUP($B32,'Pillar-1'!$B$57:$B$92,'Pillar-1'!$F$57:$F$92,0,0),_xlfn.XLOOKUP($B32,'Pillar-2'!$B$65:$B$100,'Pillar-2'!$K$65:$K$100,0,0),_xlfn.XLOOKUP($B32,'Pillar-3'!$B$54:$B$89,'Pillar-3'!$H$54:$H$89,0,0),_xlfn.XLOOKUP($B32,'Pillar-4'!$B$65:$B$100,'Pillar-4'!$H$65:$H$100,0,0),_xlfn.XLOOKUP($B32,'Pillar-5'!$B$80:$B$115,'Pillar-5'!$G$80:$G$115,0,0),_xlfn.XLOOKUP($B32,'Pillar-6'!$B$74:$B$109,'Pillar-6'!$F$74:$F$109,0,0)))</f>
        <v>0</v>
      </c>
      <c r="M32" s="71" t="str">
        <f t="shared" si="3"/>
        <v>Higher</v>
      </c>
      <c r="N32" s="35"/>
      <c r="O32" s="72" t="e">
        <f>IF(COUNT(C32:H32)=6,C32*#REF!+D32*#REF!+E32*#REF!+F32*#REF!+G32*#REF!+H32*#REF!,"")</f>
        <v>#REF!</v>
      </c>
      <c r="P32" s="119" t="str">
        <f t="shared" si="0"/>
        <v/>
      </c>
    </row>
    <row r="33" spans="1:16" s="32" customFormat="1" ht="20" customHeight="1">
      <c r="A33" s="35" t="str">
        <v>South Korea</v>
      </c>
      <c r="B33" s="35" t="str">
        <v>KOR</v>
      </c>
      <c r="C33" s="54">
        <f>IF($B33="","",_xlfn.XLOOKUP($B33,'Pillar-1'!$B$5:$B$216,'Pillar-1'!$M$5:$M$216,"",0))</f>
        <v>29.213945574330502</v>
      </c>
      <c r="D33" s="54">
        <f>IF($B33="","",_xlfn.XLOOKUP($B33,'Pillar-2'!$B$5:$B$216,'Pillar-2'!$S$5:$S$216,"",0))</f>
        <v>75.030089147057282</v>
      </c>
      <c r="E33" s="54">
        <f>IF($B33="","",_xlfn.XLOOKUP($B33,'Pillar-3'!$B$5:$B$217,'Pillar-3'!$M$5:$M$217,"",0))</f>
        <v>73.706999999999994</v>
      </c>
      <c r="F33" s="54">
        <f>IF($B33="","",_xlfn.XLOOKUP($B33,'Pillar-4'!$B$5:$B$217,'Pillar-4'!$R$5:$R$217,"",0))</f>
        <v>61.533748016554775</v>
      </c>
      <c r="G33" s="54">
        <f>IF($B33="","",_xlfn.XLOOKUP($B33,'Pillar-5'!$B$5:$B$216,'Pillar-5'!$O$5:$O$216,"",0))</f>
        <v>79.944198866779217</v>
      </c>
      <c r="H33" s="176">
        <f>IF($B33="","",_xlfn.XLOOKUP($B33,'Pillar-6'!$B$5:$B$216,'Pillar-6'!$O$5:$O$216,"",0))</f>
        <v>65.216250000000002</v>
      </c>
      <c r="I33" s="178">
        <f t="shared" si="1"/>
        <v>62.724861377605393</v>
      </c>
      <c r="J33" s="179">
        <f t="shared" si="2"/>
        <v>7</v>
      </c>
      <c r="K33" s="35"/>
      <c r="L33" s="192">
        <f>IF($B33="","",SUM(_xlfn.XLOOKUP($B33,'Pillar-1'!$B$57:$B$92,'Pillar-1'!$F$57:$F$92,0,0),_xlfn.XLOOKUP($B33,'Pillar-2'!$B$65:$B$100,'Pillar-2'!$K$65:$K$100,0,0),_xlfn.XLOOKUP($B33,'Pillar-3'!$B$54:$B$89,'Pillar-3'!$H$54:$H$89,0,0),_xlfn.XLOOKUP($B33,'Pillar-4'!$B$65:$B$100,'Pillar-4'!$H$65:$H$100,0,0),_xlfn.XLOOKUP($B33,'Pillar-5'!$B$80:$B$115,'Pillar-5'!$G$80:$G$115,0,0),_xlfn.XLOOKUP($B33,'Pillar-6'!$B$74:$B$109,'Pillar-6'!$F$74:$F$109,0,0)))</f>
        <v>0</v>
      </c>
      <c r="M33" s="71" t="str">
        <f t="shared" si="3"/>
        <v>Higher</v>
      </c>
      <c r="N33" s="35"/>
      <c r="O33" s="72" t="e">
        <f>IF(COUNT(C33:H33)=6,C33*#REF!+D33*#REF!+E33*#REF!+F33*#REF!+G33*#REF!+H33*#REF!,"")</f>
        <v>#REF!</v>
      </c>
      <c r="P33" s="119" t="str">
        <f t="shared" si="0"/>
        <v/>
      </c>
    </row>
    <row r="34" spans="1:16" s="32" customFormat="1" ht="20" customHeight="1">
      <c r="A34" s="35" t="str">
        <v>Sri Lanka</v>
      </c>
      <c r="B34" s="35" t="str">
        <v>LKA</v>
      </c>
      <c r="C34" s="54">
        <f>IF($B34="","",_xlfn.XLOOKUP($B34,'Pillar-1'!$B$5:$B$216,'Pillar-1'!$M$5:$M$216,"",0))</f>
        <v>55.03193888334846</v>
      </c>
      <c r="D34" s="54">
        <f>IF($B34="","",_xlfn.XLOOKUP($B34,'Pillar-2'!$B$5:$B$216,'Pillar-2'!$S$5:$S$216,"",0))</f>
        <v>79.768238504064328</v>
      </c>
      <c r="E34" s="54">
        <f>IF($B34="","",_xlfn.XLOOKUP($B34,'Pillar-3'!$B$5:$B$217,'Pillar-3'!$M$5:$M$217,"",0))</f>
        <v>48.545999999999999</v>
      </c>
      <c r="F34" s="54">
        <f>IF($B34="","",_xlfn.XLOOKUP($B34,'Pillar-4'!$B$5:$B$217,'Pillar-4'!$R$5:$R$217,"",0))</f>
        <v>62.709379457076686</v>
      </c>
      <c r="G34" s="75">
        <f>IF($B34="","",_xlfn.XLOOKUP($B34,'Pillar-5'!$B$5:$B$216,'Pillar-5'!$O$5:$O$216,"",0))</f>
        <v>38.530653446263599</v>
      </c>
      <c r="H34" s="176">
        <f>IF($B34="","",_xlfn.XLOOKUP($B34,'Pillar-6'!$B$5:$B$216,'Pillar-6'!$O$5:$O$216,"",0))</f>
        <v>58.302250000000001</v>
      </c>
      <c r="I34" s="86">
        <f t="shared" si="1"/>
        <v>58.39363438583743</v>
      </c>
      <c r="J34" s="180">
        <f t="shared" si="2"/>
        <v>9</v>
      </c>
      <c r="K34" s="35"/>
      <c r="L34" s="180">
        <f>IF($B34="","",SUM(_xlfn.XLOOKUP($B34,'Pillar-1'!$B$57:$B$92,'Pillar-1'!$F$57:$F$92,0,0),_xlfn.XLOOKUP($B34,'Pillar-2'!$B$65:$B$100,'Pillar-2'!$K$65:$K$100,0,0),_xlfn.XLOOKUP($B34,'Pillar-3'!$B$54:$B$89,'Pillar-3'!$H$54:$H$89,0,0),_xlfn.XLOOKUP($B34,'Pillar-4'!$B$65:$B$100,'Pillar-4'!$H$65:$H$100,0,0),_xlfn.XLOOKUP($B34,'Pillar-5'!$B$80:$B$115,'Pillar-5'!$G$80:$G$115,0,0),_xlfn.XLOOKUP($B34,'Pillar-6'!$B$74:$B$109,'Pillar-6'!$F$74:$F$109,0,0)))</f>
        <v>2</v>
      </c>
      <c r="M34" s="86" t="str">
        <f t="shared" si="3"/>
        <v>Moderate</v>
      </c>
      <c r="N34" s="35"/>
      <c r="O34" s="76" t="e">
        <f>IF(COUNT(C34:H34)=6,C34*#REF!+D34*#REF!+E34*#REF!+F34*#REF!+G34*#REF!+H34*#REF!,"")</f>
        <v>#REF!</v>
      </c>
      <c r="P34" s="120" t="str">
        <f t="shared" si="0"/>
        <v/>
      </c>
    </row>
    <row r="35" spans="1:16" s="32" customFormat="1" ht="20" customHeight="1">
      <c r="A35" s="35" t="str">
        <v>Taiwan, China</v>
      </c>
      <c r="B35" s="35" t="str">
        <v>TWN</v>
      </c>
      <c r="C35" s="54">
        <f>IF($B35="","",_xlfn.XLOOKUP($B35,'Pillar-1'!$B$5:$B$216,'Pillar-1'!$M$5:$M$216,"",0))</f>
        <v>16.921597041140828</v>
      </c>
      <c r="D35" s="75">
        <f>IF($B35="","",_xlfn.XLOOKUP($B35,'Pillar-2'!$B$5:$B$216,'Pillar-2'!$S$5:$S$216,"",0))</f>
        <v>56.955632481765271</v>
      </c>
      <c r="E35" s="54">
        <f>IF($B35="","",_xlfn.XLOOKUP($B35,'Pillar-3'!$B$5:$B$217,'Pillar-3'!$M$5:$M$217,"",0))</f>
        <v>77.265999999999991</v>
      </c>
      <c r="F35" s="75">
        <f>IF($B35="","",_xlfn.XLOOKUP($B35,'Pillar-4'!$B$5:$B$217,'Pillar-4'!$R$5:$R$217,"",0))</f>
        <v>34.014834479191371</v>
      </c>
      <c r="G35" s="75">
        <f>IF($B35="","",_xlfn.XLOOKUP($B35,'Pillar-5'!$B$5:$B$216,'Pillar-5'!$O$5:$O$216,"",0))</f>
        <v>87.552555339821595</v>
      </c>
      <c r="H35" s="177">
        <f>IF($B35="","",_xlfn.XLOOKUP($B35,'Pillar-6'!$B$5:$B$216,'Pillar-6'!$O$5:$O$216,"",0))</f>
        <v>90.43950000000001</v>
      </c>
      <c r="I35" s="86">
        <f t="shared" si="1"/>
        <v>55.345146101392736</v>
      </c>
      <c r="J35" s="180">
        <f t="shared" si="2"/>
        <v>14</v>
      </c>
      <c r="K35" s="35"/>
      <c r="L35" s="180">
        <f>IF($B35="","",SUM(_xlfn.XLOOKUP($B35,'Pillar-1'!$B$57:$B$92,'Pillar-1'!$F$57:$F$92,0,0),_xlfn.XLOOKUP($B35,'Pillar-2'!$B$65:$B$100,'Pillar-2'!$K$65:$K$100,0,0),_xlfn.XLOOKUP($B35,'Pillar-3'!$B$54:$B$89,'Pillar-3'!$H$54:$H$89,0,0),_xlfn.XLOOKUP($B35,'Pillar-4'!$B$65:$B$100,'Pillar-4'!$H$65:$H$100,0,0),_xlfn.XLOOKUP($B35,'Pillar-5'!$B$80:$B$115,'Pillar-5'!$G$80:$G$115,0,0),_xlfn.XLOOKUP($B35,'Pillar-6'!$B$74:$B$109,'Pillar-6'!$F$74:$F$109,0,0)))</f>
        <v>8</v>
      </c>
      <c r="M35" s="86" t="str">
        <f t="shared" si="3"/>
        <v>Lower</v>
      </c>
      <c r="N35" s="35"/>
      <c r="O35" s="72" t="e">
        <f>IF(COUNT(C35:H35)=6,C35*#REF!+D35*#REF!+E35*#REF!+F35*#REF!+G35*#REF!+H35*#REF!,"")</f>
        <v>#REF!</v>
      </c>
      <c r="P35" s="119" t="str">
        <f t="shared" si="0"/>
        <v/>
      </c>
    </row>
    <row r="36" spans="1:16" s="32" customFormat="1" ht="20" customHeight="1">
      <c r="A36" s="35" t="str">
        <v>Thailand</v>
      </c>
      <c r="B36" s="35" t="str">
        <v>THA</v>
      </c>
      <c r="C36" s="54">
        <f>IF($B36="","",_xlfn.XLOOKUP($B36,'Pillar-1'!$B$5:$B$216,'Pillar-1'!$M$5:$M$216,"",0))</f>
        <v>20.944701521389248</v>
      </c>
      <c r="D36" s="54">
        <f>IF($B36="","",_xlfn.XLOOKUP($B36,'Pillar-2'!$B$5:$B$216,'Pillar-2'!$S$5:$S$216,"",0))</f>
        <v>48.962463191820348</v>
      </c>
      <c r="E36" s="54">
        <f>IF($B36="","",_xlfn.XLOOKUP($B36,'Pillar-3'!$B$5:$B$217,'Pillar-3'!$M$5:$M$217,"",0))</f>
        <v>51.712499999999999</v>
      </c>
      <c r="F36" s="54">
        <f>IF($B36="","",_xlfn.XLOOKUP($B36,'Pillar-4'!$B$5:$B$217,'Pillar-4'!$R$5:$R$217,"",0))</f>
        <v>86.532860671660103</v>
      </c>
      <c r="G36" s="54">
        <f>IF($B36="","",_xlfn.XLOOKUP($B36,'Pillar-5'!$B$5:$B$216,'Pillar-5'!$O$5:$O$216,"",0))</f>
        <v>78.799661897577067</v>
      </c>
      <c r="H36" s="176">
        <f>IF($B36="","",_xlfn.XLOOKUP($B36,'Pillar-6'!$B$5:$B$216,'Pillar-6'!$O$5:$O$216,"",0))</f>
        <v>60.072750000000006</v>
      </c>
      <c r="I36" s="178">
        <f t="shared" si="1"/>
        <v>56.872104361610496</v>
      </c>
      <c r="J36" s="179">
        <f t="shared" si="2"/>
        <v>12</v>
      </c>
      <c r="K36" s="35"/>
      <c r="L36" s="192">
        <f>IF($B36="","",SUM(_xlfn.XLOOKUP($B36,'Pillar-1'!$B$57:$B$92,'Pillar-1'!$F$57:$F$92,0,0),_xlfn.XLOOKUP($B36,'Pillar-2'!$B$65:$B$100,'Pillar-2'!$K$65:$K$100,0,0),_xlfn.XLOOKUP($B36,'Pillar-3'!$B$54:$B$89,'Pillar-3'!$H$54:$H$89,0,0),_xlfn.XLOOKUP($B36,'Pillar-4'!$B$65:$B$100,'Pillar-4'!$H$65:$H$100,0,0),_xlfn.XLOOKUP($B36,'Pillar-5'!$B$80:$B$115,'Pillar-5'!$G$80:$G$115,0,0),_xlfn.XLOOKUP($B36,'Pillar-6'!$B$74:$B$109,'Pillar-6'!$F$74:$F$109,0,0)))</f>
        <v>0</v>
      </c>
      <c r="M36" s="71" t="str">
        <f t="shared" si="3"/>
        <v>Higher</v>
      </c>
      <c r="N36" s="35"/>
      <c r="O36" s="76" t="e">
        <f>IF(COUNT(C36:H36)=6,C36*#REF!+D36*#REF!+E36*#REF!+F36*#REF!+G36*#REF!+H36*#REF!,"")</f>
        <v>#REF!</v>
      </c>
      <c r="P36" s="120" t="str">
        <f t="shared" si="0"/>
        <v/>
      </c>
    </row>
    <row r="37" spans="1:16" s="32" customFormat="1" ht="20" customHeight="1">
      <c r="A37" s="35" t="str">
        <v>Türkiye</v>
      </c>
      <c r="B37" s="35" t="str">
        <v>TUR</v>
      </c>
      <c r="C37" s="54">
        <f>IF($B37="","",_xlfn.XLOOKUP($B37,'Pillar-1'!$B$5:$B$216,'Pillar-1'!$M$5:$M$216,"",0))</f>
        <v>48.738873707639719</v>
      </c>
      <c r="D37" s="54">
        <f>IF($B37="","",_xlfn.XLOOKUP($B37,'Pillar-2'!$B$5:$B$216,'Pillar-2'!$S$5:$S$216,"",0))</f>
        <v>42.28797476883247</v>
      </c>
      <c r="E37" s="54">
        <f>IF($B37="","",_xlfn.XLOOKUP($B37,'Pillar-3'!$B$5:$B$217,'Pillar-3'!$M$5:$M$217,"",0))</f>
        <v>46.085999999999999</v>
      </c>
      <c r="F37" s="54">
        <f>IF($B37="","",_xlfn.XLOOKUP($B37,'Pillar-4'!$B$5:$B$217,'Pillar-4'!$R$5:$R$217,"",0))</f>
        <v>59.581774055227015</v>
      </c>
      <c r="G37" s="54">
        <f>IF($B37="","",_xlfn.XLOOKUP($B37,'Pillar-5'!$B$5:$B$216,'Pillar-5'!$O$5:$O$216,"",0))</f>
        <v>23.296533210503817</v>
      </c>
      <c r="H37" s="176">
        <f>IF($B37="","",_xlfn.XLOOKUP($B37,'Pillar-6'!$B$5:$B$216,'Pillar-6'!$O$5:$O$216,"",0))</f>
        <v>54.15475</v>
      </c>
      <c r="I37" s="178">
        <f t="shared" si="1"/>
        <v>45.944579487915412</v>
      </c>
      <c r="J37" s="179">
        <f t="shared" si="2"/>
        <v>25</v>
      </c>
      <c r="K37" s="35"/>
      <c r="L37" s="192">
        <f>IF($B37="","",SUM(_xlfn.XLOOKUP($B37,'Pillar-1'!$B$57:$B$92,'Pillar-1'!$F$57:$F$92,0,0),_xlfn.XLOOKUP($B37,'Pillar-2'!$B$65:$B$100,'Pillar-2'!$K$65:$K$100,0,0),_xlfn.XLOOKUP($B37,'Pillar-3'!$B$54:$B$89,'Pillar-3'!$H$54:$H$89,0,0),_xlfn.XLOOKUP($B37,'Pillar-4'!$B$65:$B$100,'Pillar-4'!$H$65:$H$100,0,0),_xlfn.XLOOKUP($B37,'Pillar-5'!$B$80:$B$115,'Pillar-5'!$G$80:$G$115,0,0),_xlfn.XLOOKUP($B37,'Pillar-6'!$B$74:$B$109,'Pillar-6'!$F$74:$F$109,0,0)))</f>
        <v>0</v>
      </c>
      <c r="M37" s="71" t="str">
        <f t="shared" si="3"/>
        <v>Higher</v>
      </c>
      <c r="N37" s="35"/>
      <c r="O37" s="72" t="e">
        <f>IF(COUNT(C37:H37)=6,C37*#REF!+D37*#REF!+E37*#REF!+F37*#REF!+G37*#REF!+H37*#REF!,"")</f>
        <v>#REF!</v>
      </c>
      <c r="P37" s="119" t="str">
        <f t="shared" si="0"/>
        <v/>
      </c>
    </row>
    <row r="38" spans="1:16" s="32" customFormat="1" ht="20" customHeight="1">
      <c r="A38" s="35" t="str">
        <v>United States</v>
      </c>
      <c r="B38" s="35" t="str">
        <v>USA</v>
      </c>
      <c r="C38" s="54">
        <f>IF($B38="","",_xlfn.XLOOKUP($B38,'Pillar-1'!$B$5:$B$216,'Pillar-1'!$M$5:$M$216,"",0))</f>
        <v>45.102470653363326</v>
      </c>
      <c r="D38" s="54">
        <f>IF($B38="","",_xlfn.XLOOKUP($B38,'Pillar-2'!$B$5:$B$216,'Pillar-2'!$S$5:$S$216,"",0))</f>
        <v>67.221979957384974</v>
      </c>
      <c r="E38" s="54">
        <f>IF($B38="","",_xlfn.XLOOKUP($B38,'Pillar-3'!$B$5:$B$217,'Pillar-3'!$M$5:$M$217,"",0))</f>
        <v>73.595500000000001</v>
      </c>
      <c r="F38" s="54">
        <f>IF($B38="","",_xlfn.XLOOKUP($B38,'Pillar-4'!$B$5:$B$217,'Pillar-4'!$R$5:$R$217,"",0))</f>
        <v>61.122226889873573</v>
      </c>
      <c r="G38" s="54">
        <f>IF($B38="","",_xlfn.XLOOKUP($B38,'Pillar-5'!$B$5:$B$216,'Pillar-5'!$O$5:$O$216,"",0))</f>
        <v>83.697333333333333</v>
      </c>
      <c r="H38" s="176">
        <f>IF($B38="","",_xlfn.XLOOKUP($B38,'Pillar-6'!$B$5:$B$216,'Pillar-6'!$O$5:$O$216,"",0))</f>
        <v>71.822499999999991</v>
      </c>
      <c r="I38" s="178">
        <f t="shared" si="1"/>
        <v>65.465510500124381</v>
      </c>
      <c r="J38" s="179">
        <f t="shared" si="2"/>
        <v>4</v>
      </c>
      <c r="K38" s="35"/>
      <c r="L38" s="192">
        <f>IF($B38="","",SUM(_xlfn.XLOOKUP($B38,'Pillar-1'!$B$57:$B$92,'Pillar-1'!$F$57:$F$92,0,0),_xlfn.XLOOKUP($B38,'Pillar-2'!$B$65:$B$100,'Pillar-2'!$K$65:$K$100,0,0),_xlfn.XLOOKUP($B38,'Pillar-3'!$B$54:$B$89,'Pillar-3'!$H$54:$H$89,0,0),_xlfn.XLOOKUP($B38,'Pillar-4'!$B$65:$B$100,'Pillar-4'!$H$65:$H$100,0,0),_xlfn.XLOOKUP($B38,'Pillar-5'!$B$80:$B$115,'Pillar-5'!$G$80:$G$115,0,0),_xlfn.XLOOKUP($B38,'Pillar-6'!$B$74:$B$109,'Pillar-6'!$F$74:$F$109,0,0)))</f>
        <v>0</v>
      </c>
      <c r="M38" s="71" t="str">
        <f t="shared" si="3"/>
        <v>Higher</v>
      </c>
      <c r="N38" s="35"/>
      <c r="O38" s="72" t="e">
        <f>IF(COUNT(C38:H38)=6,C38*#REF!+D38*#REF!+E38*#REF!+F38*#REF!+G38*#REF!+H38*#REF!,"")</f>
        <v>#REF!</v>
      </c>
      <c r="P38" s="119" t="str">
        <f t="shared" si="0"/>
        <v/>
      </c>
    </row>
    <row r="39" spans="1:16" s="32" customFormat="1" ht="20" customHeight="1">
      <c r="A39" s="35" t="str">
        <v>Vietnam</v>
      </c>
      <c r="B39" s="35" t="str">
        <v>VNM</v>
      </c>
      <c r="C39" s="54">
        <f>IF($B39="","",_xlfn.XLOOKUP($B39,'Pillar-1'!$B$5:$B$216,'Pillar-1'!$M$5:$M$216,"",0))</f>
        <v>42.58840371166292</v>
      </c>
      <c r="D39" s="54">
        <f>IF($B39="","",_xlfn.XLOOKUP($B39,'Pillar-2'!$B$5:$B$216,'Pillar-2'!$S$5:$S$216,"",0))</f>
        <v>58.075051912910283</v>
      </c>
      <c r="E39" s="54">
        <f>IF($B39="","",_xlfn.XLOOKUP($B39,'Pillar-3'!$B$5:$B$217,'Pillar-3'!$M$5:$M$217,"",0))</f>
        <v>50.512999999999998</v>
      </c>
      <c r="F39" s="54">
        <f>IF($B39="","",_xlfn.XLOOKUP($B39,'Pillar-4'!$B$5:$B$217,'Pillar-4'!$R$5:$R$217,"",0))</f>
        <v>70.649827110190927</v>
      </c>
      <c r="G39" s="54">
        <f>IF($B39="","",_xlfn.XLOOKUP($B39,'Pillar-5'!$B$5:$B$216,'Pillar-5'!$O$5:$O$216,"",0))</f>
        <v>76.538932695104904</v>
      </c>
      <c r="H39" s="176">
        <f>IF($B39="","",_xlfn.XLOOKUP($B39,'Pillar-6'!$B$5:$B$216,'Pillar-6'!$O$5:$O$216,"",0))</f>
        <v>57.267250000000004</v>
      </c>
      <c r="I39" s="178">
        <f t="shared" si="1"/>
        <v>59.047171451218567</v>
      </c>
      <c r="J39" s="179">
        <f t="shared" si="2"/>
        <v>8</v>
      </c>
      <c r="K39" s="35"/>
      <c r="L39" s="192">
        <f>IF($B39="","",SUM(_xlfn.XLOOKUP($B39,'Pillar-1'!$B$57:$B$92,'Pillar-1'!$F$57:$F$92,0,0),_xlfn.XLOOKUP($B39,'Pillar-2'!$B$65:$B$100,'Pillar-2'!$K$65:$K$100,0,0),_xlfn.XLOOKUP($B39,'Pillar-3'!$B$54:$B$89,'Pillar-3'!$H$54:$H$89,0,0),_xlfn.XLOOKUP($B39,'Pillar-4'!$B$65:$B$100,'Pillar-4'!$H$65:$H$100,0,0),_xlfn.XLOOKUP($B39,'Pillar-5'!$B$80:$B$115,'Pillar-5'!$G$80:$G$115,0,0),_xlfn.XLOOKUP($B39,'Pillar-6'!$B$74:$B$109,'Pillar-6'!$F$74:$F$109,0,0)))</f>
        <v>1</v>
      </c>
      <c r="M39" s="71" t="str">
        <f t="shared" si="3"/>
        <v>Higher</v>
      </c>
      <c r="N39" s="35"/>
      <c r="O39" s="72" t="e">
        <f>IF(COUNT(C39:H39)=6,C39*#REF!+D39*#REF!+E39*#REF!+F39*#REF!+G39*#REF!+H39*#REF!,"")</f>
        <v>#REF!</v>
      </c>
      <c r="P39" s="119" t="str">
        <f t="shared" si="0"/>
        <v/>
      </c>
    </row>
    <row r="40" spans="1:16" s="73" customFormat="1" ht="20" customHeight="1">
      <c r="C40" s="74"/>
      <c r="D40" s="74"/>
      <c r="E40" s="74"/>
      <c r="F40" s="74"/>
      <c r="G40" s="74"/>
      <c r="H40" s="74"/>
      <c r="I40" s="74"/>
      <c r="J40" s="74"/>
    </row>
    <row r="41" spans="1:16" s="26" customFormat="1" ht="20" customHeight="1">
      <c r="C41" s="28"/>
      <c r="D41" s="28"/>
      <c r="E41" s="28"/>
      <c r="F41" s="28"/>
      <c r="G41" s="28"/>
      <c r="H41" s="28"/>
      <c r="I41" s="28"/>
      <c r="J41" s="28"/>
    </row>
    <row r="42" spans="1:16" s="26" customFormat="1" ht="20" customHeight="1">
      <c r="A42" s="78" t="s">
        <v>831</v>
      </c>
      <c r="B42" s="78"/>
      <c r="C42" s="28"/>
      <c r="D42" s="28"/>
      <c r="E42" s="28"/>
      <c r="F42" s="28"/>
      <c r="G42" s="28"/>
      <c r="H42" s="28"/>
      <c r="I42" s="28"/>
      <c r="J42" s="28"/>
    </row>
    <row r="43" spans="1:16" s="26" customFormat="1" ht="20" customHeight="1">
      <c r="A43" s="77" t="s">
        <v>832</v>
      </c>
      <c r="B43" s="77"/>
      <c r="C43" s="28"/>
      <c r="D43" s="28"/>
      <c r="E43" s="28"/>
      <c r="F43" s="28"/>
      <c r="G43" s="28"/>
      <c r="H43" s="28"/>
      <c r="I43" s="28"/>
      <c r="J43" s="28"/>
    </row>
    <row r="44" spans="1:16" s="26" customFormat="1" ht="20" customHeight="1">
      <c r="A44" s="79" t="s">
        <v>833</v>
      </c>
      <c r="B44" s="79"/>
      <c r="C44" s="28"/>
      <c r="D44" s="28"/>
      <c r="E44" s="28"/>
      <c r="F44" s="28"/>
      <c r="G44" s="28"/>
      <c r="H44" s="28"/>
      <c r="I44" s="28"/>
      <c r="J44" s="28"/>
    </row>
    <row r="45" spans="1:16" s="26" customFormat="1" ht="20" customHeight="1">
      <c r="C45" s="28"/>
      <c r="D45" s="28"/>
      <c r="E45" s="28"/>
      <c r="F45" s="28"/>
      <c r="G45" s="28"/>
      <c r="H45" s="28"/>
      <c r="I45" s="28"/>
      <c r="J45" s="28"/>
    </row>
    <row r="46" spans="1:16" s="26" customFormat="1" ht="20" customHeight="1">
      <c r="C46" s="28"/>
      <c r="D46" s="28"/>
      <c r="E46" s="28"/>
      <c r="F46" s="28"/>
      <c r="G46" s="28"/>
      <c r="H46" s="28"/>
      <c r="I46" s="28"/>
      <c r="J46" s="28"/>
    </row>
    <row r="47" spans="1:16" s="26" customFormat="1" ht="20" customHeight="1">
      <c r="C47" s="28"/>
      <c r="D47" s="28"/>
      <c r="E47" s="28"/>
      <c r="F47" s="28"/>
      <c r="G47" s="28"/>
      <c r="H47" s="28"/>
      <c r="I47" s="28"/>
      <c r="J47" s="28"/>
    </row>
    <row r="48" spans="1:16" s="26" customFormat="1" ht="20" customHeight="1">
      <c r="C48" s="28"/>
      <c r="D48" s="28"/>
      <c r="E48" s="28"/>
      <c r="F48" s="28"/>
      <c r="G48" s="28"/>
      <c r="H48" s="28"/>
      <c r="I48" s="28"/>
      <c r="J48" s="28"/>
    </row>
  </sheetData>
  <mergeCells count="3">
    <mergeCell ref="A1:B2"/>
    <mergeCell ref="C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418E-06F0-0340-A773-9FE75E114B1C}">
  <dimension ref="A1:K74"/>
  <sheetViews>
    <sheetView workbookViewId="0">
      <selection activeCell="E44" sqref="E44"/>
    </sheetView>
  </sheetViews>
  <sheetFormatPr baseColWidth="10" defaultRowHeight="15"/>
  <cols>
    <col min="1" max="1" width="25.83203125" customWidth="1"/>
    <col min="2" max="2" width="15.83203125" customWidth="1"/>
    <col min="3" max="10" width="20.83203125" customWidth="1"/>
  </cols>
  <sheetData>
    <row r="1" spans="1:11" ht="35" customHeight="1">
      <c r="A1" s="206" t="s">
        <v>838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1" ht="50" customHeight="1">
      <c r="A2" s="8" t="s">
        <v>2</v>
      </c>
      <c r="B2" s="8" t="s">
        <v>443</v>
      </c>
      <c r="C2" s="8" t="s">
        <v>486</v>
      </c>
      <c r="D2" s="8" t="s">
        <v>487</v>
      </c>
      <c r="E2" s="8" t="s">
        <v>488</v>
      </c>
      <c r="F2" s="8" t="s">
        <v>489</v>
      </c>
      <c r="G2" s="8" t="s">
        <v>796</v>
      </c>
      <c r="H2" s="8" t="s">
        <v>490</v>
      </c>
      <c r="I2" s="16" t="s">
        <v>483</v>
      </c>
      <c r="J2" s="16" t="s">
        <v>484</v>
      </c>
    </row>
    <row r="3" spans="1:11" ht="20" customHeight="1">
      <c r="A3" s="26" t="str" cm="1">
        <f t="array" ref="A3:K38">_xlfn.LET(
_xlpm.data,_xlfn._xlws.FILTER(_xlfn.HSTACK(INDEX!A4:J39,IF(INDEX!N4:N39="","",INDEX!N4:N39)),INDEX!A4:A39&lt;&gt;""),
_xlpm.r,_xlfn._xlws.FILTER(INDEX!J4:J39,INDEX!A4:A39&lt;&gt;""),
_xlfn.SORTBY(_xlpm.data,--(_xlpm.r=""),1,_xlpm.r,1)
)</f>
        <v>Chile</v>
      </c>
      <c r="B3" s="28" t="str">
        <v>CHL</v>
      </c>
      <c r="C3" s="121">
        <v>84.124011228417714</v>
      </c>
      <c r="D3" s="121">
        <v>96.046666666666653</v>
      </c>
      <c r="E3" s="29">
        <v>68.9345</v>
      </c>
      <c r="F3" s="121">
        <v>66.186104854878621</v>
      </c>
      <c r="G3" s="121">
        <v>64.39942660121396</v>
      </c>
      <c r="H3" s="121">
        <v>71.853749999999991</v>
      </c>
      <c r="I3" s="25">
        <v>76.456820540174689</v>
      </c>
      <c r="J3" s="31">
        <v>1</v>
      </c>
      <c r="K3" t="str">
        <v/>
      </c>
    </row>
    <row r="4" spans="1:11" ht="20" customHeight="1">
      <c r="A4" s="26" t="str">
        <v>Germany</v>
      </c>
      <c r="B4" s="28" t="str">
        <v>DEU</v>
      </c>
      <c r="C4" s="29">
        <v>80.528426624680336</v>
      </c>
      <c r="D4" s="29">
        <v>87.14420929084983</v>
      </c>
      <c r="E4" s="29">
        <v>80.516999999999996</v>
      </c>
      <c r="F4" s="29">
        <v>49.027600541119043</v>
      </c>
      <c r="G4" s="29">
        <v>66.520654577618785</v>
      </c>
      <c r="H4" s="29">
        <v>99.354250000000008</v>
      </c>
      <c r="I4" s="25">
        <v>75.331120477972661</v>
      </c>
      <c r="J4" s="31">
        <v>2</v>
      </c>
      <c r="K4" t="str">
        <v/>
      </c>
    </row>
    <row r="5" spans="1:11" ht="20" customHeight="1">
      <c r="A5" s="26" t="str">
        <v>Canada</v>
      </c>
      <c r="B5" s="28" t="str">
        <v>CAN</v>
      </c>
      <c r="C5" s="29">
        <v>66.642502457310357</v>
      </c>
      <c r="D5" s="29">
        <v>61.782230524109885</v>
      </c>
      <c r="E5" s="29">
        <v>80.6845</v>
      </c>
      <c r="F5" s="29">
        <v>45.087058078261769</v>
      </c>
      <c r="G5" s="29">
        <v>79.666175131084259</v>
      </c>
      <c r="H5" s="29">
        <v>78.752250000000004</v>
      </c>
      <c r="I5" s="25">
        <v>66.630184481599045</v>
      </c>
      <c r="J5" s="31">
        <v>3</v>
      </c>
      <c r="K5" t="str">
        <v/>
      </c>
    </row>
    <row r="6" spans="1:11" ht="20" customHeight="1">
      <c r="A6" s="26" t="str">
        <v>United States</v>
      </c>
      <c r="B6" s="28" t="str">
        <v>USA</v>
      </c>
      <c r="C6" s="29">
        <v>45.102470653363326</v>
      </c>
      <c r="D6" s="29">
        <v>67.221979957384974</v>
      </c>
      <c r="E6" s="29">
        <v>73.595500000000001</v>
      </c>
      <c r="F6" s="29">
        <v>61.122226889873573</v>
      </c>
      <c r="G6" s="29">
        <v>83.697333333333333</v>
      </c>
      <c r="H6" s="29">
        <v>71.822499999999991</v>
      </c>
      <c r="I6" s="25">
        <v>65.465510500124381</v>
      </c>
      <c r="J6" s="31">
        <v>4</v>
      </c>
      <c r="K6" t="str">
        <v/>
      </c>
    </row>
    <row r="7" spans="1:11" ht="20" customHeight="1">
      <c r="A7" s="26" t="str">
        <v>Brazil</v>
      </c>
      <c r="B7" s="28" t="str">
        <v>BRA</v>
      </c>
      <c r="C7" s="29">
        <v>86.575121163166401</v>
      </c>
      <c r="D7" s="29">
        <v>56.001411517573672</v>
      </c>
      <c r="E7" s="29">
        <v>47.772000000000006</v>
      </c>
      <c r="F7" s="29">
        <v>72.481827950732423</v>
      </c>
      <c r="G7" s="29">
        <v>53.849575169659083</v>
      </c>
      <c r="H7" s="29">
        <v>63.955500000000001</v>
      </c>
      <c r="I7" s="25">
        <v>64.650458401743364</v>
      </c>
      <c r="J7" s="31">
        <v>5</v>
      </c>
      <c r="K7" t="str">
        <v/>
      </c>
    </row>
    <row r="8" spans="1:11" ht="20" customHeight="1">
      <c r="A8" s="26" t="str">
        <v>Australia</v>
      </c>
      <c r="B8" s="28" t="str">
        <v>AUS</v>
      </c>
      <c r="C8" s="29">
        <v>46.551741007301679</v>
      </c>
      <c r="D8" s="29">
        <v>69.78265702819607</v>
      </c>
      <c r="E8" s="29">
        <v>83.603499999999997</v>
      </c>
      <c r="F8" s="29">
        <v>38.134110168569059</v>
      </c>
      <c r="G8" s="29">
        <v>74.902856135645507</v>
      </c>
      <c r="H8" s="29">
        <v>83.583500000000001</v>
      </c>
      <c r="I8" s="25">
        <v>63.028005061160194</v>
      </c>
      <c r="J8" s="31">
        <v>6</v>
      </c>
      <c r="K8" t="str">
        <v/>
      </c>
    </row>
    <row r="9" spans="1:11" ht="20" customHeight="1">
      <c r="A9" s="26" t="str">
        <v>South Korea</v>
      </c>
      <c r="B9" s="28" t="str">
        <v>KOR</v>
      </c>
      <c r="C9" s="29">
        <v>29.213945574330502</v>
      </c>
      <c r="D9" s="29">
        <v>75.030089147057282</v>
      </c>
      <c r="E9" s="29">
        <v>73.706999999999994</v>
      </c>
      <c r="F9" s="29">
        <v>61.533748016554775</v>
      </c>
      <c r="G9" s="29">
        <v>79.944198866779217</v>
      </c>
      <c r="H9" s="29">
        <v>65.216250000000002</v>
      </c>
      <c r="I9" s="25">
        <v>62.724861377605393</v>
      </c>
      <c r="J9" s="31">
        <v>7</v>
      </c>
      <c r="K9" t="str">
        <v/>
      </c>
    </row>
    <row r="10" spans="1:11" ht="20" customHeight="1">
      <c r="A10" s="26" t="str">
        <v>Vietnam</v>
      </c>
      <c r="B10" s="28" t="str">
        <v>VNM</v>
      </c>
      <c r="C10" s="29">
        <v>42.58840371166292</v>
      </c>
      <c r="D10" s="29">
        <v>58.075051912910283</v>
      </c>
      <c r="E10" s="29">
        <v>50.512999999999998</v>
      </c>
      <c r="F10" s="29">
        <v>70.649827110190927</v>
      </c>
      <c r="G10" s="29">
        <v>76.538932695104904</v>
      </c>
      <c r="H10" s="29">
        <v>57.267250000000004</v>
      </c>
      <c r="I10" s="25">
        <v>59.047171451218567</v>
      </c>
      <c r="J10" s="31">
        <v>8</v>
      </c>
      <c r="K10" t="str">
        <v/>
      </c>
    </row>
    <row r="11" spans="1:11" ht="20" customHeight="1">
      <c r="A11" s="26" t="str">
        <v>Sri Lanka</v>
      </c>
      <c r="B11" s="28" t="str">
        <v>LKA</v>
      </c>
      <c r="C11" s="29">
        <v>55.03193888334846</v>
      </c>
      <c r="D11" s="29">
        <v>79.768238504064328</v>
      </c>
      <c r="E11" s="29">
        <v>48.545999999999999</v>
      </c>
      <c r="F11" s="29">
        <v>62.709379457076686</v>
      </c>
      <c r="G11" s="29">
        <v>38.530653446263599</v>
      </c>
      <c r="H11" s="29">
        <v>58.302250000000001</v>
      </c>
      <c r="I11" s="25">
        <v>58.39363438583743</v>
      </c>
      <c r="J11" s="31">
        <v>9</v>
      </c>
      <c r="K11" t="str">
        <v/>
      </c>
    </row>
    <row r="12" spans="1:11" ht="20" customHeight="1">
      <c r="A12" s="26" t="str">
        <v>Japan</v>
      </c>
      <c r="B12" s="28" t="str">
        <v>JPN</v>
      </c>
      <c r="C12" s="29">
        <v>33.370858377149204</v>
      </c>
      <c r="D12" s="29">
        <v>56.252322904750876</v>
      </c>
      <c r="E12" s="29">
        <v>82.129500000000007</v>
      </c>
      <c r="F12" s="29">
        <v>41.320255495331253</v>
      </c>
      <c r="G12" s="29">
        <v>66.587888300393601</v>
      </c>
      <c r="H12" s="29">
        <v>90.239249999999998</v>
      </c>
      <c r="I12" s="25">
        <v>57.520220600505311</v>
      </c>
      <c r="J12" s="31">
        <v>10</v>
      </c>
      <c r="K12" t="str">
        <v/>
      </c>
    </row>
    <row r="13" spans="1:11" ht="20" customHeight="1">
      <c r="A13" s="26" t="str">
        <v>Bulgaria</v>
      </c>
      <c r="B13" s="28" t="str">
        <v>BGR</v>
      </c>
      <c r="C13" s="29">
        <v>55.203174657784132</v>
      </c>
      <c r="D13" s="29">
        <v>69.049864980741603</v>
      </c>
      <c r="E13" s="29">
        <v>54.430999999999997</v>
      </c>
      <c r="F13" s="29">
        <v>31.902320478210292</v>
      </c>
      <c r="G13" s="29">
        <v>67.029884024544472</v>
      </c>
      <c r="H13" s="29">
        <v>78.527749999999997</v>
      </c>
      <c r="I13" s="25">
        <v>57.302979627028883</v>
      </c>
      <c r="J13" s="31">
        <v>11</v>
      </c>
      <c r="K13" t="str">
        <v/>
      </c>
    </row>
    <row r="14" spans="1:11" ht="20" customHeight="1">
      <c r="A14" s="26" t="str">
        <v>Thailand</v>
      </c>
      <c r="B14" s="28" t="str">
        <v>THA</v>
      </c>
      <c r="C14" s="29">
        <v>20.944701521389248</v>
      </c>
      <c r="D14" s="29">
        <v>48.962463191820348</v>
      </c>
      <c r="E14" s="29">
        <v>51.712499999999999</v>
      </c>
      <c r="F14" s="29">
        <v>86.532860671660103</v>
      </c>
      <c r="G14" s="29">
        <v>78.799661897577067</v>
      </c>
      <c r="H14" s="29">
        <v>60.072750000000006</v>
      </c>
      <c r="I14" s="25">
        <v>56.872104361610496</v>
      </c>
      <c r="J14" s="31">
        <v>12</v>
      </c>
      <c r="K14" t="str">
        <v/>
      </c>
    </row>
    <row r="15" spans="1:11" ht="20" customHeight="1">
      <c r="A15" s="26" t="str">
        <v>China</v>
      </c>
      <c r="B15" s="28" t="str">
        <v>CHN</v>
      </c>
      <c r="C15" s="29">
        <v>38.100942036629121</v>
      </c>
      <c r="D15" s="29">
        <v>43.783305182996749</v>
      </c>
      <c r="E15" s="29">
        <v>56.281000000000006</v>
      </c>
      <c r="F15" s="29">
        <v>63.496375061444738</v>
      </c>
      <c r="G15" s="29">
        <v>80.979036673363026</v>
      </c>
      <c r="H15" s="29">
        <v>64.15424999999999</v>
      </c>
      <c r="I15" s="25">
        <v>56.080554957218574</v>
      </c>
      <c r="J15" s="31">
        <v>13</v>
      </c>
      <c r="K15" t="str">
        <v/>
      </c>
    </row>
    <row r="16" spans="1:11" ht="20" customHeight="1">
      <c r="A16" s="26" t="str">
        <v>Taiwan, China</v>
      </c>
      <c r="B16" s="28" t="str">
        <v>TWN</v>
      </c>
      <c r="C16" s="29">
        <v>16.921597041140828</v>
      </c>
      <c r="D16" s="29">
        <v>56.955632481765271</v>
      </c>
      <c r="E16" s="29">
        <v>77.265999999999991</v>
      </c>
      <c r="F16" s="29">
        <v>34.014834479191371</v>
      </c>
      <c r="G16" s="29">
        <v>87.552555339821595</v>
      </c>
      <c r="H16" s="29">
        <v>90.43950000000001</v>
      </c>
      <c r="I16" s="25">
        <v>55.345146101392736</v>
      </c>
      <c r="J16" s="31">
        <v>14</v>
      </c>
      <c r="K16" t="str">
        <v/>
      </c>
    </row>
    <row r="17" spans="1:11" ht="20" customHeight="1">
      <c r="A17" s="26" t="str">
        <v>Malaysia</v>
      </c>
      <c r="B17" s="28" t="str">
        <v>MYS</v>
      </c>
      <c r="C17" s="29">
        <v>18.486794536815104</v>
      </c>
      <c r="D17" s="29">
        <v>68.71710694927495</v>
      </c>
      <c r="E17" s="29">
        <v>65.094999999999999</v>
      </c>
      <c r="F17" s="29">
        <v>58.693741957950884</v>
      </c>
      <c r="G17" s="29">
        <v>73.724468089798279</v>
      </c>
      <c r="H17" s="29">
        <v>48.440249999999999</v>
      </c>
      <c r="I17" s="25">
        <v>54.846473902277928</v>
      </c>
      <c r="J17" s="31">
        <v>15</v>
      </c>
      <c r="K17" t="str">
        <v/>
      </c>
    </row>
    <row r="18" spans="1:11" ht="20" customHeight="1">
      <c r="A18" s="26" t="str">
        <v>Poland</v>
      </c>
      <c r="B18" s="28" t="str">
        <v>POL</v>
      </c>
      <c r="C18" s="29">
        <v>38.417097613960763</v>
      </c>
      <c r="D18" s="29">
        <v>88.374338950789735</v>
      </c>
      <c r="E18" s="29">
        <v>66.132500000000007</v>
      </c>
      <c r="F18" s="29">
        <v>9.9712655334538489</v>
      </c>
      <c r="G18" s="29">
        <v>58.078796130600125</v>
      </c>
      <c r="H18" s="29">
        <v>79.897999999999996</v>
      </c>
      <c r="I18" s="25">
        <v>53.974034839230896</v>
      </c>
      <c r="J18" s="31">
        <v>16</v>
      </c>
      <c r="K18" t="str">
        <v/>
      </c>
    </row>
    <row r="19" spans="1:11" ht="20" customHeight="1">
      <c r="A19" s="26" t="str">
        <v>Mexico</v>
      </c>
      <c r="B19" s="28" t="str">
        <v>MEX</v>
      </c>
      <c r="C19" s="29">
        <v>34.1408156380717</v>
      </c>
      <c r="D19" s="29">
        <v>56.35709507472945</v>
      </c>
      <c r="E19" s="29">
        <v>43.258499999999998</v>
      </c>
      <c r="F19" s="29">
        <v>69.12992762112188</v>
      </c>
      <c r="G19" s="29">
        <v>56.05415630438651</v>
      </c>
      <c r="H19" s="29">
        <v>68.310750000000013</v>
      </c>
      <c r="I19" s="25">
        <v>53.653541112442582</v>
      </c>
      <c r="J19" s="31">
        <v>17</v>
      </c>
      <c r="K19" t="str">
        <v/>
      </c>
    </row>
    <row r="20" spans="1:11" ht="20" customHeight="1">
      <c r="A20" s="26" t="str">
        <v>Morocco</v>
      </c>
      <c r="B20" s="28" t="str">
        <v>MAR</v>
      </c>
      <c r="C20" s="29">
        <v>34.574537515189846</v>
      </c>
      <c r="D20" s="29">
        <v>52.779743295437697</v>
      </c>
      <c r="E20" s="29">
        <v>50.736499999999999</v>
      </c>
      <c r="F20" s="29">
        <v>55.525137109025877</v>
      </c>
      <c r="G20" s="29">
        <v>65.409279832164515</v>
      </c>
      <c r="H20" s="29">
        <v>53.178750000000001</v>
      </c>
      <c r="I20" s="25">
        <v>51.315625558755357</v>
      </c>
      <c r="J20" s="31">
        <v>18</v>
      </c>
      <c r="K20" t="str">
        <v/>
      </c>
    </row>
    <row r="21" spans="1:11" ht="20" customHeight="1">
      <c r="A21" s="26" t="str">
        <v>Czech Republic</v>
      </c>
      <c r="B21" s="28" t="str">
        <v>CZE</v>
      </c>
      <c r="C21" s="29">
        <v>32.268071389276322</v>
      </c>
      <c r="D21" s="29">
        <v>74.694259594311589</v>
      </c>
      <c r="E21" s="29">
        <v>74.201999999999998</v>
      </c>
      <c r="F21" s="29">
        <v>4</v>
      </c>
      <c r="G21" s="29">
        <v>62.885372175895135</v>
      </c>
      <c r="H21" s="29">
        <v>85.489499999999992</v>
      </c>
      <c r="I21" s="25">
        <v>51.304522023101846</v>
      </c>
      <c r="J21" s="31">
        <v>19</v>
      </c>
      <c r="K21" t="str">
        <v/>
      </c>
    </row>
    <row r="22" spans="1:11" ht="20" customHeight="1">
      <c r="A22" s="26" t="str">
        <v>Cambodia</v>
      </c>
      <c r="B22" s="28" t="str">
        <v>KHM</v>
      </c>
      <c r="C22" s="29">
        <v>32.203217333020483</v>
      </c>
      <c r="D22" s="29">
        <v>17.98822894922889</v>
      </c>
      <c r="E22" s="29">
        <v>41.782000000000004</v>
      </c>
      <c r="F22" s="29">
        <v>78.863970165964091</v>
      </c>
      <c r="G22" s="29">
        <v>84.482080629071959</v>
      </c>
      <c r="H22" s="29">
        <v>42.628500000000003</v>
      </c>
      <c r="I22" s="25">
        <v>49.013545384003486</v>
      </c>
      <c r="J22" s="31">
        <v>20</v>
      </c>
      <c r="K22" t="str">
        <v/>
      </c>
    </row>
    <row r="23" spans="1:11" ht="20" customHeight="1">
      <c r="A23" s="26" t="str">
        <v>Hong Kong</v>
      </c>
      <c r="B23" s="28" t="str">
        <v>HKG</v>
      </c>
      <c r="C23" s="29">
        <v>4.5636845257910403</v>
      </c>
      <c r="D23" s="29">
        <v>67.96941158065556</v>
      </c>
      <c r="E23" s="29">
        <v>79.537000000000006</v>
      </c>
      <c r="F23" s="29">
        <v>1.8606327667269245</v>
      </c>
      <c r="G23" s="29">
        <v>97.983185194424635</v>
      </c>
      <c r="H23" s="29">
        <v>67.78125</v>
      </c>
      <c r="I23" s="25">
        <v>48.284898553798406</v>
      </c>
      <c r="J23" s="31">
        <v>21</v>
      </c>
      <c r="K23" t="str">
        <v/>
      </c>
    </row>
    <row r="24" spans="1:11" ht="20" customHeight="1">
      <c r="A24" s="26" t="str">
        <v>Indonesia</v>
      </c>
      <c r="B24" s="28" t="str">
        <v>IDN</v>
      </c>
      <c r="C24" s="29">
        <v>11.074019663691745</v>
      </c>
      <c r="D24" s="29">
        <v>42.92996178377242</v>
      </c>
      <c r="E24" s="29">
        <v>51.514499999999998</v>
      </c>
      <c r="F24" s="29">
        <v>71.77659182906396</v>
      </c>
      <c r="G24" s="29">
        <v>64.924638283281894</v>
      </c>
      <c r="H24" s="29">
        <v>54.348749999999995</v>
      </c>
      <c r="I24" s="25">
        <v>48.056860397797905</v>
      </c>
      <c r="J24" s="31">
        <v>22</v>
      </c>
      <c r="K24" t="str">
        <v/>
      </c>
    </row>
    <row r="25" spans="1:11" ht="20" customHeight="1">
      <c r="A25" s="26" t="str">
        <v>India</v>
      </c>
      <c r="B25" s="28" t="str">
        <v>IND</v>
      </c>
      <c r="C25" s="29">
        <v>17.370261790657619</v>
      </c>
      <c r="D25" s="29">
        <v>37.758330209006573</v>
      </c>
      <c r="E25" s="29">
        <v>53.021000000000001</v>
      </c>
      <c r="F25" s="29">
        <v>72.579459151255648</v>
      </c>
      <c r="G25" s="29">
        <v>58.654571141812461</v>
      </c>
      <c r="H25" s="29">
        <v>56.596499999999999</v>
      </c>
      <c r="I25" s="25">
        <v>47.952595901455837</v>
      </c>
      <c r="J25" s="31">
        <v>23</v>
      </c>
      <c r="K25" t="str">
        <v/>
      </c>
    </row>
    <row r="26" spans="1:11" ht="20" customHeight="1">
      <c r="A26" s="26" t="str">
        <v>South Africa</v>
      </c>
      <c r="B26" s="28" t="str">
        <v>ZAF</v>
      </c>
      <c r="C26" s="29">
        <v>14.178941797262238</v>
      </c>
      <c r="D26" s="29">
        <v>58.737634483183449</v>
      </c>
      <c r="E26" s="29">
        <v>50.998000000000005</v>
      </c>
      <c r="F26" s="29">
        <v>61.914317026506964</v>
      </c>
      <c r="G26" s="29">
        <v>57.385112577438449</v>
      </c>
      <c r="H26" s="29">
        <v>47.090999999999994</v>
      </c>
      <c r="I26" s="25">
        <v>47.932745548006302</v>
      </c>
      <c r="J26" s="31">
        <v>24</v>
      </c>
      <c r="K26" t="str">
        <v/>
      </c>
    </row>
    <row r="27" spans="1:11" ht="20" customHeight="1">
      <c r="A27" s="26" t="str">
        <v>Türkiye</v>
      </c>
      <c r="B27" s="28" t="str">
        <v>TUR</v>
      </c>
      <c r="C27" s="29">
        <v>48.738873707639719</v>
      </c>
      <c r="D27" s="29">
        <v>42.28797476883247</v>
      </c>
      <c r="E27" s="29">
        <v>46.085999999999999</v>
      </c>
      <c r="F27" s="29">
        <v>59.581774055227015</v>
      </c>
      <c r="G27" s="29">
        <v>23.296533210503817</v>
      </c>
      <c r="H27" s="29">
        <v>54.15475</v>
      </c>
      <c r="I27" s="25">
        <v>45.944579487915412</v>
      </c>
      <c r="J27" s="31">
        <v>25</v>
      </c>
      <c r="K27" t="str">
        <v/>
      </c>
    </row>
    <row r="28" spans="1:11" ht="20" customHeight="1">
      <c r="A28" s="26" t="str">
        <v>Laos</v>
      </c>
      <c r="B28" s="28" t="str">
        <v>LAO</v>
      </c>
      <c r="C28" s="29">
        <v>64.90733233636108</v>
      </c>
      <c r="D28" s="29">
        <v>28.291601417995857</v>
      </c>
      <c r="E28" s="29">
        <v>43.198999999999998</v>
      </c>
      <c r="F28" s="29">
        <v>63.171403916188581</v>
      </c>
      <c r="G28" s="29">
        <v>26.072598442071996</v>
      </c>
      <c r="H28" s="29">
        <v>41.2515</v>
      </c>
      <c r="I28" s="25">
        <v>45.789957300419907</v>
      </c>
      <c r="J28" s="31">
        <v>26</v>
      </c>
      <c r="K28" t="str">
        <v/>
      </c>
    </row>
    <row r="29" spans="1:11" ht="20" customHeight="1">
      <c r="A29" s="26" t="str">
        <v>Dominican Republic</v>
      </c>
      <c r="B29" s="28" t="str">
        <v>DOM</v>
      </c>
      <c r="C29" s="29">
        <v>26.862615534405023</v>
      </c>
      <c r="D29" s="29">
        <v>39.015957437877105</v>
      </c>
      <c r="E29" s="29">
        <v>54.588000000000001</v>
      </c>
      <c r="F29" s="29">
        <v>30.75</v>
      </c>
      <c r="G29" s="29">
        <v>59.328467149928755</v>
      </c>
      <c r="H29" s="29">
        <v>73.06450000000001</v>
      </c>
      <c r="I29" s="25">
        <v>43.719634666945737</v>
      </c>
      <c r="J29" s="31">
        <v>27</v>
      </c>
      <c r="K29" t="str">
        <v/>
      </c>
    </row>
    <row r="30" spans="1:11" ht="20" customHeight="1">
      <c r="A30" s="26" t="str">
        <v>Kazakhstan</v>
      </c>
      <c r="B30" s="28" t="str">
        <v>KAZ</v>
      </c>
      <c r="C30" s="29">
        <v>9.5900827070048127</v>
      </c>
      <c r="D30" s="29">
        <v>45.514013916311839</v>
      </c>
      <c r="E30" s="29">
        <v>52.933499999999995</v>
      </c>
      <c r="F30" s="29">
        <v>45.448385287153513</v>
      </c>
      <c r="G30" s="29">
        <v>57.070670356282619</v>
      </c>
      <c r="H30" s="29">
        <v>67.765500000000003</v>
      </c>
      <c r="I30" s="25">
        <v>43.387671935536424</v>
      </c>
      <c r="J30" s="31">
        <v>28</v>
      </c>
      <c r="K30" t="str">
        <v/>
      </c>
    </row>
    <row r="31" spans="1:11" ht="20" customHeight="1">
      <c r="A31" s="26" t="str">
        <v>Pakistan</v>
      </c>
      <c r="B31" s="28" t="str">
        <v>PAK</v>
      </c>
      <c r="C31" s="29">
        <v>44.812241969264583</v>
      </c>
      <c r="D31" s="29">
        <v>42.605452708108047</v>
      </c>
      <c r="E31" s="29">
        <v>36.720500000000001</v>
      </c>
      <c r="F31" s="29">
        <v>60.674729846294255</v>
      </c>
      <c r="G31" s="29">
        <v>28.326855415010037</v>
      </c>
      <c r="H31" s="29">
        <v>36.476500000000001</v>
      </c>
      <c r="I31" s="25">
        <v>43.023238216984879</v>
      </c>
      <c r="J31" s="31">
        <v>29</v>
      </c>
      <c r="K31" t="str">
        <v/>
      </c>
    </row>
    <row r="32" spans="1:11" ht="20" customHeight="1">
      <c r="A32" s="26" t="str">
        <v>Philippines</v>
      </c>
      <c r="B32" s="28" t="str">
        <v>PHL</v>
      </c>
      <c r="C32" s="29">
        <v>17.658134338076483</v>
      </c>
      <c r="D32" s="29">
        <v>26.595277220058321</v>
      </c>
      <c r="E32" s="29">
        <v>49.486000000000004</v>
      </c>
      <c r="F32" s="29">
        <v>61.112347289841203</v>
      </c>
      <c r="G32" s="29">
        <v>63.059815782717557</v>
      </c>
      <c r="H32" s="29">
        <v>48.548249999999996</v>
      </c>
      <c r="I32" s="25">
        <v>42.809849137002836</v>
      </c>
      <c r="J32" s="31">
        <v>30</v>
      </c>
      <c r="K32" t="str">
        <v/>
      </c>
    </row>
    <row r="33" spans="1:11" ht="20" customHeight="1">
      <c r="A33" s="26" t="str">
        <v>Serbia</v>
      </c>
      <c r="B33" s="28" t="str">
        <v>SRB</v>
      </c>
      <c r="C33" s="29">
        <v>19.974587151300067</v>
      </c>
      <c r="D33" s="29">
        <v>73.984764796010836</v>
      </c>
      <c r="E33" s="29">
        <v>51.66</v>
      </c>
      <c r="F33" s="29">
        <v>3.7212655334538489</v>
      </c>
      <c r="G33" s="29">
        <v>62.030891859714337</v>
      </c>
      <c r="H33" s="29">
        <v>61.249250000000004</v>
      </c>
      <c r="I33" s="25">
        <v>42.714682275110107</v>
      </c>
      <c r="J33" s="31">
        <v>31</v>
      </c>
      <c r="K33" t="str">
        <v/>
      </c>
    </row>
    <row r="34" spans="1:11" ht="20" customHeight="1">
      <c r="A34" s="26" t="str">
        <v>North Korea</v>
      </c>
      <c r="B34" s="28" t="str">
        <v>PRK</v>
      </c>
      <c r="C34" s="29">
        <v>52.477000392948057</v>
      </c>
      <c r="D34" s="29">
        <v>64.09753021904794</v>
      </c>
      <c r="E34" s="29">
        <v>29.527999999999999</v>
      </c>
      <c r="F34" s="29">
        <v>6.25</v>
      </c>
      <c r="G34" s="29">
        <v>56.549277401735431</v>
      </c>
      <c r="H34" s="29">
        <v>46.122500000000002</v>
      </c>
      <c r="I34" s="25">
        <v>42.08874773265952</v>
      </c>
      <c r="J34" s="31">
        <v>32</v>
      </c>
      <c r="K34" t="str">
        <v/>
      </c>
    </row>
    <row r="35" spans="1:11" ht="20" customHeight="1">
      <c r="A35" s="26" t="str">
        <v>Mongolia</v>
      </c>
      <c r="B35" s="28" t="str">
        <v>MNG</v>
      </c>
      <c r="C35" s="29">
        <v>8.6957141420909103</v>
      </c>
      <c r="D35" s="29">
        <v>6.7133221434189121</v>
      </c>
      <c r="E35" s="29">
        <v>50.341999999999999</v>
      </c>
      <c r="F35" s="29">
        <v>65.359240420524301</v>
      </c>
      <c r="G35" s="29">
        <v>54.878250290800409</v>
      </c>
      <c r="H35" s="29">
        <v>75.114000000000004</v>
      </c>
      <c r="I35" s="25">
        <v>39.448092884826892</v>
      </c>
      <c r="J35" s="31">
        <v>33</v>
      </c>
      <c r="K35" t="str">
        <v/>
      </c>
    </row>
    <row r="36" spans="1:11" ht="20" customHeight="1">
      <c r="A36" s="26" t="str">
        <v>Russia</v>
      </c>
      <c r="B36" s="28" t="str">
        <v>RUS</v>
      </c>
      <c r="C36" s="29">
        <v>26.99308882913186</v>
      </c>
      <c r="D36" s="29">
        <v>32.003318388686843</v>
      </c>
      <c r="E36" s="29">
        <v>39.196999999999996</v>
      </c>
      <c r="F36" s="29">
        <v>36.105099123509248</v>
      </c>
      <c r="G36" s="29">
        <v>51.85706262886243</v>
      </c>
      <c r="H36" s="29">
        <v>66.258499999999998</v>
      </c>
      <c r="I36" s="25">
        <v>39.304260662594956</v>
      </c>
      <c r="J36" s="31">
        <v>34</v>
      </c>
      <c r="K36" t="str">
        <v/>
      </c>
    </row>
    <row r="37" spans="1:11" ht="20" customHeight="1">
      <c r="A37" s="26" t="str">
        <v>Bosnia and Herzegovina</v>
      </c>
      <c r="B37" s="28" t="str">
        <v>BIH</v>
      </c>
      <c r="C37" s="29">
        <v>28.514445126007296</v>
      </c>
      <c r="D37" s="29">
        <v>38.326415086222688</v>
      </c>
      <c r="E37" s="29">
        <v>45.606999999999999</v>
      </c>
      <c r="F37" s="29">
        <v>0</v>
      </c>
      <c r="G37" s="29">
        <v>66.48490075264786</v>
      </c>
      <c r="H37" s="29">
        <v>59.604250000000008</v>
      </c>
      <c r="I37" s="25">
        <v>36.142382155343178</v>
      </c>
      <c r="J37" s="31">
        <v>35</v>
      </c>
      <c r="K37" t="str">
        <v/>
      </c>
    </row>
    <row r="38" spans="1:11" ht="20" customHeight="1">
      <c r="A38" s="26" t="str">
        <v>Bangladesh</v>
      </c>
      <c r="B38" s="28" t="str">
        <v>BGD</v>
      </c>
      <c r="C38" s="29">
        <v>3.9510782916984937</v>
      </c>
      <c r="D38" s="29">
        <v>12.974930352149048</v>
      </c>
      <c r="E38" s="29">
        <v>37.085500000000003</v>
      </c>
      <c r="F38" s="29">
        <v>77.2991243615173</v>
      </c>
      <c r="G38" s="29">
        <v>46.704981702541311</v>
      </c>
      <c r="H38" s="29">
        <v>44.223749999999995</v>
      </c>
      <c r="I38" s="25">
        <v>35.835973856454167</v>
      </c>
      <c r="J38" s="31">
        <v>36</v>
      </c>
      <c r="K38" t="str">
        <v/>
      </c>
    </row>
    <row r="39" spans="1:11" s="69" customFormat="1" ht="20" customHeight="1"/>
    <row r="40" spans="1:11" ht="20" customHeight="1"/>
    <row r="41" spans="1:11" ht="20" customHeight="1"/>
    <row r="42" spans="1:11" ht="20" customHeight="1"/>
    <row r="43" spans="1:11" ht="20" customHeight="1"/>
    <row r="44" spans="1:11" ht="20" customHeight="1"/>
    <row r="45" spans="1:11" ht="20" customHeight="1"/>
    <row r="46" spans="1:11" ht="20" customHeight="1"/>
    <row r="47" spans="1:11" ht="20" customHeight="1"/>
    <row r="48" spans="1:11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</sheetData>
  <mergeCells count="1">
    <mergeCell ref="A1:J1"/>
  </mergeCells>
  <conditionalFormatting sqref="C3:I38">
    <cfRule type="expression" dxfId="6" priority="1" stopIfTrue="1">
      <formula>C3="Missing"</formula>
    </cfRule>
    <cfRule type="expression" dxfId="5" priority="2" stopIfTrue="1">
      <formula>ISERROR(C3)</formula>
    </cfRule>
    <cfRule type="expression" dxfId="4" priority="3" stopIfTrue="1">
      <formula>IFERROR(C3="",FALSE)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2E32-AAD6-9D4B-B9CB-6E86784BABA5}">
  <dimension ref="A1:O99"/>
  <sheetViews>
    <sheetView tabSelected="1" zoomScaleNormal="100" workbookViewId="0">
      <selection activeCell="E13" sqref="E13"/>
    </sheetView>
  </sheetViews>
  <sheetFormatPr baseColWidth="10" defaultRowHeight="14"/>
  <cols>
    <col min="1" max="1" width="22.33203125" style="257" customWidth="1"/>
    <col min="2" max="2" width="10.83203125" style="257" customWidth="1"/>
    <col min="3" max="12" width="20.83203125" style="257" customWidth="1"/>
    <col min="13" max="16384" width="10.83203125" style="257"/>
  </cols>
  <sheetData>
    <row r="1" spans="1:15" s="204" customFormat="1" ht="50" customHeight="1">
      <c r="A1" s="204" t="s">
        <v>1050</v>
      </c>
    </row>
    <row r="2" spans="1:15" s="250" customFormat="1" ht="50" customHeight="1">
      <c r="A2" s="246" t="s">
        <v>1051</v>
      </c>
      <c r="B2" s="246"/>
      <c r="C2" s="246"/>
      <c r="D2" s="246"/>
      <c r="E2" s="247"/>
      <c r="F2" s="248"/>
      <c r="G2" s="249"/>
      <c r="H2" s="249"/>
      <c r="I2" s="249"/>
      <c r="J2" s="249"/>
    </row>
    <row r="3" spans="1:15" s="258" customFormat="1" ht="50" customHeight="1">
      <c r="A3" s="251" t="s">
        <v>496</v>
      </c>
      <c r="B3" s="252"/>
      <c r="C3" s="253"/>
      <c r="D3" s="254" t="s">
        <v>687</v>
      </c>
      <c r="E3" s="255"/>
      <c r="F3" s="256" t="s">
        <v>1052</v>
      </c>
      <c r="G3" s="256" t="s">
        <v>1053</v>
      </c>
      <c r="H3" s="256" t="s">
        <v>1054</v>
      </c>
      <c r="I3" s="256" t="s">
        <v>1055</v>
      </c>
      <c r="J3" s="256" t="s">
        <v>1056</v>
      </c>
      <c r="K3" s="256" t="s">
        <v>1057</v>
      </c>
      <c r="L3" s="257"/>
      <c r="M3" s="257"/>
      <c r="N3" s="257"/>
      <c r="O3" s="257"/>
    </row>
    <row r="4" spans="1:15" s="258" customFormat="1" ht="20" customHeight="1">
      <c r="A4" s="259" t="s">
        <v>1058</v>
      </c>
      <c r="B4" s="260"/>
      <c r="D4" s="261" t="s">
        <v>1059</v>
      </c>
      <c r="F4" s="262" t="s">
        <v>1060</v>
      </c>
      <c r="G4" s="263">
        <f>[2]INDEX!$C$2*'[2]Pillar-1'!$J$2</f>
        <v>6.9999999999999993E-2</v>
      </c>
      <c r="H4" s="264">
        <v>1</v>
      </c>
      <c r="I4" s="263">
        <f>G4*H4/SUMPRODUCT($G$4:$G$31,$H$4:$H$31)</f>
        <v>6.7453625632377723E-2</v>
      </c>
      <c r="J4" s="264">
        <v>1</v>
      </c>
      <c r="K4" s="263">
        <f>G4*J4/SUMPRODUCT($G$4:$G$31,$J$4:$J$31)</f>
        <v>6.8372729048642292E-2</v>
      </c>
    </row>
    <row r="5" spans="1:15" s="258" customFormat="1" ht="20" customHeight="1">
      <c r="A5" s="259" t="s">
        <v>1058</v>
      </c>
      <c r="B5" s="260"/>
      <c r="D5" s="261" t="s">
        <v>1061</v>
      </c>
      <c r="F5" s="262" t="s">
        <v>1062</v>
      </c>
      <c r="G5" s="263">
        <f>[2]INDEX!$C$2*'[2]Pillar-1'!$K$2</f>
        <v>0.06</v>
      </c>
      <c r="H5" s="264">
        <v>1</v>
      </c>
      <c r="I5" s="263">
        <f t="shared" ref="I5:I31" si="0">G5*H5/SUMPRODUCT($G$4:$G$31,$H$4:$H$31)</f>
        <v>5.7817393399180905E-2</v>
      </c>
      <c r="J5" s="264">
        <v>1</v>
      </c>
      <c r="K5" s="263">
        <f t="shared" ref="K5:K31" si="1">G5*J5/SUMPRODUCT($G$4:$G$31,$J$4:$J$31)</f>
        <v>5.8605196327407683E-2</v>
      </c>
    </row>
    <row r="6" spans="1:15" s="258" customFormat="1" ht="20" customHeight="1">
      <c r="A6" s="259" t="s">
        <v>1058</v>
      </c>
      <c r="B6" s="260"/>
      <c r="D6" s="261" t="s">
        <v>1063</v>
      </c>
      <c r="F6" s="262" t="s">
        <v>497</v>
      </c>
      <c r="G6" s="263">
        <f>[2]INDEX!$C$2*'[2]Pillar-1'!$L$2</f>
        <v>6.9999999999999993E-2</v>
      </c>
      <c r="H6" s="264">
        <v>1</v>
      </c>
      <c r="I6" s="263">
        <f t="shared" si="0"/>
        <v>6.7453625632377723E-2</v>
      </c>
      <c r="J6" s="264">
        <v>1</v>
      </c>
      <c r="K6" s="263">
        <f t="shared" si="1"/>
        <v>6.8372729048642292E-2</v>
      </c>
    </row>
    <row r="7" spans="1:15" s="258" customFormat="1" ht="20" customHeight="1">
      <c r="A7" s="259" t="s">
        <v>1064</v>
      </c>
      <c r="B7" s="260"/>
      <c r="D7" s="261" t="s">
        <v>1065</v>
      </c>
      <c r="F7" s="262" t="s">
        <v>1066</v>
      </c>
      <c r="G7" s="263">
        <f>[2]INDEX!$D$2*'[2]Pillar-2'!$K$2</f>
        <v>2.4E-2</v>
      </c>
      <c r="H7" s="264">
        <v>1.1000000000000001</v>
      </c>
      <c r="I7" s="263">
        <f t="shared" si="0"/>
        <v>2.5439653095639603E-2</v>
      </c>
      <c r="J7" s="264">
        <v>1</v>
      </c>
      <c r="K7" s="263">
        <f t="shared" si="1"/>
        <v>2.3442078530963074E-2</v>
      </c>
    </row>
    <row r="8" spans="1:15" s="258" customFormat="1" ht="20" customHeight="1">
      <c r="A8" s="259" t="s">
        <v>1064</v>
      </c>
      <c r="B8" s="260"/>
      <c r="D8" s="261" t="s">
        <v>1067</v>
      </c>
      <c r="F8" s="262" t="s">
        <v>1068</v>
      </c>
      <c r="G8" s="263">
        <f>[2]INDEX!$D$2*'[2]Pillar-2'!$L$2</f>
        <v>3.2000000000000001E-2</v>
      </c>
      <c r="H8" s="264">
        <v>1</v>
      </c>
      <c r="I8" s="263">
        <f t="shared" si="0"/>
        <v>3.0835943146229821E-2</v>
      </c>
      <c r="J8" s="264">
        <v>1.05</v>
      </c>
      <c r="K8" s="263">
        <f t="shared" si="1"/>
        <v>3.2818909943348309E-2</v>
      </c>
    </row>
    <row r="9" spans="1:15" s="258" customFormat="1" ht="20" customHeight="1">
      <c r="A9" s="259" t="s">
        <v>1064</v>
      </c>
      <c r="B9" s="260"/>
      <c r="D9" s="261" t="s">
        <v>1069</v>
      </c>
      <c r="F9" s="262" t="s">
        <v>1070</v>
      </c>
      <c r="G9" s="263">
        <f>[2]INDEX!$D$2*'[2]Pillar-2'!$M$2</f>
        <v>2.4E-2</v>
      </c>
      <c r="H9" s="264">
        <v>1</v>
      </c>
      <c r="I9" s="263">
        <f t="shared" si="0"/>
        <v>2.3126957359672365E-2</v>
      </c>
      <c r="J9" s="264">
        <v>1.05</v>
      </c>
      <c r="K9" s="263">
        <f t="shared" si="1"/>
        <v>2.4614182457511225E-2</v>
      </c>
    </row>
    <row r="10" spans="1:15" s="258" customFormat="1" ht="20" customHeight="1">
      <c r="A10" s="259" t="s">
        <v>1064</v>
      </c>
      <c r="B10" s="260"/>
      <c r="D10" s="261" t="s">
        <v>1071</v>
      </c>
      <c r="F10" s="262" t="s">
        <v>1072</v>
      </c>
      <c r="G10" s="263">
        <f>[2]INDEX!$D$2*'[2]Pillar-2'!$N$2</f>
        <v>2.4E-2</v>
      </c>
      <c r="H10" s="264">
        <v>1</v>
      </c>
      <c r="I10" s="263">
        <f t="shared" si="0"/>
        <v>2.3126957359672365E-2</v>
      </c>
      <c r="J10" s="264">
        <v>1</v>
      </c>
      <c r="K10" s="263">
        <f t="shared" si="1"/>
        <v>2.3442078530963074E-2</v>
      </c>
    </row>
    <row r="11" spans="1:15" s="258" customFormat="1" ht="20" customHeight="1">
      <c r="A11" s="259" t="s">
        <v>1064</v>
      </c>
      <c r="B11" s="260"/>
      <c r="D11" s="261" t="s">
        <v>1073</v>
      </c>
      <c r="F11" s="262" t="s">
        <v>1074</v>
      </c>
      <c r="G11" s="263">
        <f>[2]INDEX!$D$2*'[2]Pillar-2'!$O$2</f>
        <v>2.4E-2</v>
      </c>
      <c r="H11" s="264">
        <v>1</v>
      </c>
      <c r="I11" s="263">
        <f t="shared" si="0"/>
        <v>2.3126957359672365E-2</v>
      </c>
      <c r="J11" s="264">
        <v>1</v>
      </c>
      <c r="K11" s="263">
        <f t="shared" si="1"/>
        <v>2.3442078530963074E-2</v>
      </c>
    </row>
    <row r="12" spans="1:15" s="258" customFormat="1" ht="20" customHeight="1">
      <c r="A12" s="259" t="s">
        <v>1064</v>
      </c>
      <c r="B12" s="260"/>
      <c r="D12" s="261" t="s">
        <v>1075</v>
      </c>
      <c r="F12" s="262" t="s">
        <v>497</v>
      </c>
      <c r="G12" s="263">
        <f>[2]INDEX!$D$2*'[2]Pillar-2'!$P$2</f>
        <v>1.6E-2</v>
      </c>
      <c r="H12" s="264">
        <v>1</v>
      </c>
      <c r="I12" s="263">
        <f t="shared" si="0"/>
        <v>1.541797157311491E-2</v>
      </c>
      <c r="J12" s="264">
        <v>1</v>
      </c>
      <c r="K12" s="263">
        <f t="shared" si="1"/>
        <v>1.5628052353975384E-2</v>
      </c>
    </row>
    <row r="13" spans="1:15" s="258" customFormat="1" ht="20" customHeight="1">
      <c r="A13" s="259" t="s">
        <v>1064</v>
      </c>
      <c r="B13" s="260"/>
      <c r="D13" s="261" t="s">
        <v>1076</v>
      </c>
      <c r="F13" s="262" t="s">
        <v>1077</v>
      </c>
      <c r="G13" s="263">
        <f>[2]INDEX!$D$2*'[2]Pillar-2'!$Q$2</f>
        <v>1.6E-2</v>
      </c>
      <c r="H13" s="264">
        <v>1.1000000000000001</v>
      </c>
      <c r="I13" s="263">
        <f t="shared" si="0"/>
        <v>1.69597687304264E-2</v>
      </c>
      <c r="J13" s="264">
        <v>1</v>
      </c>
      <c r="K13" s="263">
        <f t="shared" si="1"/>
        <v>1.5628052353975384E-2</v>
      </c>
    </row>
    <row r="14" spans="1:15" s="258" customFormat="1" ht="20" customHeight="1">
      <c r="A14" s="259" t="s">
        <v>1064</v>
      </c>
      <c r="B14" s="260"/>
      <c r="D14" s="261" t="s">
        <v>1078</v>
      </c>
      <c r="F14" s="262" t="s">
        <v>1079</v>
      </c>
      <c r="G14" s="263">
        <f>[2]INDEX!$D$2*'[2]Pillar-2'!$R$2</f>
        <v>4.0000000000000008E-2</v>
      </c>
      <c r="H14" s="264">
        <v>1.2</v>
      </c>
      <c r="I14" s="263">
        <f t="shared" si="0"/>
        <v>4.6253914719344737E-2</v>
      </c>
      <c r="J14" s="264">
        <v>1.2</v>
      </c>
      <c r="K14" s="263">
        <f t="shared" si="1"/>
        <v>4.6884157061926154E-2</v>
      </c>
    </row>
    <row r="15" spans="1:15" s="258" customFormat="1" ht="20" customHeight="1">
      <c r="A15" s="259" t="s">
        <v>1080</v>
      </c>
      <c r="B15" s="260"/>
      <c r="D15" s="265" t="s">
        <v>1081</v>
      </c>
      <c r="F15" s="262" t="s">
        <v>1082</v>
      </c>
      <c r="G15" s="263">
        <f>[2]INDEX!$E$2*'[2]Pillar-3'!$H$2</f>
        <v>1.4999999999999999E-2</v>
      </c>
      <c r="H15" s="264">
        <v>1</v>
      </c>
      <c r="I15" s="263">
        <f t="shared" si="0"/>
        <v>1.4454348349795226E-2</v>
      </c>
      <c r="J15" s="264">
        <v>1</v>
      </c>
      <c r="K15" s="263">
        <f t="shared" si="1"/>
        <v>1.4651299081851921E-2</v>
      </c>
    </row>
    <row r="16" spans="1:15" s="258" customFormat="1" ht="20" customHeight="1">
      <c r="A16" s="259" t="s">
        <v>1080</v>
      </c>
      <c r="B16" s="260"/>
      <c r="D16" s="261" t="s">
        <v>1083</v>
      </c>
      <c r="F16" s="262" t="s">
        <v>1084</v>
      </c>
      <c r="G16" s="263">
        <f>[2]INDEX!$E$2*'[2]Pillar-3'!$I$2</f>
        <v>3.7499999999999999E-2</v>
      </c>
      <c r="H16" s="264">
        <v>1.05</v>
      </c>
      <c r="I16" s="263">
        <f t="shared" si="0"/>
        <v>3.7942664418212473E-2</v>
      </c>
      <c r="J16" s="264">
        <v>1</v>
      </c>
      <c r="K16" s="263">
        <f t="shared" si="1"/>
        <v>3.6628247704629802E-2</v>
      </c>
    </row>
    <row r="17" spans="1:11" s="258" customFormat="1" ht="20" customHeight="1">
      <c r="A17" s="259" t="s">
        <v>1080</v>
      </c>
      <c r="B17" s="260"/>
      <c r="D17" s="261" t="s">
        <v>1085</v>
      </c>
      <c r="F17" s="262" t="s">
        <v>1086</v>
      </c>
      <c r="G17" s="263">
        <f>[2]INDEX!$E$2*'[2]Pillar-3'!$J$2</f>
        <v>3.7499999999999999E-2</v>
      </c>
      <c r="H17" s="264">
        <v>1.05</v>
      </c>
      <c r="I17" s="263">
        <f t="shared" si="0"/>
        <v>3.7942664418212473E-2</v>
      </c>
      <c r="J17" s="264">
        <v>1.1000000000000001</v>
      </c>
      <c r="K17" s="263">
        <f t="shared" si="1"/>
        <v>4.0291072475092782E-2</v>
      </c>
    </row>
    <row r="18" spans="1:11" s="258" customFormat="1" ht="20" customHeight="1">
      <c r="A18" s="259" t="s">
        <v>1080</v>
      </c>
      <c r="B18" s="260"/>
      <c r="D18" s="261" t="s">
        <v>1087</v>
      </c>
      <c r="F18" s="262" t="s">
        <v>1088</v>
      </c>
      <c r="G18" s="263">
        <f>[2]INDEX!$E$2*'[2]Pillar-3'!$K$2</f>
        <v>0.03</v>
      </c>
      <c r="H18" s="264">
        <v>1.05</v>
      </c>
      <c r="I18" s="263">
        <f t="shared" si="0"/>
        <v>3.0354131534569978E-2</v>
      </c>
      <c r="J18" s="264">
        <v>1.05</v>
      </c>
      <c r="K18" s="263">
        <f t="shared" si="1"/>
        <v>3.0767728071889034E-2</v>
      </c>
    </row>
    <row r="19" spans="1:11" s="258" customFormat="1" ht="20" customHeight="1">
      <c r="A19" s="259" t="s">
        <v>1080</v>
      </c>
      <c r="B19" s="260"/>
      <c r="D19" s="261" t="s">
        <v>1089</v>
      </c>
      <c r="F19" s="262" t="s">
        <v>1090</v>
      </c>
      <c r="G19" s="263">
        <f>[2]INDEX!$E$2*'[2]Pillar-3'!$L$2</f>
        <v>0.03</v>
      </c>
      <c r="H19" s="264">
        <v>1</v>
      </c>
      <c r="I19" s="263">
        <f t="shared" si="0"/>
        <v>2.8908696699590453E-2</v>
      </c>
      <c r="J19" s="264">
        <v>1</v>
      </c>
      <c r="K19" s="263">
        <f t="shared" si="1"/>
        <v>2.9302598163703841E-2</v>
      </c>
    </row>
    <row r="20" spans="1:11" s="258" customFormat="1" ht="20" customHeight="1">
      <c r="A20" s="259" t="s">
        <v>1091</v>
      </c>
      <c r="B20" s="260"/>
      <c r="D20" s="261" t="s">
        <v>1092</v>
      </c>
      <c r="F20" s="262" t="s">
        <v>1093</v>
      </c>
      <c r="G20" s="263">
        <f>[2]INDEX!$F$2*'[2]Pillar-4'!$K$2</f>
        <v>4.0000000000000008E-2</v>
      </c>
      <c r="H20" s="264">
        <v>1</v>
      </c>
      <c r="I20" s="263">
        <f t="shared" si="0"/>
        <v>3.8544928932787284E-2</v>
      </c>
      <c r="J20" s="264">
        <v>1</v>
      </c>
      <c r="K20" s="263">
        <f t="shared" si="1"/>
        <v>3.9070130884938464E-2</v>
      </c>
    </row>
    <row r="21" spans="1:11" s="258" customFormat="1" ht="20" customHeight="1">
      <c r="A21" s="259" t="s">
        <v>1091</v>
      </c>
      <c r="B21" s="260"/>
      <c r="D21" s="261" t="s">
        <v>1094</v>
      </c>
      <c r="F21" s="262" t="s">
        <v>1095</v>
      </c>
      <c r="G21" s="263">
        <f>[2]INDEX!$F$2*'[2]Pillar-4'!$L$2</f>
        <v>4.0000000000000008E-2</v>
      </c>
      <c r="H21" s="264">
        <v>1</v>
      </c>
      <c r="I21" s="263">
        <f t="shared" si="0"/>
        <v>3.8544928932787284E-2</v>
      </c>
      <c r="J21" s="264">
        <v>1</v>
      </c>
      <c r="K21" s="263">
        <f t="shared" si="1"/>
        <v>3.9070130884938464E-2</v>
      </c>
    </row>
    <row r="22" spans="1:11" s="258" customFormat="1" ht="20" customHeight="1">
      <c r="A22" s="259" t="s">
        <v>1091</v>
      </c>
      <c r="B22" s="260"/>
      <c r="D22" s="261" t="s">
        <v>1096</v>
      </c>
      <c r="F22" s="262" t="s">
        <v>1097</v>
      </c>
      <c r="G22" s="263">
        <f>[2]INDEX!$F$2*'[2]Pillar-4'!$M$2</f>
        <v>0.03</v>
      </c>
      <c r="H22" s="264">
        <v>1</v>
      </c>
      <c r="I22" s="263">
        <f t="shared" si="0"/>
        <v>2.8908696699590453E-2</v>
      </c>
      <c r="J22" s="264">
        <v>1.05</v>
      </c>
      <c r="K22" s="263">
        <f t="shared" si="1"/>
        <v>3.0767728071889034E-2</v>
      </c>
    </row>
    <row r="23" spans="1:11" s="258" customFormat="1" ht="20" customHeight="1">
      <c r="A23" s="259" t="s">
        <v>1091</v>
      </c>
      <c r="B23" s="260"/>
      <c r="D23" s="261" t="s">
        <v>1098</v>
      </c>
      <c r="F23" s="262" t="s">
        <v>1099</v>
      </c>
      <c r="G23" s="263">
        <f>[2]INDEX!$F$2*'[2]Pillar-4'!$N$2</f>
        <v>4.0000000000000008E-2</v>
      </c>
      <c r="H23" s="264">
        <v>1.1000000000000001</v>
      </c>
      <c r="I23" s="263">
        <f t="shared" si="0"/>
        <v>4.2399421826066014E-2</v>
      </c>
      <c r="J23" s="264">
        <v>1.1000000000000001</v>
      </c>
      <c r="K23" s="263">
        <f t="shared" si="1"/>
        <v>4.2977143973432309E-2</v>
      </c>
    </row>
    <row r="24" spans="1:11" s="258" customFormat="1" ht="20" customHeight="1">
      <c r="A24" s="259" t="s">
        <v>1091</v>
      </c>
      <c r="B24" s="260"/>
      <c r="D24" s="261" t="s">
        <v>1100</v>
      </c>
      <c r="F24" s="262" t="s">
        <v>1101</v>
      </c>
      <c r="G24" s="263">
        <f>[2]INDEX!$F$2*'[2]Pillar-4'!$O$2</f>
        <v>0.05</v>
      </c>
      <c r="H24" s="264">
        <v>1.1000000000000001</v>
      </c>
      <c r="I24" s="263">
        <f t="shared" si="0"/>
        <v>5.299927728258251E-2</v>
      </c>
      <c r="J24" s="264">
        <v>1</v>
      </c>
      <c r="K24" s="263">
        <f t="shared" si="1"/>
        <v>4.8837663606173073E-2</v>
      </c>
    </row>
    <row r="25" spans="1:11" s="258" customFormat="1" ht="20" customHeight="1">
      <c r="A25" s="259" t="s">
        <v>1102</v>
      </c>
      <c r="B25" s="260"/>
      <c r="D25" s="261" t="s">
        <v>1103</v>
      </c>
      <c r="F25" s="262" t="s">
        <v>1104</v>
      </c>
      <c r="G25" s="263">
        <f>[2]INDEX!$G$2*'[2]Pillar-5'!$I$2</f>
        <v>4.4999999999999998E-2</v>
      </c>
      <c r="H25" s="264">
        <v>1.1000000000000001</v>
      </c>
      <c r="I25" s="263">
        <f t="shared" si="0"/>
        <v>4.7699349554324255E-2</v>
      </c>
      <c r="J25" s="264">
        <v>1</v>
      </c>
      <c r="K25" s="263">
        <f t="shared" si="1"/>
        <v>4.3953897245555762E-2</v>
      </c>
    </row>
    <row r="26" spans="1:11" s="258" customFormat="1" ht="20" customHeight="1">
      <c r="A26" s="259" t="s">
        <v>1102</v>
      </c>
      <c r="B26" s="260"/>
      <c r="D26" s="261" t="s">
        <v>1105</v>
      </c>
      <c r="F26" s="262" t="s">
        <v>1106</v>
      </c>
      <c r="G26" s="263">
        <f>[2]INDEX!$G$2*'[2]Pillar-5'!$J$2</f>
        <v>3.7499999999999999E-2</v>
      </c>
      <c r="H26" s="264">
        <v>1</v>
      </c>
      <c r="I26" s="263">
        <f t="shared" si="0"/>
        <v>3.6135870874488066E-2</v>
      </c>
      <c r="J26" s="264">
        <v>1</v>
      </c>
      <c r="K26" s="263">
        <f t="shared" si="1"/>
        <v>3.6628247704629802E-2</v>
      </c>
    </row>
    <row r="27" spans="1:11" s="258" customFormat="1" ht="20" customHeight="1">
      <c r="A27" s="259" t="s">
        <v>1102</v>
      </c>
      <c r="B27" s="260"/>
      <c r="D27" s="261" t="s">
        <v>1107</v>
      </c>
      <c r="F27" s="262" t="s">
        <v>1108</v>
      </c>
      <c r="G27" s="263">
        <f>[2]INDEX!$G$2*'[2]Pillar-5'!$K$2</f>
        <v>0.03</v>
      </c>
      <c r="H27" s="264">
        <v>1.05</v>
      </c>
      <c r="I27" s="263">
        <f t="shared" si="0"/>
        <v>3.0354131534569978E-2</v>
      </c>
      <c r="J27" s="264">
        <v>1</v>
      </c>
      <c r="K27" s="263">
        <f t="shared" si="1"/>
        <v>2.9302598163703841E-2</v>
      </c>
    </row>
    <row r="28" spans="1:11" s="258" customFormat="1" ht="20" customHeight="1">
      <c r="A28" s="259" t="s">
        <v>1102</v>
      </c>
      <c r="B28" s="260"/>
      <c r="D28" s="261" t="s">
        <v>1109</v>
      </c>
      <c r="F28" s="262" t="s">
        <v>1110</v>
      </c>
      <c r="G28" s="263">
        <f>[2]INDEX!$G$2*'[2]Pillar-5'!$L$2</f>
        <v>3.7499999999999999E-2</v>
      </c>
      <c r="H28" s="264">
        <v>1</v>
      </c>
      <c r="I28" s="263">
        <f t="shared" si="0"/>
        <v>3.6135870874488066E-2</v>
      </c>
      <c r="J28" s="264">
        <v>1</v>
      </c>
      <c r="K28" s="263">
        <f t="shared" si="1"/>
        <v>3.6628247704629802E-2</v>
      </c>
    </row>
    <row r="29" spans="1:11" s="258" customFormat="1" ht="20" customHeight="1">
      <c r="A29" s="259" t="s">
        <v>1111</v>
      </c>
      <c r="B29" s="260"/>
      <c r="D29" s="261" t="s">
        <v>1112</v>
      </c>
      <c r="F29" s="262" t="s">
        <v>1113</v>
      </c>
      <c r="G29" s="263">
        <f>[2]INDEX!$H$2*'[2]Pillar-6'!$I$2</f>
        <v>3.4999999999999996E-2</v>
      </c>
      <c r="H29" s="264">
        <v>1</v>
      </c>
      <c r="I29" s="263">
        <f t="shared" si="0"/>
        <v>3.3726812816188861E-2</v>
      </c>
      <c r="J29" s="264">
        <v>1</v>
      </c>
      <c r="K29" s="263">
        <f t="shared" si="1"/>
        <v>3.4186364524321146E-2</v>
      </c>
    </row>
    <row r="30" spans="1:11" s="258" customFormat="1" ht="20" customHeight="1">
      <c r="A30" s="259" t="s">
        <v>1111</v>
      </c>
      <c r="B30" s="260"/>
      <c r="D30" s="261" t="s">
        <v>1114</v>
      </c>
      <c r="F30" s="262" t="s">
        <v>1115</v>
      </c>
      <c r="G30" s="263">
        <f>[2]INDEX!$H$2*'[2]Pillar-6'!$K$2</f>
        <v>4.5000000000000005E-2</v>
      </c>
      <c r="H30" s="264">
        <v>1.1000000000000001</v>
      </c>
      <c r="I30" s="263">
        <f t="shared" si="0"/>
        <v>4.7699349554324262E-2</v>
      </c>
      <c r="J30" s="264">
        <v>1.05</v>
      </c>
      <c r="K30" s="263">
        <f t="shared" si="1"/>
        <v>4.615159210783356E-2</v>
      </c>
    </row>
    <row r="31" spans="1:11" s="258" customFormat="1" ht="20" customHeight="1">
      <c r="A31" s="259" t="s">
        <v>1111</v>
      </c>
      <c r="B31" s="260"/>
      <c r="D31" s="261" t="s">
        <v>1116</v>
      </c>
      <c r="F31" s="262" t="s">
        <v>1117</v>
      </c>
      <c r="G31" s="263">
        <f>[2]INDEX!$H$2*'[2]Pillar-6'!$L$2</f>
        <v>2.0000000000000004E-2</v>
      </c>
      <c r="H31" s="264">
        <v>1.05</v>
      </c>
      <c r="I31" s="263">
        <f t="shared" si="0"/>
        <v>2.0236087689713324E-2</v>
      </c>
      <c r="J31" s="264">
        <v>1</v>
      </c>
      <c r="K31" s="263">
        <f t="shared" si="1"/>
        <v>1.9535065442469232E-2</v>
      </c>
    </row>
    <row r="32" spans="1:11" s="258" customFormat="1" ht="20" customHeight="1">
      <c r="A32" s="259"/>
      <c r="B32" s="260"/>
      <c r="C32" s="266"/>
      <c r="D32" s="259"/>
      <c r="E32" s="267" t="s">
        <v>1118</v>
      </c>
      <c r="G32" s="268">
        <f>SUM(G4:G31)</f>
        <v>1.0000000000000004</v>
      </c>
      <c r="I32" s="269">
        <f>SUM(I4:I31)</f>
        <v>0.99999999999999989</v>
      </c>
      <c r="K32" s="269">
        <f>SUM(K4:K31)</f>
        <v>0.99999999999999978</v>
      </c>
    </row>
    <row r="33" spans="1:11" s="258" customFormat="1" ht="20" customHeight="1">
      <c r="C33" s="266"/>
      <c r="E33" s="262"/>
      <c r="F33" s="262"/>
      <c r="G33" s="262"/>
      <c r="H33" s="263"/>
    </row>
    <row r="34" spans="1:11" s="258" customFormat="1" ht="20" customHeight="1">
      <c r="C34" s="266"/>
      <c r="E34" s="262"/>
      <c r="F34" s="262"/>
      <c r="G34" s="262"/>
      <c r="H34" s="263"/>
    </row>
    <row r="35" spans="1:11" ht="50" customHeight="1">
      <c r="A35" s="270" t="s">
        <v>2</v>
      </c>
      <c r="B35" s="270" t="s">
        <v>443</v>
      </c>
      <c r="C35" s="271" t="s">
        <v>1119</v>
      </c>
      <c r="D35" s="271" t="s">
        <v>1120</v>
      </c>
      <c r="E35" s="256" t="s">
        <v>1121</v>
      </c>
      <c r="F35" s="256" t="s">
        <v>1122</v>
      </c>
      <c r="G35" s="256" t="s">
        <v>1123</v>
      </c>
      <c r="H35" s="256" t="s">
        <v>1124</v>
      </c>
      <c r="I35" s="256" t="s">
        <v>1125</v>
      </c>
      <c r="J35" s="256" t="s">
        <v>1126</v>
      </c>
      <c r="K35" s="256" t="s">
        <v>1127</v>
      </c>
    </row>
    <row r="36" spans="1:11" s="258" customFormat="1" ht="20" customHeight="1">
      <c r="A36" s="258" t="s">
        <v>42</v>
      </c>
      <c r="B36" s="266" t="s">
        <v>43</v>
      </c>
      <c r="C36" s="272">
        <f>_xlfn.XLOOKUP($B36,[3]INDEX!$B$4:$B$39,[3]INDEX!$I$4:$I$39,"")</f>
        <v>63.028005061160194</v>
      </c>
      <c r="D36" s="262">
        <f>_xlfn.XLOOKUP($B36,[3]INDEX!$B$4:$B$39,[3]INDEX!$J$4:$J$39,"")</f>
        <v>6</v>
      </c>
      <c r="E36" s="272">
        <f>IFERROR(_xlfn.LET(_xlpm.iso,$B36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62.473413542213251</v>
      </c>
      <c r="F36" s="262">
        <f>IF(E36="","",_xlfn.RANK.EQ(E36,$E$36:$E$71,0))</f>
        <v>7</v>
      </c>
      <c r="G36" s="272">
        <f>IF(E36="","",E36-C36)</f>
        <v>-0.55459151894694259</v>
      </c>
      <c r="H36" s="262">
        <f>IF(F36="","",D36-F36)</f>
        <v>-1</v>
      </c>
      <c r="I36" s="272">
        <f>IFERROR(_xlfn.LET(_xlpm.iso,$B36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62.558096312121819</v>
      </c>
      <c r="J36" s="262">
        <f>IF(I36="","",_xlfn.RANK.EQ(I36,$I$36:$I$71,0))</f>
        <v>7</v>
      </c>
      <c r="K36" s="262">
        <f>IF(J36="","",D36-J36)</f>
        <v>-1</v>
      </c>
    </row>
    <row r="37" spans="1:11" s="258" customFormat="1" ht="20" customHeight="1">
      <c r="A37" s="258" t="s">
        <v>56</v>
      </c>
      <c r="B37" s="266" t="s">
        <v>57</v>
      </c>
      <c r="C37" s="272">
        <f>_xlfn.XLOOKUP($B37,[3]INDEX!$B$4:$B$39,[3]INDEX!$I$4:$I$39,"")</f>
        <v>35.835973856454167</v>
      </c>
      <c r="D37" s="262">
        <f>_xlfn.XLOOKUP($B37,[3]INDEX!$B$4:$B$39,[3]INDEX!$J$4:$J$39,"")</f>
        <v>36</v>
      </c>
      <c r="E37" s="272">
        <f>IFERROR(_xlfn.LET(_xlpm.iso,$B37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35.910615713603633</v>
      </c>
      <c r="F37" s="262">
        <f t="shared" ref="F37:F71" si="2">IF(E37="","",_xlfn.RANK.EQ(E37,$E$36:$E$71,0))</f>
        <v>35</v>
      </c>
      <c r="G37" s="272">
        <f t="shared" ref="G37:G71" si="3">IF(E37="","",E37-C37)</f>
        <v>7.4641857149465807E-2</v>
      </c>
      <c r="H37" s="262">
        <f t="shared" ref="H37:H71" si="4">IF(F37="","",D37-F37)</f>
        <v>1</v>
      </c>
      <c r="I37" s="272">
        <f>IFERROR(_xlfn.LET(_xlpm.iso,$B37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35.804634591650697</v>
      </c>
      <c r="J37" s="262">
        <f>IF(I37="","",_xlfn.RANK.EQ(I37,$I$36:$I$71,0))</f>
        <v>36</v>
      </c>
      <c r="K37" s="262">
        <f>IF(J37="","",D37-J37)</f>
        <v>0</v>
      </c>
    </row>
    <row r="38" spans="1:11" s="258" customFormat="1" ht="20" customHeight="1">
      <c r="A38" s="258" t="s">
        <v>64</v>
      </c>
      <c r="B38" s="266" t="s">
        <v>65</v>
      </c>
      <c r="C38" s="272">
        <f>_xlfn.XLOOKUP($B38,[3]INDEX!$B$4:$B$39,[3]INDEX!$I$4:$I$39,"")</f>
        <v>36.142382155343178</v>
      </c>
      <c r="D38" s="262">
        <f>_xlfn.XLOOKUP($B38,[3]INDEX!$B$4:$B$39,[3]INDEX!$J$4:$J$39,"")</f>
        <v>35</v>
      </c>
      <c r="E38" s="272">
        <f>IFERROR(_xlfn.LET(_xlpm.iso,$B38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35.689198510195702</v>
      </c>
      <c r="F38" s="262">
        <f t="shared" si="2"/>
        <v>36</v>
      </c>
      <c r="G38" s="272">
        <f t="shared" si="3"/>
        <v>-0.453183645147476</v>
      </c>
      <c r="H38" s="262">
        <f t="shared" si="4"/>
        <v>-1</v>
      </c>
      <c r="I38" s="272">
        <f>IFERROR(_xlfn.LET(_xlpm.iso,$B38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35.854068455899672</v>
      </c>
      <c r="J38" s="262">
        <f>IF(I38="","",_xlfn.RANK.EQ(I38,$I$36:$I$71,0))</f>
        <v>35</v>
      </c>
      <c r="K38" s="262">
        <f>IF(J38="","",D38-J38)</f>
        <v>0</v>
      </c>
    </row>
    <row r="39" spans="1:11" s="258" customFormat="1" ht="20" customHeight="1">
      <c r="A39" s="258" t="s">
        <v>74</v>
      </c>
      <c r="B39" s="266" t="s">
        <v>75</v>
      </c>
      <c r="C39" s="272">
        <f>_xlfn.XLOOKUP($B39,[3]INDEX!$B$4:$B$39,[3]INDEX!$I$4:$I$39,"")</f>
        <v>64.650458401743364</v>
      </c>
      <c r="D39" s="262">
        <f>_xlfn.XLOOKUP($B39,[3]INDEX!$B$4:$B$39,[3]INDEX!$J$4:$J$39,"")</f>
        <v>5</v>
      </c>
      <c r="E39" s="272">
        <f>IFERROR(_xlfn.LET(_xlpm.iso,$B39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63.893083197713302</v>
      </c>
      <c r="F39" s="262">
        <f t="shared" si="2"/>
        <v>5</v>
      </c>
      <c r="G39" s="272">
        <f t="shared" si="3"/>
        <v>-0.75737520403006187</v>
      </c>
      <c r="H39" s="262">
        <f t="shared" si="4"/>
        <v>0</v>
      </c>
      <c r="I39" s="272">
        <f>IFERROR(_xlfn.LET(_xlpm.iso,$B39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64.20884103826188</v>
      </c>
      <c r="J39" s="262">
        <f>IF(I39="","",_xlfn.RANK.EQ(I39,$I$36:$I$71,0))</f>
        <v>5</v>
      </c>
      <c r="K39" s="262">
        <f>IF(J39="","",D39-J39)</f>
        <v>0</v>
      </c>
    </row>
    <row r="40" spans="1:11" s="258" customFormat="1" ht="20" customHeight="1">
      <c r="A40" s="258" t="s">
        <v>58</v>
      </c>
      <c r="B40" s="266" t="s">
        <v>59</v>
      </c>
      <c r="C40" s="272">
        <f>_xlfn.XLOOKUP($B40,[3]INDEX!$B$4:$B$39,[3]INDEX!$I$4:$I$39,"")</f>
        <v>57.302979627028883</v>
      </c>
      <c r="D40" s="262">
        <f>_xlfn.XLOOKUP($B40,[3]INDEX!$B$4:$B$39,[3]INDEX!$J$4:$J$39,"")</f>
        <v>11</v>
      </c>
      <c r="E40" s="272">
        <f>IFERROR(_xlfn.LET(_xlpm.iso,$B40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56.594005692727578</v>
      </c>
      <c r="F40" s="262">
        <f t="shared" si="2"/>
        <v>12</v>
      </c>
      <c r="G40" s="272">
        <f t="shared" si="3"/>
        <v>-0.70897393430130506</v>
      </c>
      <c r="H40" s="262">
        <f t="shared" si="4"/>
        <v>-1</v>
      </c>
      <c r="I40" s="272">
        <f>IFERROR(_xlfn.LET(_xlpm.iso,$B40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57.033994628946722</v>
      </c>
      <c r="J40" s="262">
        <f>IF(I40="","",_xlfn.RANK.EQ(I40,$I$36:$I$71,0))</f>
        <v>11</v>
      </c>
      <c r="K40" s="262">
        <f>IF(J40="","",D40-J40)</f>
        <v>0</v>
      </c>
    </row>
    <row r="41" spans="1:11" s="258" customFormat="1" ht="20" customHeight="1">
      <c r="A41" s="258" t="s">
        <v>218</v>
      </c>
      <c r="B41" s="266" t="s">
        <v>219</v>
      </c>
      <c r="C41" s="272">
        <f>_xlfn.XLOOKUP($B41,[3]INDEX!$B$4:$B$39,[3]INDEX!$I$4:$I$39,"")</f>
        <v>49.013545384003486</v>
      </c>
      <c r="D41" s="262">
        <f>_xlfn.XLOOKUP($B41,[3]INDEX!$B$4:$B$39,[3]INDEX!$J$4:$J$39,"")</f>
        <v>20</v>
      </c>
      <c r="E41" s="272">
        <f>IFERROR(_xlfn.LET(_xlpm.iso,$B41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48.871831755778189</v>
      </c>
      <c r="F41" s="262">
        <f t="shared" si="2"/>
        <v>20</v>
      </c>
      <c r="G41" s="272">
        <f t="shared" si="3"/>
        <v>-0.14171362822529687</v>
      </c>
      <c r="H41" s="262">
        <f t="shared" si="4"/>
        <v>0</v>
      </c>
      <c r="I41" s="272">
        <f>IFERROR(_xlfn.LET(_xlpm.iso,$B41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48.844807100906316</v>
      </c>
      <c r="J41" s="262">
        <f>IF(I41="","",_xlfn.RANK.EQ(I41,$I$36:$I$71,0))</f>
        <v>20</v>
      </c>
      <c r="K41" s="262">
        <f>IF(J41="","",D41-J41)</f>
        <v>0</v>
      </c>
    </row>
    <row r="42" spans="1:11" s="258" customFormat="1" ht="20" customHeight="1">
      <c r="A42" s="258" t="s">
        <v>86</v>
      </c>
      <c r="B42" s="266" t="s">
        <v>87</v>
      </c>
      <c r="C42" s="272">
        <f>_xlfn.XLOOKUP($B42,[3]INDEX!$B$4:$B$39,[3]INDEX!$I$4:$I$39,"")</f>
        <v>66.630184481599045</v>
      </c>
      <c r="D42" s="262">
        <f>_xlfn.XLOOKUP($B42,[3]INDEX!$B$4:$B$39,[3]INDEX!$J$4:$J$39,"")</f>
        <v>3</v>
      </c>
      <c r="E42" s="272">
        <f>IFERROR(_xlfn.LET(_xlpm.iso,$B42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66.504603504846614</v>
      </c>
      <c r="F42" s="262">
        <f t="shared" si="2"/>
        <v>3</v>
      </c>
      <c r="G42" s="272">
        <f t="shared" si="3"/>
        <v>-0.12558097675243118</v>
      </c>
      <c r="H42" s="262">
        <f t="shared" si="4"/>
        <v>0</v>
      </c>
      <c r="I42" s="272">
        <f>IFERROR(_xlfn.LET(_xlpm.iso,$B42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66.664621161234805</v>
      </c>
      <c r="J42" s="262">
        <f>IF(I42="","",_xlfn.RANK.EQ(I42,$I$36:$I$71,0))</f>
        <v>3</v>
      </c>
      <c r="K42" s="262">
        <f>IF(J42="","",D42-J42)</f>
        <v>0</v>
      </c>
    </row>
    <row r="43" spans="1:11" s="258" customFormat="1" ht="20" customHeight="1">
      <c r="A43" s="258" t="s">
        <v>90</v>
      </c>
      <c r="B43" s="266" t="s">
        <v>91</v>
      </c>
      <c r="C43" s="272">
        <f>_xlfn.XLOOKUP($B43,[3]INDEX!$B$4:$B$39,[3]INDEX!$I$4:$I$39,"")</f>
        <v>76.456820540174689</v>
      </c>
      <c r="D43" s="262">
        <f>_xlfn.XLOOKUP($B43,[3]INDEX!$B$4:$B$39,[3]INDEX!$J$4:$J$39,"")</f>
        <v>1</v>
      </c>
      <c r="E43" s="272">
        <f>IFERROR(_xlfn.LET(_xlpm.iso,$B43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76.400299930931681</v>
      </c>
      <c r="F43" s="262">
        <f t="shared" si="2"/>
        <v>1</v>
      </c>
      <c r="G43" s="272">
        <f t="shared" si="3"/>
        <v>-5.6520609243008835E-2</v>
      </c>
      <c r="H43" s="262">
        <f t="shared" si="4"/>
        <v>0</v>
      </c>
      <c r="I43" s="272">
        <f>IFERROR(_xlfn.LET(_xlpm.iso,$B43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76.685524422611692</v>
      </c>
      <c r="J43" s="262">
        <f>IF(I43="","",_xlfn.RANK.EQ(I43,$I$36:$I$71,0))</f>
        <v>1</v>
      </c>
      <c r="K43" s="262">
        <f>IF(J43="","",D43-J43)</f>
        <v>0</v>
      </c>
    </row>
    <row r="44" spans="1:11" s="258" customFormat="1" ht="20" customHeight="1">
      <c r="A44" s="258" t="s">
        <v>92</v>
      </c>
      <c r="B44" s="266" t="s">
        <v>93</v>
      </c>
      <c r="C44" s="272">
        <f>_xlfn.XLOOKUP($B44,[3]INDEX!$B$4:$B$39,[3]INDEX!$I$4:$I$39,"")</f>
        <v>56.080554957218574</v>
      </c>
      <c r="D44" s="262">
        <f>_xlfn.XLOOKUP($B44,[3]INDEX!$B$4:$B$39,[3]INDEX!$J$4:$J$39,"")</f>
        <v>13</v>
      </c>
      <c r="E44" s="272">
        <f>IFERROR(_xlfn.LET(_xlpm.iso,$B44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55.749367937464243</v>
      </c>
      <c r="F44" s="262">
        <f t="shared" si="2"/>
        <v>13</v>
      </c>
      <c r="G44" s="272">
        <f t="shared" si="3"/>
        <v>-0.3311870197543314</v>
      </c>
      <c r="H44" s="262">
        <f t="shared" si="4"/>
        <v>0</v>
      </c>
      <c r="I44" s="272">
        <f>IFERROR(_xlfn.LET(_xlpm.iso,$B44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55.570232081496684</v>
      </c>
      <c r="J44" s="262">
        <f>IF(I44="","",_xlfn.RANK.EQ(I44,$I$36:$I$71,0))</f>
        <v>13</v>
      </c>
      <c r="K44" s="262">
        <f>IF(J44="","",D44-J44)</f>
        <v>0</v>
      </c>
    </row>
    <row r="45" spans="1:11" s="258" customFormat="1" ht="20" customHeight="1">
      <c r="A45" s="258" t="s">
        <v>474</v>
      </c>
      <c r="B45" s="266" t="s">
        <v>118</v>
      </c>
      <c r="C45" s="272">
        <f>_xlfn.XLOOKUP($B45,[3]INDEX!$B$4:$B$39,[3]INDEX!$I$4:$I$39,"")</f>
        <v>51.304522023101846</v>
      </c>
      <c r="D45" s="262">
        <f>_xlfn.XLOOKUP($B45,[3]INDEX!$B$4:$B$39,[3]INDEX!$J$4:$J$39,"")</f>
        <v>19</v>
      </c>
      <c r="E45" s="272">
        <f>IFERROR(_xlfn.LET(_xlpm.iso,$B45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51.472191285481486</v>
      </c>
      <c r="F45" s="262">
        <f t="shared" si="2"/>
        <v>18</v>
      </c>
      <c r="G45" s="272">
        <f t="shared" si="3"/>
        <v>0.16766926237963986</v>
      </c>
      <c r="H45" s="262">
        <f t="shared" si="4"/>
        <v>1</v>
      </c>
      <c r="I45" s="272">
        <f>IFERROR(_xlfn.LET(_xlpm.iso,$B45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51.61815981940012</v>
      </c>
      <c r="J45" s="262">
        <f>IF(I45="","",_xlfn.RANK.EQ(I45,$I$36:$I$71,0))</f>
        <v>18</v>
      </c>
      <c r="K45" s="262">
        <f>IF(J45="","",D45-J45)</f>
        <v>1</v>
      </c>
    </row>
    <row r="46" spans="1:11" s="258" customFormat="1" ht="20" customHeight="1">
      <c r="A46" s="258" t="s">
        <v>127</v>
      </c>
      <c r="B46" s="266" t="s">
        <v>128</v>
      </c>
      <c r="C46" s="272">
        <f>_xlfn.XLOOKUP($B46,[3]INDEX!$B$4:$B$39,[3]INDEX!$I$4:$I$39,"")</f>
        <v>43.719634666945737</v>
      </c>
      <c r="D46" s="262">
        <f>_xlfn.XLOOKUP($B46,[3]INDEX!$B$4:$B$39,[3]INDEX!$J$4:$J$39,"")</f>
        <v>27</v>
      </c>
      <c r="E46" s="272">
        <f>IFERROR(_xlfn.LET(_xlpm.iso,$B46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43.622287821671634</v>
      </c>
      <c r="F46" s="262">
        <f t="shared" si="2"/>
        <v>27</v>
      </c>
      <c r="G46" s="272">
        <f t="shared" si="3"/>
        <v>-9.7346845274103089E-2</v>
      </c>
      <c r="H46" s="262">
        <f t="shared" si="4"/>
        <v>0</v>
      </c>
      <c r="I46" s="272">
        <f>IFERROR(_xlfn.LET(_xlpm.iso,$B46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43.649823859099165</v>
      </c>
      <c r="J46" s="262">
        <f>IF(I46="","",_xlfn.RANK.EQ(I46,$I$36:$I$71,0))</f>
        <v>27</v>
      </c>
      <c r="K46" s="262">
        <f>IF(J46="","",D46-J46)</f>
        <v>0</v>
      </c>
    </row>
    <row r="47" spans="1:11" s="258" customFormat="1" ht="20" customHeight="1">
      <c r="A47" s="258" t="s">
        <v>119</v>
      </c>
      <c r="B47" s="266" t="s">
        <v>120</v>
      </c>
      <c r="C47" s="272">
        <f>_xlfn.XLOOKUP($B47,[3]INDEX!$B$4:$B$39,[3]INDEX!$I$4:$I$39,"")</f>
        <v>75.331120477972661</v>
      </c>
      <c r="D47" s="262">
        <f>_xlfn.XLOOKUP($B47,[3]INDEX!$B$4:$B$39,[3]INDEX!$J$4:$J$39,"")</f>
        <v>2</v>
      </c>
      <c r="E47" s="272">
        <f>IFERROR(_xlfn.LET(_xlpm.iso,$B47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75.099738988894785</v>
      </c>
      <c r="F47" s="262">
        <f t="shared" si="2"/>
        <v>2</v>
      </c>
      <c r="G47" s="272">
        <f t="shared" si="3"/>
        <v>-0.23138148907787581</v>
      </c>
      <c r="H47" s="262">
        <f t="shared" si="4"/>
        <v>0</v>
      </c>
      <c r="I47" s="272">
        <f>IFERROR(_xlfn.LET(_xlpm.iso,$B47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75.461093800044878</v>
      </c>
      <c r="J47" s="262">
        <f>IF(I47="","",_xlfn.RANK.EQ(I47,$I$36:$I$71,0))</f>
        <v>2</v>
      </c>
      <c r="K47" s="262">
        <f>IF(J47="","",D47-J47)</f>
        <v>0</v>
      </c>
    </row>
    <row r="48" spans="1:11" s="258" customFormat="1" ht="20" customHeight="1">
      <c r="A48" s="258" t="s">
        <v>476</v>
      </c>
      <c r="B48" s="266" t="s">
        <v>180</v>
      </c>
      <c r="C48" s="272">
        <f>_xlfn.XLOOKUP($B48,[3]INDEX!$B$4:$B$39,[3]INDEX!$I$4:$I$39,"")</f>
        <v>48.284898553798406</v>
      </c>
      <c r="D48" s="262">
        <f>_xlfn.XLOOKUP($B48,[3]INDEX!$B$4:$B$39,[3]INDEX!$J$4:$J$39,"")</f>
        <v>21</v>
      </c>
      <c r="E48" s="272">
        <f>IFERROR(_xlfn.LET(_xlpm.iso,$B48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48.707864135080072</v>
      </c>
      <c r="F48" s="262">
        <f t="shared" si="2"/>
        <v>21</v>
      </c>
      <c r="G48" s="272">
        <f t="shared" si="3"/>
        <v>0.42296558128166595</v>
      </c>
      <c r="H48" s="262">
        <f t="shared" si="4"/>
        <v>0</v>
      </c>
      <c r="I48" s="272">
        <f>IFERROR(_xlfn.LET(_xlpm.iso,$B48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48.629282871457697</v>
      </c>
      <c r="J48" s="262">
        <f>IF(I48="","",_xlfn.RANK.EQ(I48,$I$36:$I$71,0))</f>
        <v>21</v>
      </c>
      <c r="K48" s="262">
        <f>IF(J48="","",D48-J48)</f>
        <v>0</v>
      </c>
    </row>
    <row r="49" spans="1:11" s="258" customFormat="1" ht="20" customHeight="1">
      <c r="A49" s="258" t="s">
        <v>191</v>
      </c>
      <c r="B49" s="266" t="s">
        <v>192</v>
      </c>
      <c r="C49" s="272">
        <f>_xlfn.XLOOKUP($B49,[3]INDEX!$B$4:$B$39,[3]INDEX!$I$4:$I$39,"")</f>
        <v>47.952595901455837</v>
      </c>
      <c r="D49" s="262">
        <f>_xlfn.XLOOKUP($B49,[3]INDEX!$B$4:$B$39,[3]INDEX!$J$4:$J$39,"")</f>
        <v>23</v>
      </c>
      <c r="E49" s="272">
        <f>IFERROR(_xlfn.LET(_xlpm.iso,$B49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47.68681934134861</v>
      </c>
      <c r="F49" s="262">
        <f t="shared" si="2"/>
        <v>23</v>
      </c>
      <c r="G49" s="272">
        <f t="shared" si="3"/>
        <v>-0.26577656010722706</v>
      </c>
      <c r="H49" s="262">
        <f t="shared" si="4"/>
        <v>0</v>
      </c>
      <c r="I49" s="272">
        <f>IFERROR(_xlfn.LET(_xlpm.iso,$B49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47.770537559943513</v>
      </c>
      <c r="J49" s="262">
        <f>IF(I49="","",_xlfn.RANK.EQ(I49,$I$36:$I$71,0))</f>
        <v>23</v>
      </c>
      <c r="K49" s="262">
        <f>IF(J49="","",D49-J49)</f>
        <v>0</v>
      </c>
    </row>
    <row r="50" spans="1:11" s="258" customFormat="1" ht="20" customHeight="1">
      <c r="A50" s="258" t="s">
        <v>189</v>
      </c>
      <c r="B50" s="266" t="s">
        <v>190</v>
      </c>
      <c r="C50" s="272">
        <f>_xlfn.XLOOKUP($B50,[3]INDEX!$B$4:$B$39,[3]INDEX!$I$4:$I$39,"")</f>
        <v>48.056860397797905</v>
      </c>
      <c r="D50" s="262">
        <f>_xlfn.XLOOKUP($B50,[3]INDEX!$B$4:$B$39,[3]INDEX!$J$4:$J$39,"")</f>
        <v>22</v>
      </c>
      <c r="E50" s="272">
        <f>IFERROR(_xlfn.LET(_xlpm.iso,$B50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47.94368794219848</v>
      </c>
      <c r="F50" s="262">
        <f t="shared" si="2"/>
        <v>22</v>
      </c>
      <c r="G50" s="272">
        <f t="shared" si="3"/>
        <v>-0.11317245559942535</v>
      </c>
      <c r="H50" s="262">
        <f t="shared" si="4"/>
        <v>0</v>
      </c>
      <c r="I50" s="272">
        <f>IFERROR(_xlfn.LET(_xlpm.iso,$B50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48.019914440830583</v>
      </c>
      <c r="J50" s="262">
        <f>IF(I50="","",_xlfn.RANK.EQ(I50,$I$36:$I$71,0))</f>
        <v>22</v>
      </c>
      <c r="K50" s="262">
        <f>IF(J50="","",D50-J50)</f>
        <v>0</v>
      </c>
    </row>
    <row r="51" spans="1:11" s="258" customFormat="1" ht="20" customHeight="1">
      <c r="A51" s="258" t="s">
        <v>211</v>
      </c>
      <c r="B51" s="266" t="s">
        <v>212</v>
      </c>
      <c r="C51" s="272">
        <f>_xlfn.XLOOKUP($B51,[3]INDEX!$B$4:$B$39,[3]INDEX!$I$4:$I$39,"")</f>
        <v>57.520220600505311</v>
      </c>
      <c r="D51" s="262">
        <f>_xlfn.XLOOKUP($B51,[3]INDEX!$B$4:$B$39,[3]INDEX!$J$4:$J$39,"")</f>
        <v>10</v>
      </c>
      <c r="E51" s="272">
        <f>IFERROR(_xlfn.LET(_xlpm.iso,$B51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57.790427740619108</v>
      </c>
      <c r="F51" s="262">
        <f t="shared" si="2"/>
        <v>10</v>
      </c>
      <c r="G51" s="272">
        <f t="shared" si="3"/>
        <v>0.2702071401137971</v>
      </c>
      <c r="H51" s="262">
        <f t="shared" si="4"/>
        <v>0</v>
      </c>
      <c r="I51" s="272">
        <f>IFERROR(_xlfn.LET(_xlpm.iso,$B51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57.294490007779416</v>
      </c>
      <c r="J51" s="262">
        <f>IF(I51="","",_xlfn.RANK.EQ(I51,$I$36:$I$71,0))</f>
        <v>10</v>
      </c>
      <c r="K51" s="262">
        <f>IF(J51="","",D51-J51)</f>
        <v>0</v>
      </c>
    </row>
    <row r="52" spans="1:11" s="258" customFormat="1" ht="20" customHeight="1">
      <c r="A52" s="258" t="s">
        <v>213</v>
      </c>
      <c r="B52" s="266" t="s">
        <v>214</v>
      </c>
      <c r="C52" s="272">
        <f>_xlfn.XLOOKUP($B52,[3]INDEX!$B$4:$B$39,[3]INDEX!$I$4:$I$39,"")</f>
        <v>43.387671935536424</v>
      </c>
      <c r="D52" s="262">
        <f>_xlfn.XLOOKUP($B52,[3]INDEX!$B$4:$B$39,[3]INDEX!$J$4:$J$39,"")</f>
        <v>28</v>
      </c>
      <c r="E52" s="272">
        <f>IFERROR(_xlfn.LET(_xlpm.iso,$B52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43.313516104652095</v>
      </c>
      <c r="F52" s="262">
        <f t="shared" si="2"/>
        <v>28</v>
      </c>
      <c r="G52" s="272">
        <f t="shared" si="3"/>
        <v>-7.4155830884329532E-2</v>
      </c>
      <c r="H52" s="262">
        <f t="shared" si="4"/>
        <v>0</v>
      </c>
      <c r="I52" s="272">
        <f>IFERROR(_xlfn.LET(_xlpm.iso,$B52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43.333609328473337</v>
      </c>
      <c r="J52" s="262">
        <f>IF(I52="","",_xlfn.RANK.EQ(I52,$I$36:$I$71,0))</f>
        <v>28</v>
      </c>
      <c r="K52" s="262">
        <f>IF(J52="","",D52-J52)</f>
        <v>0</v>
      </c>
    </row>
    <row r="53" spans="1:11" s="258" customFormat="1" ht="20" customHeight="1">
      <c r="A53" s="258" t="s">
        <v>857</v>
      </c>
      <c r="B53" s="266" t="s">
        <v>227</v>
      </c>
      <c r="C53" s="272">
        <f>_xlfn.XLOOKUP($B53,[3]INDEX!$B$4:$B$39,[3]INDEX!$I$4:$I$39,"")</f>
        <v>45.789957300419907</v>
      </c>
      <c r="D53" s="262">
        <f>_xlfn.XLOOKUP($B53,[3]INDEX!$B$4:$B$39,[3]INDEX!$J$4:$J$39,"")</f>
        <v>26</v>
      </c>
      <c r="E53" s="272">
        <f>IFERROR(_xlfn.LET(_xlpm.iso,$B53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45.412899839842936</v>
      </c>
      <c r="F53" s="262">
        <f t="shared" si="2"/>
        <v>26</v>
      </c>
      <c r="G53" s="272">
        <f t="shared" si="3"/>
        <v>-0.37705746057697098</v>
      </c>
      <c r="H53" s="262">
        <f t="shared" si="4"/>
        <v>0</v>
      </c>
      <c r="I53" s="272">
        <f>IFERROR(_xlfn.LET(_xlpm.iso,$B53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45.451803156903139</v>
      </c>
      <c r="J53" s="262">
        <f>IF(I53="","",_xlfn.RANK.EQ(I53,$I$36:$I$71,0))</f>
        <v>26</v>
      </c>
      <c r="K53" s="262">
        <f>IF(J53="","",D53-J53)</f>
        <v>0</v>
      </c>
    </row>
    <row r="54" spans="1:11" s="258" customFormat="1" ht="20" customHeight="1">
      <c r="A54" s="258" t="s">
        <v>286</v>
      </c>
      <c r="B54" s="266" t="s">
        <v>287</v>
      </c>
      <c r="C54" s="272">
        <f>_xlfn.XLOOKUP($B54,[3]INDEX!$B$4:$B$39,[3]INDEX!$I$4:$I$39,"")</f>
        <v>54.846473902277928</v>
      </c>
      <c r="D54" s="262">
        <f>_xlfn.XLOOKUP($B54,[3]INDEX!$B$4:$B$39,[3]INDEX!$J$4:$J$39,"")</f>
        <v>15</v>
      </c>
      <c r="E54" s="272">
        <f>IFERROR(_xlfn.LET(_xlpm.iso,$B54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55.233265372282943</v>
      </c>
      <c r="F54" s="262">
        <f t="shared" si="2"/>
        <v>14</v>
      </c>
      <c r="G54" s="272">
        <f t="shared" si="3"/>
        <v>0.38679147000501501</v>
      </c>
      <c r="H54" s="262">
        <f t="shared" si="4"/>
        <v>1</v>
      </c>
      <c r="I54" s="272">
        <f>IFERROR(_xlfn.LET(_xlpm.iso,$B54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55.403328879802224</v>
      </c>
      <c r="J54" s="262">
        <f>IF(I54="","",_xlfn.RANK.EQ(I54,$I$36:$I$71,0))</f>
        <v>14</v>
      </c>
      <c r="K54" s="262">
        <f>IF(J54="","",D54-J54)</f>
        <v>1</v>
      </c>
    </row>
    <row r="55" spans="1:11" s="258" customFormat="1" ht="20" customHeight="1">
      <c r="A55" s="258" t="s">
        <v>260</v>
      </c>
      <c r="B55" s="266" t="s">
        <v>261</v>
      </c>
      <c r="C55" s="272">
        <f>_xlfn.XLOOKUP($B55,[3]INDEX!$B$4:$B$39,[3]INDEX!$I$4:$I$39,"")</f>
        <v>53.653541112442582</v>
      </c>
      <c r="D55" s="262">
        <f>_xlfn.XLOOKUP($B55,[3]INDEX!$B$4:$B$39,[3]INDEX!$J$4:$J$39,"")</f>
        <v>17</v>
      </c>
      <c r="E55" s="272">
        <f>IFERROR(_xlfn.LET(_xlpm.iso,$B55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53.34012455560439</v>
      </c>
      <c r="F55" s="262">
        <f t="shared" si="2"/>
        <v>17</v>
      </c>
      <c r="G55" s="272">
        <f t="shared" si="3"/>
        <v>-0.3134165568381917</v>
      </c>
      <c r="H55" s="262">
        <f t="shared" si="4"/>
        <v>0</v>
      </c>
      <c r="I55" s="272">
        <f>IFERROR(_xlfn.LET(_xlpm.iso,$B55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53.450669931235652</v>
      </c>
      <c r="J55" s="262">
        <f>IF(I55="","",_xlfn.RANK.EQ(I55,$I$36:$I$71,0))</f>
        <v>17</v>
      </c>
      <c r="K55" s="262">
        <f>IF(J55="","",D55-J55)</f>
        <v>0</v>
      </c>
    </row>
    <row r="56" spans="1:11" s="258" customFormat="1" ht="20" customHeight="1">
      <c r="A56" s="258" t="s">
        <v>274</v>
      </c>
      <c r="B56" s="266" t="s">
        <v>275</v>
      </c>
      <c r="C56" s="272">
        <f>_xlfn.XLOOKUP($B56,[3]INDEX!$B$4:$B$39,[3]INDEX!$I$4:$I$39,"")</f>
        <v>39.448092884826892</v>
      </c>
      <c r="D56" s="262">
        <f>_xlfn.XLOOKUP($B56,[3]INDEX!$B$4:$B$39,[3]INDEX!$J$4:$J$39,"")</f>
        <v>33</v>
      </c>
      <c r="E56" s="272">
        <f>IFERROR(_xlfn.LET(_xlpm.iso,$B56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39.566727814486235</v>
      </c>
      <c r="F56" s="262">
        <f t="shared" si="2"/>
        <v>33</v>
      </c>
      <c r="G56" s="272">
        <f t="shared" si="3"/>
        <v>0.11863492965934341</v>
      </c>
      <c r="H56" s="262">
        <f t="shared" si="4"/>
        <v>0</v>
      </c>
      <c r="I56" s="272">
        <f>IFERROR(_xlfn.LET(_xlpm.iso,$B56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39.487155643839451</v>
      </c>
      <c r="J56" s="262">
        <f>IF(I56="","",_xlfn.RANK.EQ(I56,$I$36:$I$71,0))</f>
        <v>33</v>
      </c>
      <c r="K56" s="262">
        <f>IF(J56="","",D56-J56)</f>
        <v>0</v>
      </c>
    </row>
    <row r="57" spans="1:11" s="258" customFormat="1" ht="20" customHeight="1">
      <c r="A57" s="258" t="s">
        <v>250</v>
      </c>
      <c r="B57" s="266" t="s">
        <v>251</v>
      </c>
      <c r="C57" s="272">
        <f>_xlfn.XLOOKUP($B57,[3]INDEX!$B$4:$B$39,[3]INDEX!$I$4:$I$39,"")</f>
        <v>51.315625558755357</v>
      </c>
      <c r="D57" s="262">
        <f>_xlfn.XLOOKUP($B57,[3]INDEX!$B$4:$B$39,[3]INDEX!$J$4:$J$39,"")</f>
        <v>18</v>
      </c>
      <c r="E57" s="272">
        <f>IFERROR(_xlfn.LET(_xlpm.iso,$B57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50.996070828501082</v>
      </c>
      <c r="F57" s="262">
        <f t="shared" si="2"/>
        <v>19</v>
      </c>
      <c r="G57" s="272">
        <f t="shared" si="3"/>
        <v>-0.31955473025427494</v>
      </c>
      <c r="H57" s="262">
        <f t="shared" si="4"/>
        <v>-1</v>
      </c>
      <c r="I57" s="272">
        <f>IFERROR(_xlfn.LET(_xlpm.iso,$B57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51.278826764809203</v>
      </c>
      <c r="J57" s="262">
        <f>IF(I57="","",_xlfn.RANK.EQ(I57,$I$36:$I$71,0))</f>
        <v>19</v>
      </c>
      <c r="K57" s="262">
        <f>IF(J57="","",D57-J57)</f>
        <v>-1</v>
      </c>
    </row>
    <row r="58" spans="1:11" s="258" customFormat="1" ht="20" customHeight="1">
      <c r="A58" s="258" t="s">
        <v>478</v>
      </c>
      <c r="B58" s="266" t="s">
        <v>328</v>
      </c>
      <c r="C58" s="272">
        <f>_xlfn.XLOOKUP($B58,[3]INDEX!$B$4:$B$39,[3]INDEX!$I$4:$I$39,"")</f>
        <v>42.08874773265952</v>
      </c>
      <c r="D58" s="262">
        <f>_xlfn.XLOOKUP($B58,[3]INDEX!$B$4:$B$39,[3]INDEX!$J$4:$J$39,"")</f>
        <v>32</v>
      </c>
      <c r="E58" s="272">
        <f>IFERROR(_xlfn.LET(_xlpm.iso,$B58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41.749809581966318</v>
      </c>
      <c r="F58" s="262">
        <f t="shared" si="2"/>
        <v>32</v>
      </c>
      <c r="G58" s="272">
        <f t="shared" si="3"/>
        <v>-0.33893815069320254</v>
      </c>
      <c r="H58" s="262">
        <f t="shared" si="4"/>
        <v>0</v>
      </c>
      <c r="I58" s="272">
        <f>IFERROR(_xlfn.LET(_xlpm.iso,$B58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41.649052776576973</v>
      </c>
      <c r="J58" s="262">
        <f>IF(I58="","",_xlfn.RANK.EQ(I58,$I$36:$I$71,0))</f>
        <v>32</v>
      </c>
      <c r="K58" s="262">
        <f>IF(J58="","",D58-J58)</f>
        <v>0</v>
      </c>
    </row>
    <row r="59" spans="1:11" s="258" customFormat="1" ht="20" customHeight="1">
      <c r="A59" s="258" t="s">
        <v>312</v>
      </c>
      <c r="B59" s="266" t="s">
        <v>313</v>
      </c>
      <c r="C59" s="272">
        <f>_xlfn.XLOOKUP($B59,[3]INDEX!$B$4:$B$39,[3]INDEX!$I$4:$I$39,"")</f>
        <v>43.023238216984879</v>
      </c>
      <c r="D59" s="262">
        <f>_xlfn.XLOOKUP($B59,[3]INDEX!$B$4:$B$39,[3]INDEX!$J$4:$J$39,"")</f>
        <v>29</v>
      </c>
      <c r="E59" s="272">
        <f>IFERROR(_xlfn.LET(_xlpm.iso,$B59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42.533225093800787</v>
      </c>
      <c r="F59" s="262">
        <f t="shared" si="2"/>
        <v>31</v>
      </c>
      <c r="G59" s="272">
        <f t="shared" si="3"/>
        <v>-0.49001312318409163</v>
      </c>
      <c r="H59" s="262">
        <f t="shared" si="4"/>
        <v>-2</v>
      </c>
      <c r="I59" s="272">
        <f>IFERROR(_xlfn.LET(_xlpm.iso,$B59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42.870756382291404</v>
      </c>
      <c r="J59" s="262">
        <f>IF(I59="","",_xlfn.RANK.EQ(I59,$I$36:$I$71,0))</f>
        <v>30</v>
      </c>
      <c r="K59" s="262">
        <f>IF(J59="","",D59-J59)</f>
        <v>-1</v>
      </c>
    </row>
    <row r="60" spans="1:11" s="258" customFormat="1" ht="20" customHeight="1">
      <c r="A60" s="258" t="s">
        <v>318</v>
      </c>
      <c r="B60" s="266" t="s">
        <v>319</v>
      </c>
      <c r="C60" s="272">
        <f>_xlfn.XLOOKUP($B60,[3]INDEX!$B$4:$B$39,[3]INDEX!$I$4:$I$39,"")</f>
        <v>42.809849137002836</v>
      </c>
      <c r="D60" s="262">
        <f>_xlfn.XLOOKUP($B60,[3]INDEX!$B$4:$B$39,[3]INDEX!$J$4:$J$39,"")</f>
        <v>30</v>
      </c>
      <c r="E60" s="272">
        <f>IFERROR(_xlfn.LET(_xlpm.iso,$B60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42.692999723986901</v>
      </c>
      <c r="F60" s="262">
        <f t="shared" si="2"/>
        <v>30</v>
      </c>
      <c r="G60" s="272">
        <f t="shared" si="3"/>
        <v>-0.11684941301593454</v>
      </c>
      <c r="H60" s="262">
        <f t="shared" si="4"/>
        <v>0</v>
      </c>
      <c r="I60" s="272">
        <f>IFERROR(_xlfn.LET(_xlpm.iso,$B60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42.787733654306294</v>
      </c>
      <c r="J60" s="262">
        <f>IF(I60="","",_xlfn.RANK.EQ(I60,$I$36:$I$71,0))</f>
        <v>31</v>
      </c>
      <c r="K60" s="262">
        <f>IF(J60="","",D60-J60)</f>
        <v>-1</v>
      </c>
    </row>
    <row r="61" spans="1:11" s="258" customFormat="1" ht="20" customHeight="1">
      <c r="A61" s="258" t="s">
        <v>324</v>
      </c>
      <c r="B61" s="266" t="s">
        <v>325</v>
      </c>
      <c r="C61" s="272">
        <f>_xlfn.XLOOKUP($B61,[3]INDEX!$B$4:$B$39,[3]INDEX!$I$4:$I$39,"")</f>
        <v>53.974034839230896</v>
      </c>
      <c r="D61" s="262">
        <f>_xlfn.XLOOKUP($B61,[3]INDEX!$B$4:$B$39,[3]INDEX!$J$4:$J$39,"")</f>
        <v>16</v>
      </c>
      <c r="E61" s="272">
        <f>IFERROR(_xlfn.LET(_xlpm.iso,$B61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53.976113804770108</v>
      </c>
      <c r="F61" s="262">
        <f t="shared" si="2"/>
        <v>16</v>
      </c>
      <c r="G61" s="272">
        <f t="shared" si="3"/>
        <v>2.0789655392121631E-3</v>
      </c>
      <c r="H61" s="262">
        <f t="shared" si="4"/>
        <v>0</v>
      </c>
      <c r="I61" s="272">
        <f>IFERROR(_xlfn.LET(_xlpm.iso,$B61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54.105044447223143</v>
      </c>
      <c r="J61" s="262">
        <f>IF(I61="","",_xlfn.RANK.EQ(I61,$I$36:$I$71,0))</f>
        <v>16</v>
      </c>
      <c r="K61" s="262">
        <f>IF(J61="","",D61-J61)</f>
        <v>0</v>
      </c>
    </row>
    <row r="62" spans="1:11" s="258" customFormat="1" ht="20" customHeight="1">
      <c r="A62" s="258" t="s">
        <v>479</v>
      </c>
      <c r="B62" s="266" t="s">
        <v>343</v>
      </c>
      <c r="C62" s="272">
        <f>_xlfn.XLOOKUP($B62,[3]INDEX!$B$4:$B$39,[3]INDEX!$I$4:$I$39,"")</f>
        <v>39.304260662594956</v>
      </c>
      <c r="D62" s="262">
        <f>_xlfn.XLOOKUP($B62,[3]INDEX!$B$4:$B$39,[3]INDEX!$J$4:$J$39,"")</f>
        <v>34</v>
      </c>
      <c r="E62" s="272">
        <f>IFERROR(_xlfn.LET(_xlpm.iso,$B62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38.993345200079233</v>
      </c>
      <c r="F62" s="262">
        <f t="shared" si="2"/>
        <v>34</v>
      </c>
      <c r="G62" s="272">
        <f t="shared" si="3"/>
        <v>-0.31091546251572311</v>
      </c>
      <c r="H62" s="262">
        <f t="shared" si="4"/>
        <v>0</v>
      </c>
      <c r="I62" s="272">
        <f>IFERROR(_xlfn.LET(_xlpm.iso,$B62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39.114787558329027</v>
      </c>
      <c r="J62" s="262">
        <f>IF(I62="","",_xlfn.RANK.EQ(I62,$I$36:$I$71,0))</f>
        <v>34</v>
      </c>
      <c r="K62" s="262">
        <f>IF(J62="","",D62-J62)</f>
        <v>0</v>
      </c>
    </row>
    <row r="63" spans="1:11" s="258" customFormat="1" ht="20" customHeight="1">
      <c r="A63" s="258" t="s">
        <v>364</v>
      </c>
      <c r="B63" s="266" t="s">
        <v>365</v>
      </c>
      <c r="C63" s="272">
        <f>_xlfn.XLOOKUP($B63,[3]INDEX!$B$4:$B$39,[3]INDEX!$I$4:$I$39,"")</f>
        <v>42.714682275110107</v>
      </c>
      <c r="D63" s="262">
        <f>_xlfn.XLOOKUP($B63,[3]INDEX!$B$4:$B$39,[3]INDEX!$J$4:$J$39,"")</f>
        <v>31</v>
      </c>
      <c r="E63" s="272">
        <f>IFERROR(_xlfn.LET(_xlpm.iso,$B63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42.841429430711756</v>
      </c>
      <c r="F63" s="262">
        <f t="shared" si="2"/>
        <v>29</v>
      </c>
      <c r="G63" s="272">
        <f t="shared" si="3"/>
        <v>0.12674715560164884</v>
      </c>
      <c r="H63" s="262">
        <f t="shared" si="4"/>
        <v>2</v>
      </c>
      <c r="I63" s="272">
        <f>IFERROR(_xlfn.LET(_xlpm.iso,$B63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43.022644584010635</v>
      </c>
      <c r="J63" s="262">
        <f>IF(I63="","",_xlfn.RANK.EQ(I63,$I$36:$I$71,0))</f>
        <v>29</v>
      </c>
      <c r="K63" s="262">
        <f>IF(J63="","",D63-J63)</f>
        <v>2</v>
      </c>
    </row>
    <row r="64" spans="1:11" s="258" customFormat="1" ht="20" customHeight="1">
      <c r="A64" s="258" t="s">
        <v>434</v>
      </c>
      <c r="B64" s="266" t="s">
        <v>435</v>
      </c>
      <c r="C64" s="272">
        <f>_xlfn.XLOOKUP($B64,[3]INDEX!$B$4:$B$39,[3]INDEX!$I$4:$I$39,"")</f>
        <v>47.932745548006302</v>
      </c>
      <c r="D64" s="262">
        <f>_xlfn.XLOOKUP($B64,[3]INDEX!$B$4:$B$39,[3]INDEX!$J$4:$J$39,"")</f>
        <v>24</v>
      </c>
      <c r="E64" s="272">
        <f>IFERROR(_xlfn.LET(_xlpm.iso,$B64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47.645012453374854</v>
      </c>
      <c r="F64" s="262">
        <f t="shared" si="2"/>
        <v>24</v>
      </c>
      <c r="G64" s="272">
        <f t="shared" si="3"/>
        <v>-0.28773309463144869</v>
      </c>
      <c r="H64" s="262">
        <f t="shared" si="4"/>
        <v>0</v>
      </c>
      <c r="I64" s="272">
        <f>IFERROR(_xlfn.LET(_xlpm.iso,$B64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47.77020913850167</v>
      </c>
      <c r="J64" s="262">
        <f>IF(I64="","",_xlfn.RANK.EQ(I64,$I$36:$I$71,0))</f>
        <v>24</v>
      </c>
      <c r="K64" s="262">
        <f>IF(J64="","",D64-J64)</f>
        <v>0</v>
      </c>
    </row>
    <row r="65" spans="1:11" s="258" customFormat="1" ht="20" customHeight="1">
      <c r="A65" s="258" t="s">
        <v>481</v>
      </c>
      <c r="B65" s="266" t="s">
        <v>224</v>
      </c>
      <c r="C65" s="272">
        <f>_xlfn.XLOOKUP($B65,[3]INDEX!$B$4:$B$39,[3]INDEX!$I$4:$I$39,"")</f>
        <v>62.724861377605393</v>
      </c>
      <c r="D65" s="262">
        <f>_xlfn.XLOOKUP($B65,[3]INDEX!$B$4:$B$39,[3]INDEX!$J$4:$J$39,"")</f>
        <v>7</v>
      </c>
      <c r="E65" s="272">
        <f>IFERROR(_xlfn.LET(_xlpm.iso,$B65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63.081372504369256</v>
      </c>
      <c r="F65" s="262">
        <f t="shared" si="2"/>
        <v>6</v>
      </c>
      <c r="G65" s="272">
        <f t="shared" si="3"/>
        <v>0.35651112676386276</v>
      </c>
      <c r="H65" s="262">
        <f t="shared" si="4"/>
        <v>1</v>
      </c>
      <c r="I65" s="272">
        <f>IFERROR(_xlfn.LET(_xlpm.iso,$B65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63.042381712255981</v>
      </c>
      <c r="J65" s="262">
        <f>IF(I65="","",_xlfn.RANK.EQ(I65,$I$36:$I$71,0))</f>
        <v>6</v>
      </c>
      <c r="K65" s="262">
        <f>IF(J65="","",D65-J65)</f>
        <v>1</v>
      </c>
    </row>
    <row r="66" spans="1:11" s="258" customFormat="1" ht="20" customHeight="1">
      <c r="A66" s="258" t="s">
        <v>238</v>
      </c>
      <c r="B66" s="266" t="s">
        <v>239</v>
      </c>
      <c r="C66" s="272">
        <f>_xlfn.XLOOKUP($B66,[3]INDEX!$B$4:$B$39,[3]INDEX!$I$4:$I$39,"")</f>
        <v>58.39363438583743</v>
      </c>
      <c r="D66" s="262">
        <f>_xlfn.XLOOKUP($B66,[3]INDEX!$B$4:$B$39,[3]INDEX!$J$4:$J$39,"")</f>
        <v>9</v>
      </c>
      <c r="E66" s="272">
        <f>IFERROR(_xlfn.LET(_xlpm.iso,$B66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58.466938467748093</v>
      </c>
      <c r="F66" s="262">
        <f t="shared" si="2"/>
        <v>9</v>
      </c>
      <c r="G66" s="272">
        <f t="shared" si="3"/>
        <v>7.3304081910663399E-2</v>
      </c>
      <c r="H66" s="262">
        <f t="shared" si="4"/>
        <v>0</v>
      </c>
      <c r="I66" s="272">
        <f>IFERROR(_xlfn.LET(_xlpm.iso,$B66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58.951501103890045</v>
      </c>
      <c r="J66" s="262">
        <f>IF(I66="","",_xlfn.RANK.EQ(I66,$I$36:$I$71,0))</f>
        <v>9</v>
      </c>
      <c r="K66" s="262">
        <f>IF(J66="","",D66-J66)</f>
        <v>0</v>
      </c>
    </row>
    <row r="67" spans="1:11" s="258" customFormat="1" ht="20" customHeight="1">
      <c r="A67" s="258" t="s">
        <v>405</v>
      </c>
      <c r="B67" s="266" t="s">
        <v>406</v>
      </c>
      <c r="C67" s="272">
        <f>_xlfn.XLOOKUP($B67,[3]INDEX!$B$4:$B$39,[3]INDEX!$I$4:$I$39,"")</f>
        <v>55.345146101392736</v>
      </c>
      <c r="D67" s="262">
        <f>_xlfn.XLOOKUP($B67,[3]INDEX!$B$4:$B$39,[3]INDEX!$J$4:$J$39,"")</f>
        <v>14</v>
      </c>
      <c r="E67" s="272">
        <f>IFERROR(_xlfn.LET(_xlpm.iso,$B67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55.065137120380157</v>
      </c>
      <c r="F67" s="262">
        <f t="shared" si="2"/>
        <v>15</v>
      </c>
      <c r="G67" s="272">
        <f t="shared" si="3"/>
        <v>-0.28000898101257832</v>
      </c>
      <c r="H67" s="262">
        <f t="shared" si="4"/>
        <v>-1</v>
      </c>
      <c r="I67" s="272">
        <f>IFERROR(_xlfn.LET(_xlpm.iso,$B67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55.046243835506331</v>
      </c>
      <c r="J67" s="262">
        <f>IF(I67="","",_xlfn.RANK.EQ(I67,$I$36:$I$71,0))</f>
        <v>15</v>
      </c>
      <c r="K67" s="262">
        <f>IF(J67="","",D67-J67)</f>
        <v>-1</v>
      </c>
    </row>
    <row r="68" spans="1:11" s="258" customFormat="1" ht="20" customHeight="1">
      <c r="A68" s="258" t="s">
        <v>387</v>
      </c>
      <c r="B68" s="266" t="s">
        <v>388</v>
      </c>
      <c r="C68" s="272">
        <f>_xlfn.XLOOKUP($B68,[3]INDEX!$B$4:$B$39,[3]INDEX!$I$4:$I$39,"")</f>
        <v>56.872104361610496</v>
      </c>
      <c r="D68" s="262">
        <f>_xlfn.XLOOKUP($B68,[3]INDEX!$B$4:$B$39,[3]INDEX!$J$4:$J$39,"")</f>
        <v>12</v>
      </c>
      <c r="E68" s="272">
        <f>IFERROR(_xlfn.LET(_xlpm.iso,$B68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56.991863810788999</v>
      </c>
      <c r="F68" s="262">
        <f t="shared" si="2"/>
        <v>11</v>
      </c>
      <c r="G68" s="272">
        <f t="shared" si="3"/>
        <v>0.11975944917850256</v>
      </c>
      <c r="H68" s="262">
        <f t="shared" si="4"/>
        <v>1</v>
      </c>
      <c r="I68" s="272">
        <f>IFERROR(_xlfn.LET(_xlpm.iso,$B68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56.782433533988232</v>
      </c>
      <c r="J68" s="262">
        <f>IF(I68="","",_xlfn.RANK.EQ(I68,$I$36:$I$71,0))</f>
        <v>12</v>
      </c>
      <c r="K68" s="262">
        <f>IF(J68="","",D68-J68)</f>
        <v>0</v>
      </c>
    </row>
    <row r="69" spans="1:11" s="258" customFormat="1" ht="20" customHeight="1">
      <c r="A69" s="258" t="s">
        <v>401</v>
      </c>
      <c r="B69" s="266" t="s">
        <v>402</v>
      </c>
      <c r="C69" s="272">
        <f>_xlfn.XLOOKUP($B69,[3]INDEX!$B$4:$B$39,[3]INDEX!$I$4:$I$39,"")</f>
        <v>45.944579487915412</v>
      </c>
      <c r="D69" s="262">
        <f>_xlfn.XLOOKUP($B69,[3]INDEX!$B$4:$B$39,[3]INDEX!$J$4:$J$39,"")</f>
        <v>25</v>
      </c>
      <c r="E69" s="272">
        <f>IFERROR(_xlfn.LET(_xlpm.iso,$B69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45.439662833168477</v>
      </c>
      <c r="F69" s="262">
        <f t="shared" si="2"/>
        <v>25</v>
      </c>
      <c r="G69" s="272">
        <f t="shared" si="3"/>
        <v>-0.50491665474693548</v>
      </c>
      <c r="H69" s="262">
        <f t="shared" si="4"/>
        <v>0</v>
      </c>
      <c r="I69" s="272">
        <f>IFERROR(_xlfn.LET(_xlpm.iso,$B69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45.763064212187018</v>
      </c>
      <c r="J69" s="262">
        <f>IF(I69="","",_xlfn.RANK.EQ(I69,$I$36:$I$71,0))</f>
        <v>25</v>
      </c>
      <c r="K69" s="262">
        <f>IF(J69="","",D69-J69)</f>
        <v>0</v>
      </c>
    </row>
    <row r="70" spans="1:11" s="258" customFormat="1" ht="20" customHeight="1">
      <c r="A70" s="258" t="s">
        <v>415</v>
      </c>
      <c r="B70" s="266" t="s">
        <v>416</v>
      </c>
      <c r="C70" s="272">
        <f>_xlfn.XLOOKUP($B70,[3]INDEX!$B$4:$B$39,[3]INDEX!$I$4:$I$39,"")</f>
        <v>65.465510500124381</v>
      </c>
      <c r="D70" s="262">
        <f>_xlfn.XLOOKUP($B70,[3]INDEX!$B$4:$B$39,[3]INDEX!$J$4:$J$39,"")</f>
        <v>4</v>
      </c>
      <c r="E70" s="272">
        <f>IFERROR(_xlfn.LET(_xlpm.iso,$B70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65.261334966259199</v>
      </c>
      <c r="F70" s="262">
        <f t="shared" si="2"/>
        <v>4</v>
      </c>
      <c r="G70" s="272">
        <f t="shared" si="3"/>
        <v>-0.2041755338651825</v>
      </c>
      <c r="H70" s="262">
        <f t="shared" si="4"/>
        <v>0</v>
      </c>
      <c r="I70" s="272">
        <f>IFERROR(_xlfn.LET(_xlpm.iso,$B70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65.519902477478283</v>
      </c>
      <c r="J70" s="262">
        <f>IF(I70="","",_xlfn.RANK.EQ(I70,$I$36:$I$71,0))</f>
        <v>4</v>
      </c>
      <c r="K70" s="262">
        <f>IF(J70="","",D70-J70)</f>
        <v>0</v>
      </c>
    </row>
    <row r="71" spans="1:11" s="258" customFormat="1" ht="20" customHeight="1">
      <c r="A71" s="258" t="s">
        <v>482</v>
      </c>
      <c r="B71" s="266" t="s">
        <v>425</v>
      </c>
      <c r="C71" s="272">
        <f>_xlfn.XLOOKUP($B71,[3]INDEX!$B$4:$B$39,[3]INDEX!$I$4:$I$39,"")</f>
        <v>59.047171451218567</v>
      </c>
      <c r="D71" s="262">
        <f>_xlfn.XLOOKUP($B71,[3]INDEX!$B$4:$B$39,[3]INDEX!$J$4:$J$39,"")</f>
        <v>8</v>
      </c>
      <c r="E71" s="272">
        <f>IFERROR(_xlfn.LET(_xlpm.iso,$B71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I$4:$I$31)),"")</f>
        <v>58.922582547781971</v>
      </c>
      <c r="F71" s="262">
        <f t="shared" si="2"/>
        <v>8</v>
      </c>
      <c r="G71" s="272">
        <f t="shared" si="3"/>
        <v>-0.1245889034365959</v>
      </c>
      <c r="H71" s="262">
        <f t="shared" si="4"/>
        <v>0</v>
      </c>
      <c r="I71" s="272">
        <f>IFERROR(_xlfn.LET(_xlpm.iso,$B71,_xlpm.s,_xlfn.VSTACK(_xlfn.XLOOKUP(_xlpm.iso,'[3]Pillar-1'!$B$5:$B$40,'[3]Pillar-1'!$J$5:$J$40),_xlfn.XLOOKUP(_xlpm.iso,'[3]Pillar-1'!$B$5:$B$40,'[3]Pillar-1'!$K$5:$K$40),_xlfn.XLOOKUP(_xlpm.iso,'[3]Pillar-1'!$B$5:$B$40,'[3]Pillar-1'!$L$5:$L$40),_xlfn.XLOOKUP(_xlpm.iso,'[3]Pillar-2'!$B$5:$B$40,'[3]Pillar-2'!$K$5:$K$40),_xlfn.XLOOKUP(_xlpm.iso,'[3]Pillar-2'!$B$5:$B$40,'[3]Pillar-2'!$L$5:$L$40),_xlfn.XLOOKUP(_xlpm.iso,'[3]Pillar-2'!$B$5:$B$40,'[3]Pillar-2'!$M$5:$M$40),_xlfn.XLOOKUP(_xlpm.iso,'[3]Pillar-2'!$B$5:$B$40,'[3]Pillar-2'!$N$5:$N$40),_xlfn.XLOOKUP(_xlpm.iso,'[3]Pillar-2'!$B$5:$B$40,'[3]Pillar-2'!$O$5:$O$40),_xlfn.XLOOKUP(_xlpm.iso,'[3]Pillar-2'!$B$5:$B$40,'[3]Pillar-2'!$P$5:$P$40),_xlfn.XLOOKUP(_xlpm.iso,'[3]Pillar-2'!$B$5:$B$40,'[3]Pillar-2'!$Q$5:$Q$40),_xlfn.XLOOKUP(_xlpm.iso,'[3]Pillar-2'!$B$5:$B$40,'[3]Pillar-2'!$R$5:$R$40),_xlfn.XLOOKUP(_xlpm.iso,'[3]Pillar-3'!$B$5:$B$40,'[3]Pillar-3'!$H$5:$H$40),_xlfn.XLOOKUP(_xlpm.iso,'[3]Pillar-3'!$B$5:$B$40,'[3]Pillar-3'!$I$5:$I$40),_xlfn.XLOOKUP(_xlpm.iso,'[3]Pillar-3'!$B$5:$B$40,'[3]Pillar-3'!$J$5:$J$40),_xlfn.XLOOKUP(_xlpm.iso,'[3]Pillar-3'!$B$5:$B$40,'[3]Pillar-3'!$K$5:$K$40),_xlfn.XLOOKUP(_xlpm.iso,'[3]Pillar-3'!$B$5:$B$40,'[3]Pillar-3'!$L$5:$L$40),_xlfn.XLOOKUP(_xlpm.iso,'[3]Pillar-4'!$B$5:$B$40,'[3]Pillar-4'!$K$5:$K$40),_xlfn.XLOOKUP(_xlpm.iso,'[3]Pillar-4'!$B$5:$B$40,'[3]Pillar-4'!$L$5:$L$40),_xlfn.XLOOKUP(_xlpm.iso,'[3]Pillar-4'!$B$5:$B$40,'[3]Pillar-4'!$M$5:$M$40),_xlfn.XLOOKUP(_xlpm.iso,'[3]Pillar-4'!$B$5:$B$40,'[3]Pillar-4'!$N$5:$N$40),_xlfn.XLOOKUP(_xlpm.iso,'[3]Pillar-4'!$B$5:$B$40,'[3]Pillar-4'!$O$5:$O$40),_xlfn.XLOOKUP(_xlpm.iso,'[3]Pillar-5'!$B$5:$B$40,'[3]Pillar-5'!$I$5:$I$40),_xlfn.XLOOKUP(_xlpm.iso,'[3]Pillar-5'!$B$5:$B$40,'[3]Pillar-5'!$J$5:$J$40),_xlfn.XLOOKUP(_xlpm.iso,'[3]Pillar-5'!$B$5:$B$40,'[3]Pillar-5'!$K$5:$K$40),_xlfn.XLOOKUP(_xlpm.iso,'[3]Pillar-5'!$B$5:$B$40,'[3]Pillar-5'!$L$5:$L$40),_xlfn.XLOOKUP(_xlpm.iso,'[3]Pillar-6'!$B$5:$B$40,'[3]Pillar-6'!$I$5:$I$40),_xlfn.XLOOKUP(_xlpm.iso,'[3]Pillar-6'!$B$5:$B$40,'[3]Pillar-6'!$K$5:$K$40),_xlfn.XLOOKUP(_xlpm.iso,'[3]Pillar-6'!$B$5:$B$40,'[3]Pillar-6'!$L$5:$L$40)),SUMPRODUCT(_xlpm.s,$K$4:$K$31)),"")</f>
        <v>59.03930639958454</v>
      </c>
      <c r="J71" s="262">
        <f>IF(I71="","",_xlfn.RANK.EQ(I71,$I$36:$I$71,0))</f>
        <v>8</v>
      </c>
      <c r="K71" s="262">
        <f>IF(J71="","",D71-J71)</f>
        <v>0</v>
      </c>
    </row>
    <row r="72" spans="1:11" s="273" customFormat="1" ht="20" customHeight="1">
      <c r="C72" s="274"/>
      <c r="H72" s="275"/>
    </row>
    <row r="73" spans="1:11" s="273" customFormat="1" ht="20" customHeight="1">
      <c r="D73" s="274"/>
      <c r="H73" s="275"/>
    </row>
    <row r="74" spans="1:11" s="250" customFormat="1" ht="50" customHeight="1">
      <c r="A74" s="246" t="s">
        <v>1128</v>
      </c>
      <c r="B74" s="246"/>
      <c r="C74" s="246"/>
      <c r="D74" s="246"/>
      <c r="E74" s="247"/>
      <c r="F74" s="248"/>
      <c r="G74" s="249"/>
      <c r="H74" s="249"/>
      <c r="I74" s="249"/>
      <c r="J74" s="249"/>
    </row>
    <row r="75" spans="1:11" s="273" customFormat="1" ht="20" customHeight="1">
      <c r="A75" s="62" t="s">
        <v>1129</v>
      </c>
      <c r="B75" s="62"/>
      <c r="C75" s="62"/>
      <c r="D75" s="62" t="s">
        <v>1130</v>
      </c>
      <c r="E75" s="62"/>
      <c r="F75" s="62"/>
      <c r="G75" s="62"/>
      <c r="H75" s="62"/>
      <c r="I75" s="62"/>
      <c r="J75" s="62"/>
      <c r="K75" s="62"/>
    </row>
    <row r="76" spans="1:11" s="273" customFormat="1" ht="20" customHeight="1">
      <c r="A76" s="273" t="s">
        <v>1131</v>
      </c>
      <c r="D76" s="273" t="s">
        <v>1132</v>
      </c>
      <c r="H76" s="275"/>
    </row>
    <row r="77" spans="1:11" s="273" customFormat="1" ht="20" customHeight="1">
      <c r="A77" s="273" t="s">
        <v>1133</v>
      </c>
      <c r="D77" s="273" t="s">
        <v>1134</v>
      </c>
      <c r="H77" s="275"/>
    </row>
    <row r="78" spans="1:11" s="273" customFormat="1" ht="20" customHeight="1">
      <c r="A78" s="273" t="s">
        <v>1135</v>
      </c>
      <c r="D78" s="273" t="s">
        <v>1136</v>
      </c>
      <c r="H78" s="275"/>
    </row>
    <row r="79" spans="1:11" s="273" customFormat="1" ht="20" customHeight="1">
      <c r="A79" s="273" t="s">
        <v>1137</v>
      </c>
      <c r="D79" s="273" t="s">
        <v>1138</v>
      </c>
      <c r="H79" s="275"/>
    </row>
    <row r="80" spans="1:11" s="273" customFormat="1" ht="20" customHeight="1">
      <c r="D80" s="274"/>
      <c r="H80" s="275"/>
    </row>
    <row r="81" spans="8:8" s="273" customFormat="1" ht="20" customHeight="1">
      <c r="H81" s="275"/>
    </row>
    <row r="82" spans="8:8" s="273" customFormat="1" ht="20" customHeight="1"/>
    <row r="83" spans="8:8" s="273" customFormat="1" ht="20" customHeight="1"/>
    <row r="84" spans="8:8" s="273" customFormat="1" ht="20" customHeight="1"/>
    <row r="85" spans="8:8" s="273" customFormat="1" ht="20" customHeight="1"/>
    <row r="86" spans="8:8" s="273" customFormat="1" ht="20" customHeight="1"/>
    <row r="87" spans="8:8" s="273" customFormat="1" ht="20" customHeight="1"/>
    <row r="88" spans="8:8" s="273" customFormat="1" ht="20" customHeight="1"/>
    <row r="89" spans="8:8" s="273" customFormat="1" ht="20" customHeight="1"/>
    <row r="90" spans="8:8" s="273" customFormat="1" ht="20" customHeight="1"/>
    <row r="91" spans="8:8" s="273" customFormat="1" ht="20" customHeight="1"/>
    <row r="92" spans="8:8" s="273" customFormat="1" ht="20" customHeight="1"/>
    <row r="93" spans="8:8" s="273" customFormat="1" ht="20" customHeight="1"/>
    <row r="94" spans="8:8" s="273" customFormat="1" ht="20" customHeight="1"/>
    <row r="95" spans="8:8" s="273" customFormat="1" ht="20" customHeight="1"/>
    <row r="96" spans="8:8" s="273" customFormat="1" ht="20" customHeight="1"/>
    <row r="97" s="273" customFormat="1" ht="20" customHeight="1"/>
    <row r="98" s="273" customFormat="1" ht="20" customHeight="1"/>
    <row r="99" s="273" customFormat="1" ht="20" customHeight="1"/>
  </sheetData>
  <mergeCells count="3">
    <mergeCell ref="A1:XFD1"/>
    <mergeCell ref="A2:E2"/>
    <mergeCell ref="A74:E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7B54-F790-FE47-A9CE-E27714C15E85}">
  <dimension ref="A1:AN100"/>
  <sheetViews>
    <sheetView workbookViewId="0">
      <selection activeCell="D16" sqref="D16"/>
    </sheetView>
  </sheetViews>
  <sheetFormatPr baseColWidth="10" defaultRowHeight="15"/>
  <cols>
    <col min="1" max="1" width="22.1640625" bestFit="1" customWidth="1"/>
    <col min="2" max="40" width="20.83203125" customWidth="1"/>
  </cols>
  <sheetData>
    <row r="1" spans="1:40" s="40" customFormat="1" ht="55" customHeight="1">
      <c r="A1" s="8" t="s">
        <v>2</v>
      </c>
      <c r="B1" s="8" t="s">
        <v>443</v>
      </c>
      <c r="C1" s="8" t="s">
        <v>822</v>
      </c>
      <c r="D1" s="8" t="s">
        <v>823</v>
      </c>
      <c r="E1" s="8" t="s">
        <v>824</v>
      </c>
      <c r="F1" s="134" t="s">
        <v>825</v>
      </c>
      <c r="G1" s="134" t="s">
        <v>826</v>
      </c>
      <c r="H1" s="134" t="s">
        <v>827</v>
      </c>
      <c r="I1" s="134" t="s">
        <v>828</v>
      </c>
      <c r="J1" s="134" t="s">
        <v>829</v>
      </c>
      <c r="K1" s="134" t="s">
        <v>830</v>
      </c>
      <c r="L1" s="22" t="s">
        <v>581</v>
      </c>
      <c r="M1" s="22" t="s">
        <v>4</v>
      </c>
      <c r="N1" s="22" t="s">
        <v>5</v>
      </c>
      <c r="O1" s="22" t="s">
        <v>7</v>
      </c>
      <c r="P1" s="16" t="s">
        <v>8</v>
      </c>
      <c r="Q1" s="16" t="s">
        <v>9</v>
      </c>
      <c r="R1" s="16" t="s">
        <v>10</v>
      </c>
      <c r="S1" s="16" t="s">
        <v>11</v>
      </c>
      <c r="T1" s="16" t="s">
        <v>12</v>
      </c>
      <c r="U1" s="16" t="s">
        <v>554</v>
      </c>
      <c r="V1" s="16" t="s">
        <v>863</v>
      </c>
      <c r="W1" s="22" t="s">
        <v>14</v>
      </c>
      <c r="X1" s="22" t="s">
        <v>15</v>
      </c>
      <c r="Y1" s="22" t="s">
        <v>16</v>
      </c>
      <c r="Z1" s="22" t="s">
        <v>17</v>
      </c>
      <c r="AA1" s="22" t="s">
        <v>18</v>
      </c>
      <c r="AB1" s="16" t="s">
        <v>463</v>
      </c>
      <c r="AC1" s="16" t="s">
        <v>464</v>
      </c>
      <c r="AD1" s="16" t="s">
        <v>797</v>
      </c>
      <c r="AE1" s="16" t="s">
        <v>465</v>
      </c>
      <c r="AF1" s="16" t="s">
        <v>466</v>
      </c>
      <c r="AG1" s="16" t="s">
        <v>457</v>
      </c>
      <c r="AH1" s="16" t="s">
        <v>458</v>
      </c>
      <c r="AI1" s="16" t="s">
        <v>459</v>
      </c>
      <c r="AJ1" s="22" t="s">
        <v>460</v>
      </c>
      <c r="AK1" s="22" t="s">
        <v>470</v>
      </c>
      <c r="AL1" s="22" t="s">
        <v>471</v>
      </c>
      <c r="AM1" s="22" t="s">
        <v>472</v>
      </c>
      <c r="AN1"/>
    </row>
    <row r="2" spans="1:40" s="35" customFormat="1" ht="20" customHeight="1">
      <c r="A2" s="35" t="str" cm="1">
        <f t="array" ref="A2:B37">_xlfn._xlws.FILTER(Screening!$A$2:$B$216,Screening!$L$2:$L$216="Yes","")</f>
        <v>Australia</v>
      </c>
      <c r="B2" s="89" t="str">
        <v>AUS</v>
      </c>
      <c r="C2" s="89" t="str">
        <f>IF($B2="","",IFERROR(INDEX(Screening!$A$2:$R$219,MATCH($B2,Screening!$B$2:$B$219,0),MATCH("Include in final index",Screening!$A$1:$R$1,0)),""))</f>
        <v>Yes</v>
      </c>
      <c r="D2" s="89">
        <f>IF($B2="","",IFERROR(INDEX('INDEX ranked'!$A$3:$J$200,MATCH($B2,'INDEX ranked'!$B$3:$B$200,0),MATCH("Rank",'INDEX ranked'!$A$2:$J$2,0)),""))</f>
        <v>6</v>
      </c>
      <c r="E2" s="71">
        <f>IF($B2="","",IFERROR(INDEX('INDEX ranked'!$A$3:$J$200,MATCH($B2,'INDEX ranked'!$B$3:$B$200,0),MATCH("Overall index score",'INDEX ranked'!$A$2:$J$2,0)),""))</f>
        <v>63.028005061160194</v>
      </c>
      <c r="F2" s="71">
        <f>IF($B2="","",IFERROR(INDEX('INDEX ranked'!$A$3:$J$200,MATCH($B2,'INDEX ranked'!$B$3:$B$200,0),MATCH(F$1,'INDEX ranked'!$A$2:$J$2,0)),""))</f>
        <v>46.551741007301679</v>
      </c>
      <c r="G2" s="71">
        <f>IF($B2="","",IFERROR(INDEX('INDEX ranked'!$A$3:$J$200,MATCH($B2,'INDEX ranked'!$B$3:$B$200,0),MATCH(G$1,'INDEX ranked'!$A$2:$J$2,0)),""))</f>
        <v>69.78265702819607</v>
      </c>
      <c r="H2" s="71">
        <f>IF($B2="","",IFERROR(INDEX('INDEX ranked'!$A$3:$J$200,MATCH($B2,'INDEX ranked'!$B$3:$B$200,0),MATCH(H$1,'INDEX ranked'!$A$2:$J$2,0)),""))</f>
        <v>83.603499999999997</v>
      </c>
      <c r="I2" s="71">
        <f>IF($B2="","",IFERROR(INDEX('INDEX ranked'!$A$3:$J$200,MATCH($B2,'INDEX ranked'!$B$3:$B$200,0),MATCH(I$1,'INDEX ranked'!$A$2:$J$2,0)),""))</f>
        <v>38.134110168569059</v>
      </c>
      <c r="J2" s="71">
        <f>IF($B2="","",IFERROR(INDEX('INDEX ranked'!$A$3:$J$200,MATCH($B2,'INDEX ranked'!$B$3:$B$200,0),MATCH(J$1,'INDEX ranked'!$A$2:$J$2,0)),""))</f>
        <v>74.902856135645507</v>
      </c>
      <c r="K2" s="71">
        <f>IF($B2="","",IFERROR(INDEX('INDEX ranked'!$A$3:$J$200,MATCH($B2,'INDEX ranked'!$B$3:$B$200,0),MATCH(K$1,'INDEX ranked'!$A$2:$J$2,0)),""))</f>
        <v>83.583500000000001</v>
      </c>
      <c r="L2" s="71">
        <f>IF($B2="","",IFERROR(INDEX('Pillar-1'!$A$5:$M$216,MATCH($B2,'Pillar-1'!$B$5:$B$216,0),MATCH(L$1,'Pillar-1'!$A$4:$M$4,0)),""))</f>
        <v>39.436782941244644</v>
      </c>
      <c r="M2" s="71">
        <f>IF($B2="","",IFERROR(INDEX('Pillar-1'!$A$5:$M$216,MATCH($B2,'Pillar-1'!$B$5:$B$216,0),MATCH(M$1,'Pillar-1'!$A$4:$M$4,0)),""))</f>
        <v>67.57442880221555</v>
      </c>
      <c r="N2" s="71">
        <f>IF($B2="","",IFERROR(INDEX('Pillar-1'!$A$5:$M$216,MATCH($B2,'Pillar-1'!$B$5:$B$216,0),MATCH(N$1,'Pillar-1'!$A$4:$M$4,0)),""))</f>
        <v>35.647252392003971</v>
      </c>
      <c r="O2" s="71">
        <f>IF($B2="","",IFERROR(INDEX('Pillar-2'!$A$5:$S$216,MATCH($B2,'Pillar-2'!$B$5:$B$216,0),MATCH(O$1,'Pillar-2'!$A$4:$S$4,0)),""))</f>
        <v>67.981481481481495</v>
      </c>
      <c r="P2" s="71">
        <f>IF($B2="","",IFERROR(INDEX('Pillar-2'!$A$5:$S$216,MATCH($B2,'Pillar-2'!$B$5:$B$216,0),MATCH(P$1,'Pillar-2'!$A$4:$S$4,0)),""))</f>
        <v>94.050398941462888</v>
      </c>
      <c r="Q2" s="71">
        <f>IF($B2="","",IFERROR(INDEX('Pillar-2'!$A$5:$S$216,MATCH($B2,'Pillar-2'!$B$5:$B$216,0),MATCH(Q$1,'Pillar-2'!$A$4:$S$4,0)),""))</f>
        <v>100</v>
      </c>
      <c r="R2" s="71">
        <f>IF($B2="","",IFERROR(INDEX('Pillar-2'!$A$5:$S$216,MATCH($B2,'Pillar-2'!$B$5:$B$216,0),MATCH(R$1,'Pillar-2'!$A$4:$S$4,0)),""))</f>
        <v>82.282873526444007</v>
      </c>
      <c r="S2" s="71">
        <f>IF($B2="","",IFERROR(INDEX('Pillar-2'!$A$5:$S$216,MATCH($B2,'Pillar-2'!$B$5:$B$216,0),MATCH(S$1,'Pillar-2'!$A$4:$S$4,0)),""))</f>
        <v>81.444233195330398</v>
      </c>
      <c r="T2" s="71">
        <f>IF($B2="","",IFERROR(INDEX('Pillar-2'!$A$5:$S$216,MATCH($B2,'Pillar-2'!$B$5:$B$216,0),MATCH(T$1,'Pillar-2'!$A$4:$S$4,0)),""))</f>
        <v>86.61953266464127</v>
      </c>
      <c r="U2" s="71">
        <f>IF($B2="","",IFERROR(INDEX('Pillar-2'!$A$5:$S$216,MATCH($B2,'Pillar-2'!$B$5:$B$216,0),MATCH(U$1,'Pillar-2'!$A$4:$S$4,0)),""))</f>
        <v>100</v>
      </c>
      <c r="V2" s="71">
        <f>IF($B2="","",IFERROR(INDEX('Pillar-2'!$A$5:$S$216,MATCH($B2,'Pillar-2'!$B$5:$B$216,0),MATCH(V$1,'Pillar-2'!$A$4:$S$4,0)),""))</f>
        <v>0</v>
      </c>
      <c r="W2" s="71">
        <f>IF($B2="","",IFERROR(INDEX('Pillar-3'!$A$5:$M$217,MATCH($B2,'Pillar-3'!$B$5:$B$217,0),MATCH(W$1,'Pillar-3'!$A$4:$M$4,0)),""))</f>
        <v>79.44</v>
      </c>
      <c r="X2" s="71">
        <f>IF($B2="","",IFERROR(INDEX('Pillar-3'!$A$5:$M$217,MATCH($B2,'Pillar-3'!$B$5:$B$217,0),MATCH(X$1,'Pillar-3'!$A$4:$M$4,0)),""))</f>
        <v>86.52</v>
      </c>
      <c r="Y2" s="71">
        <f>IF($B2="","",IFERROR(INDEX('Pillar-3'!$A$5:$M$217,MATCH($B2,'Pillar-3'!$B$5:$B$217,0),MATCH(Y$1,'Pillar-3'!$A$4:$M$4,0)),""))</f>
        <v>82.03</v>
      </c>
      <c r="Z2" s="71">
        <f>IF($B2="","",IFERROR(INDEX('Pillar-3'!$A$5:$M$217,MATCH($B2,'Pillar-3'!$B$5:$B$217,0),MATCH(Z$1,'Pillar-3'!$A$4:$M$4,0)),""))</f>
        <v>82.27</v>
      </c>
      <c r="AA2" s="71">
        <f>IF($B2="","",IFERROR(INDEX('Pillar-3'!$A$5:$M$217,MATCH($B2,'Pillar-3'!$B$5:$B$217,0),MATCH(AA$1,'Pillar-3'!$A$4:$M$4,0)),""))</f>
        <v>85.34</v>
      </c>
      <c r="AB2" s="71">
        <f>IF($B2="","",IFERROR(INDEX('Pillar-4'!$A$5:$R$217,MATCH($B2,'Pillar-4'!$B$5:$B$217,0),MATCH(AB$1,'Pillar-4'!$A$4:$R$4,0)),""))</f>
        <v>38.793495462386915</v>
      </c>
      <c r="AC2" s="71">
        <f>IF($B2="","",IFERROR(INDEX('Pillar-4'!$A$5:$R$217,MATCH($B2,'Pillar-4'!$B$5:$B$217,0),MATCH(AC$1,'Pillar-4'!$A$4:$R$4,0)),""))</f>
        <v>68.347902938560651</v>
      </c>
      <c r="AD2" s="71">
        <f>IF($B2="","",IFERROR(INDEX('Pillar-4'!$A$5:$R$217,MATCH($B2,'Pillar-4'!$B$5:$B$217,0),MATCH(AD$1,'Pillar-4'!$A$4:$R$4,0)),""))</f>
        <v>69.705536589196953</v>
      </c>
      <c r="AE2" s="71">
        <f>IF($B2="","",IFERROR(INDEX('Pillar-4'!$A$5:$R$217,MATCH($B2,'Pillar-4'!$B$5:$B$217,0),MATCH(AE$1,'Pillar-4'!$A$4:$R$4,0)),""))</f>
        <v>0</v>
      </c>
      <c r="AF2" s="71">
        <f>IF($B2="","",IFERROR(INDEX('Pillar-4'!$A$5:$R$217,MATCH($B2,'Pillar-4'!$B$5:$B$217,0),MATCH(AF$1,'Pillar-4'!$A$4:$R$4,0)),""))</f>
        <v>25</v>
      </c>
      <c r="AG2" s="71">
        <f>IF($B2="","",IFERROR(INDEX('Pillar-5'!$A$5:$Q$216,MATCH($B2,'Pillar-5'!$B$5:$B$216,0),MATCH(AG$1,'Pillar-5'!$A$4:$Q$4,0)),""))</f>
        <v>64.658674825794535</v>
      </c>
      <c r="AH2" s="71">
        <f>IF($B2="","",IFERROR(INDEX('Pillar-5'!$A$5:$Q$216,MATCH($B2,'Pillar-5'!$B$5:$B$216,0),MATCH(AH$1,'Pillar-5'!$A$4:$Q$4,0)),""))</f>
        <v>100</v>
      </c>
      <c r="AI2" s="71">
        <f>IF($B2="","",IFERROR(INDEX('Pillar-5'!$A$5:$Q$216,MATCH($B2,'Pillar-5'!$B$5:$B$216,0),MATCH(AI$1,'Pillar-5'!$A$4:$Q$4,0)),""))</f>
        <v>66.259333333333331</v>
      </c>
      <c r="AJ2" s="71">
        <f>IF($B2="","",IFERROR(INDEX('Pillar-5'!$A$5:$Q$216,MATCH($B2,'Pillar-5'!$B$5:$B$216,0),MATCH(AJ$1,'Pillar-5'!$A$4:$Q$4,0)),""))</f>
        <v>69.013548084961897</v>
      </c>
      <c r="AK2" s="71">
        <f>IF($B2="","",IFERROR(INDEX('Pillar-6'!$A$5:$Q$216,MATCH($B2,'Pillar-6'!$B$5:$B$216,0),MATCH(AK$1,'Pillar-6'!$A$4:$Q$4,0)),""))</f>
        <v>60</v>
      </c>
      <c r="AL2" s="71">
        <f>IF($B2="","",IFERROR(INDEX('Pillar-6'!$A$5:$Q$216,MATCH($B2,'Pillar-6'!$B$5:$B$216,0),MATCH(AL$1,'Pillar-6'!$A$4:$Q$4,0)),""))</f>
        <v>94.63</v>
      </c>
      <c r="AM2" s="71">
        <f>IF($B2="","",IFERROR(INDEX('Pillar-6'!$A$5:$Q$216,MATCH($B2,'Pillar-6'!$B$5:$B$216,0),MATCH(AM$1,'Pillar-6'!$A$4:$Q$4,0)),""))</f>
        <v>100</v>
      </c>
      <c r="AN2"/>
    </row>
    <row r="3" spans="1:40" s="35" customFormat="1" ht="20" customHeight="1">
      <c r="A3" s="35" t="str">
        <v>Bangladesh</v>
      </c>
      <c r="B3" s="89" t="str">
        <v>BGD</v>
      </c>
      <c r="C3" s="89" t="str">
        <f>IF($B3="","",IFERROR(INDEX(Screening!$A$2:$R$219,MATCH($B3,Screening!$B$2:$B$219,0),MATCH("Include in final index",Screening!$A$1:$R$1,0)),""))</f>
        <v>Yes</v>
      </c>
      <c r="D3" s="89">
        <f>IF($B3="","",IFERROR(INDEX('INDEX ranked'!$A$3:$J$200,MATCH($B3,'INDEX ranked'!$B$3:$B$200,0),MATCH("Rank",'INDEX ranked'!$A$2:$J$2,0)),""))</f>
        <v>36</v>
      </c>
      <c r="E3" s="71">
        <f>IF($B3="","",IFERROR(INDEX('INDEX ranked'!$A$3:$J$200,MATCH($B3,'INDEX ranked'!$B$3:$B$200,0),MATCH("Overall index score",'INDEX ranked'!$A$2:$J$2,0)),""))</f>
        <v>35.835973856454167</v>
      </c>
      <c r="F3" s="71">
        <f>IF($B3="","",IFERROR(INDEX('INDEX ranked'!$A$3:$J$200,MATCH($B3,'INDEX ranked'!$B$3:$B$200,0),MATCH(F$1,'INDEX ranked'!$A$2:$J$2,0)),""))</f>
        <v>3.9510782916984937</v>
      </c>
      <c r="G3" s="71">
        <f>IF($B3="","",IFERROR(INDEX('INDEX ranked'!$A$3:$J$200,MATCH($B3,'INDEX ranked'!$B$3:$B$200,0),MATCH(G$1,'INDEX ranked'!$A$2:$J$2,0)),""))</f>
        <v>12.974930352149048</v>
      </c>
      <c r="H3" s="71">
        <f>IF($B3="","",IFERROR(INDEX('INDEX ranked'!$A$3:$J$200,MATCH($B3,'INDEX ranked'!$B$3:$B$200,0),MATCH(H$1,'INDEX ranked'!$A$2:$J$2,0)),""))</f>
        <v>37.085500000000003</v>
      </c>
      <c r="I3" s="71">
        <f>IF($B3="","",IFERROR(INDEX('INDEX ranked'!$A$3:$J$200,MATCH($B3,'INDEX ranked'!$B$3:$B$200,0),MATCH(I$1,'INDEX ranked'!$A$2:$J$2,0)),""))</f>
        <v>77.2991243615173</v>
      </c>
      <c r="J3" s="71">
        <f>IF($B3="","",IFERROR(INDEX('INDEX ranked'!$A$3:$J$200,MATCH($B3,'INDEX ranked'!$B$3:$B$200,0),MATCH(J$1,'INDEX ranked'!$A$2:$J$2,0)),""))</f>
        <v>46.704981702541311</v>
      </c>
      <c r="K3" s="71">
        <f>IF($B3="","",IFERROR(INDEX('INDEX ranked'!$A$3:$J$200,MATCH($B3,'INDEX ranked'!$B$3:$B$200,0),MATCH(K$1,'INDEX ranked'!$A$2:$J$2,0)),""))</f>
        <v>44.223749999999995</v>
      </c>
      <c r="L3" s="71">
        <f>IF($B3="","",IFERROR(INDEX('Pillar-1'!$A$5:$M$216,MATCH($B3,'Pillar-1'!$B$5:$B$216,0),MATCH(L$1,'Pillar-1'!$A$4:$M$4,0)),""))</f>
        <v>0.98505041140340699</v>
      </c>
      <c r="M3" s="71">
        <f>IF($B3="","",IFERROR(INDEX('Pillar-1'!$A$5:$M$216,MATCH($B3,'Pillar-1'!$B$5:$B$216,0),MATCH(M$1,'Pillar-1'!$A$4:$M$4,0)),""))</f>
        <v>2.3771059312254792</v>
      </c>
      <c r="N3" s="71">
        <f>IF($B3="","",IFERROR(INDEX('Pillar-1'!$A$5:$M$216,MATCH($B3,'Pillar-1'!$B$5:$B$216,0),MATCH(N$1,'Pillar-1'!$A$4:$M$4,0)),""))</f>
        <v>8.2662253381133066</v>
      </c>
      <c r="O3" s="71">
        <f>IF($B3="","",IFERROR(INDEX('Pillar-2'!$A$5:$S$216,MATCH($B3,'Pillar-2'!$B$5:$B$216,0),MATCH(O$1,'Pillar-2'!$A$4:$S$4,0)),""))</f>
        <v>26.785714285714199</v>
      </c>
      <c r="P3" s="71">
        <f>IF($B3="","",IFERROR(INDEX('Pillar-2'!$A$5:$S$216,MATCH($B3,'Pillar-2'!$B$5:$B$216,0),MATCH(P$1,'Pillar-2'!$A$4:$S$4,0)),""))</f>
        <v>53.692539531633265</v>
      </c>
      <c r="Q3" s="71">
        <f>IF($B3="","",IFERROR(INDEX('Pillar-2'!$A$5:$S$216,MATCH($B3,'Pillar-2'!$B$5:$B$216,0),MATCH(Q$1,'Pillar-2'!$A$4:$S$4,0)),""))</f>
        <v>0</v>
      </c>
      <c r="R3" s="71">
        <f>IF($B3="","",IFERROR(INDEX('Pillar-2'!$A$5:$S$216,MATCH($B3,'Pillar-2'!$B$5:$B$216,0),MATCH(R$1,'Pillar-2'!$A$4:$S$4,0)),""))</f>
        <v>0</v>
      </c>
      <c r="S3" s="71">
        <f>IF($B3="","",IFERROR(INDEX('Pillar-2'!$A$5:$S$216,MATCH($B3,'Pillar-2'!$B$5:$B$216,0),MATCH(S$1,'Pillar-2'!$A$4:$S$4,0)),""))</f>
        <v>8.3228202349011209</v>
      </c>
      <c r="T3" s="71">
        <f>IF($B3="","",IFERROR(INDEX('Pillar-2'!$A$5:$S$216,MATCH($B3,'Pillar-2'!$B$5:$B$216,0),MATCH(T$1,'Pillar-2'!$A$4:$S$4,0)),""))</f>
        <v>2.1387485576735785</v>
      </c>
      <c r="U3" s="71">
        <f>IF($B3="","",IFERROR(INDEX('Pillar-2'!$A$5:$S$216,MATCH($B3,'Pillar-2'!$B$5:$B$216,0),MATCH(U$1,'Pillar-2'!$A$4:$S$4,0)),""))</f>
        <v>0</v>
      </c>
      <c r="V3" s="71">
        <f>IF($B3="","",IFERROR(INDEX('Pillar-2'!$A$5:$S$216,MATCH($B3,'Pillar-2'!$B$5:$B$216,0),MATCH(V$1,'Pillar-2'!$A$4:$S$4,0)),""))</f>
        <v>0</v>
      </c>
      <c r="W3" s="71">
        <f>IF($B3="","",IFERROR(INDEX('Pillar-3'!$A$5:$M$217,MATCH($B3,'Pillar-3'!$B$5:$B$217,0),MATCH(W$1,'Pillar-3'!$A$4:$M$4,0)),""))</f>
        <v>40.9</v>
      </c>
      <c r="X3" s="71">
        <f>IF($B3="","",IFERROR(INDEX('Pillar-3'!$A$5:$M$217,MATCH($B3,'Pillar-3'!$B$5:$B$217,0),MATCH(X$1,'Pillar-3'!$A$4:$M$4,0)),""))</f>
        <v>39.31</v>
      </c>
      <c r="Y3" s="71">
        <f>IF($B3="","",IFERROR(INDEX('Pillar-3'!$A$5:$M$217,MATCH($B3,'Pillar-3'!$B$5:$B$217,0),MATCH(Y$1,'Pillar-3'!$A$4:$M$4,0)),""))</f>
        <v>39.880000000000003</v>
      </c>
      <c r="Z3" s="71">
        <f>IF($B3="","",IFERROR(INDEX('Pillar-3'!$A$5:$M$217,MATCH($B3,'Pillar-3'!$B$5:$B$217,0),MATCH(Z$1,'Pillar-3'!$A$4:$M$4,0)),""))</f>
        <v>40.44</v>
      </c>
      <c r="AA3" s="71">
        <f>IF($B3="","",IFERROR(INDEX('Pillar-3'!$A$5:$M$217,MATCH($B3,'Pillar-3'!$B$5:$B$217,0),MATCH(AA$1,'Pillar-3'!$A$4:$M$4,0)),""))</f>
        <v>25.55</v>
      </c>
      <c r="AB3" s="71">
        <f>IF($B3="","",IFERROR(INDEX('Pillar-4'!$A$5:$R$217,MATCH($B3,'Pillar-4'!$B$5:$B$217,0),MATCH(AB$1,'Pillar-4'!$A$4:$R$4,0)),""))</f>
        <v>67.34006518409852</v>
      </c>
      <c r="AC3" s="71">
        <f>IF($B3="","",IFERROR(INDEX('Pillar-4'!$A$5:$R$217,MATCH($B3,'Pillar-4'!$B$5:$B$217,0),MATCH(AC$1,'Pillar-4'!$A$4:$R$4,0)),""))</f>
        <v>86.118444009881827</v>
      </c>
      <c r="AD3" s="71">
        <f>IF($B3="","",IFERROR(INDEX('Pillar-4'!$A$5:$R$217,MATCH($B3,'Pillar-4'!$B$5:$B$217,0),MATCH(AD$1,'Pillar-4'!$A$4:$R$4,0)),""))</f>
        <v>79.049483484808263</v>
      </c>
      <c r="AE3" s="71">
        <f>IF($B3="","",IFERROR(INDEX('Pillar-4'!$A$5:$R$217,MATCH($B3,'Pillar-4'!$B$5:$B$217,0),MATCH(AE$1,'Pillar-4'!$A$4:$R$4,0)),""))</f>
        <v>80</v>
      </c>
      <c r="AF3" s="71">
        <f>IF($B3="","",IFERROR(INDEX('Pillar-4'!$A$5:$R$217,MATCH($B3,'Pillar-4'!$B$5:$B$217,0),MATCH(AF$1,'Pillar-4'!$A$4:$R$4,0)),""))</f>
        <v>75</v>
      </c>
      <c r="AG3" s="71">
        <f>IF($B3="","",IFERROR(INDEX('Pillar-5'!$A$5:$Q$216,MATCH($B3,'Pillar-5'!$B$5:$B$216,0),MATCH(AG$1,'Pillar-5'!$A$4:$Q$4,0)),""))</f>
        <v>17.905585789398135</v>
      </c>
      <c r="AH3" s="71">
        <f>IF($B3="","",IFERROR(INDEX('Pillar-5'!$A$5:$Q$216,MATCH($B3,'Pillar-5'!$B$5:$B$216,0),MATCH(AH$1,'Pillar-5'!$A$4:$Q$4,0)),""))</f>
        <v>50</v>
      </c>
      <c r="AI3" s="71">
        <f>IF($B3="","",IFERROR(INDEX('Pillar-5'!$A$5:$Q$216,MATCH($B3,'Pillar-5'!$B$5:$B$216,0),MATCH(AI$1,'Pillar-5'!$A$4:$Q$4,0)),""))</f>
        <v>72.685333333333332</v>
      </c>
      <c r="AJ3" s="71">
        <f>IF($B3="","",IFERROR(INDEX('Pillar-5'!$A$5:$Q$216,MATCH($B3,'Pillar-5'!$B$5:$B$216,0),MATCH(AJ$1,'Pillar-5'!$A$4:$Q$4,0)),""))</f>
        <v>57.184957196220807</v>
      </c>
      <c r="AK3" s="71">
        <f>IF($B3="","",IFERROR(INDEX('Pillar-6'!$A$5:$Q$216,MATCH($B3,'Pillar-6'!$B$5:$B$216,0),MATCH(AK$1,'Pillar-6'!$A$4:$Q$4,0)),""))</f>
        <v>20</v>
      </c>
      <c r="AL3" s="71">
        <f>IF($B3="","",IFERROR(INDEX('Pillar-6'!$A$5:$Q$216,MATCH($B3,'Pillar-6'!$B$5:$B$216,0),MATCH(AL$1,'Pillar-6'!$A$4:$Q$4,0)),""))</f>
        <v>38.274999999999999</v>
      </c>
      <c r="AM3" s="71">
        <f>IF($B3="","",IFERROR(INDEX('Pillar-6'!$A$5:$Q$216,MATCH($B3,'Pillar-6'!$B$5:$B$216,0),MATCH(AM$1,'Pillar-6'!$A$4:$Q$4,0)),""))</f>
        <v>100</v>
      </c>
    </row>
    <row r="4" spans="1:40" s="35" customFormat="1" ht="20" customHeight="1">
      <c r="A4" s="35" t="str">
        <v>Bosnia and Herzegovina</v>
      </c>
      <c r="B4" s="89" t="str">
        <v>BIH</v>
      </c>
      <c r="C4" s="89" t="str">
        <f>IF($B4="","",IFERROR(INDEX(Screening!$A$2:$R$219,MATCH($B4,Screening!$B$2:$B$219,0),MATCH("Include in final index",Screening!$A$1:$R$1,0)),""))</f>
        <v>Yes</v>
      </c>
      <c r="D4" s="89">
        <f>IF($B4="","",IFERROR(INDEX('INDEX ranked'!$A$3:$J$200,MATCH($B4,'INDEX ranked'!$B$3:$B$200,0),MATCH("Rank",'INDEX ranked'!$A$2:$J$2,0)),""))</f>
        <v>35</v>
      </c>
      <c r="E4" s="71">
        <f>IF($B4="","",IFERROR(INDEX('INDEX ranked'!$A$3:$J$200,MATCH($B4,'INDEX ranked'!$B$3:$B$200,0),MATCH("Overall index score",'INDEX ranked'!$A$2:$J$2,0)),""))</f>
        <v>36.142382155343178</v>
      </c>
      <c r="F4" s="71">
        <f>IF($B4="","",IFERROR(INDEX('INDEX ranked'!$A$3:$J$200,MATCH($B4,'INDEX ranked'!$B$3:$B$200,0),MATCH(F$1,'INDEX ranked'!$A$2:$J$2,0)),""))</f>
        <v>28.514445126007296</v>
      </c>
      <c r="G4" s="71">
        <f>IF($B4="","",IFERROR(INDEX('INDEX ranked'!$A$3:$J$200,MATCH($B4,'INDEX ranked'!$B$3:$B$200,0),MATCH(G$1,'INDEX ranked'!$A$2:$J$2,0)),""))</f>
        <v>38.326415086222688</v>
      </c>
      <c r="H4" s="71">
        <f>IF($B4="","",IFERROR(INDEX('INDEX ranked'!$A$3:$J$200,MATCH($B4,'INDEX ranked'!$B$3:$B$200,0),MATCH(H$1,'INDEX ranked'!$A$2:$J$2,0)),""))</f>
        <v>45.606999999999999</v>
      </c>
      <c r="I4" s="71">
        <f>IF($B4="","",IFERROR(INDEX('INDEX ranked'!$A$3:$J$200,MATCH($B4,'INDEX ranked'!$B$3:$B$200,0),MATCH(I$1,'INDEX ranked'!$A$2:$J$2,0)),""))</f>
        <v>0</v>
      </c>
      <c r="J4" s="71">
        <f>IF($B4="","",IFERROR(INDEX('INDEX ranked'!$A$3:$J$200,MATCH($B4,'INDEX ranked'!$B$3:$B$200,0),MATCH(J$1,'INDEX ranked'!$A$2:$J$2,0)),""))</f>
        <v>66.48490075264786</v>
      </c>
      <c r="K4" s="71">
        <f>IF($B4="","",IFERROR(INDEX('INDEX ranked'!$A$3:$J$200,MATCH($B4,'INDEX ranked'!$B$3:$B$200,0),MATCH(K$1,'INDEX ranked'!$A$2:$J$2,0)),""))</f>
        <v>59.604250000000008</v>
      </c>
      <c r="L4" s="71">
        <f>IF($B4="","",IFERROR(INDEX('Pillar-1'!$A$5:$M$216,MATCH($B4,'Pillar-1'!$B$5:$B$216,0),MATCH(L$1,'Pillar-1'!$A$4:$M$4,0)),""))</f>
        <v>45.555684320315223</v>
      </c>
      <c r="M4" s="71">
        <f>IF($B4="","",IFERROR(INDEX('Pillar-1'!$A$5:$M$216,MATCH($B4,'Pillar-1'!$B$5:$B$216,0),MATCH(M$1,'Pillar-1'!$A$4:$M$4,0)),""))</f>
        <v>10.939303023309487</v>
      </c>
      <c r="N4" s="71">
        <f>IF($B4="","",IFERROR(INDEX('Pillar-1'!$A$5:$M$216,MATCH($B4,'Pillar-1'!$B$5:$B$216,0),MATCH(N$1,'Pillar-1'!$A$4:$M$4,0)),""))</f>
        <v>26.537613448297492</v>
      </c>
      <c r="O4" s="71">
        <f>IF($B4="","",IFERROR(INDEX('Pillar-2'!$A$5:$S$216,MATCH($B4,'Pillar-2'!$B$5:$B$216,0),MATCH(O$1,'Pillar-2'!$A$4:$S$4,0)),""))</f>
        <v>35.8333333333333</v>
      </c>
      <c r="P4" s="71">
        <f>IF($B4="","",IFERROR(INDEX('Pillar-2'!$A$5:$S$216,MATCH($B4,'Pillar-2'!$B$5:$B$216,0),MATCH(P$1,'Pillar-2'!$A$4:$S$4,0)),""))</f>
        <v>24.827737379320858</v>
      </c>
      <c r="Q4" s="71">
        <f>IF($B4="","",IFERROR(INDEX('Pillar-2'!$A$5:$S$216,MATCH($B4,'Pillar-2'!$B$5:$B$216,0),MATCH(Q$1,'Pillar-2'!$A$4:$S$4,0)),""))</f>
        <v>100</v>
      </c>
      <c r="R4" s="71">
        <f>IF($B4="","",IFERROR(INDEX('Pillar-2'!$A$5:$S$216,MATCH($B4,'Pillar-2'!$B$5:$B$216,0),MATCH(R$1,'Pillar-2'!$A$4:$S$4,0)),""))</f>
        <v>69.155612433243917</v>
      </c>
      <c r="S4" s="71">
        <f>IF($B4="","",IFERROR(INDEX('Pillar-2'!$A$5:$S$216,MATCH($B4,'Pillar-2'!$B$5:$B$216,0),MATCH(S$1,'Pillar-2'!$A$4:$S$4,0)),""))</f>
        <v>43.597078839353934</v>
      </c>
      <c r="T4" s="71">
        <f>IF($B4="","",IFERROR(INDEX('Pillar-2'!$A$5:$S$216,MATCH($B4,'Pillar-2'!$B$5:$B$216,0),MATCH(T$1,'Pillar-2'!$A$4:$S$4,0)),""))</f>
        <v>56.545676910245213</v>
      </c>
      <c r="U4" s="71">
        <f>IF($B4="","",IFERROR(INDEX('Pillar-2'!$A$5:$S$216,MATCH($B4,'Pillar-2'!$B$5:$B$216,0),MATCH(U$1,'Pillar-2'!$A$4:$S$4,0)),""))</f>
        <v>0</v>
      </c>
      <c r="V4" s="71">
        <f>IF($B4="","",IFERROR(INDEX('Pillar-2'!$A$5:$S$216,MATCH($B4,'Pillar-2'!$B$5:$B$216,0),MATCH(V$1,'Pillar-2'!$A$4:$S$4,0)),""))</f>
        <v>0</v>
      </c>
      <c r="W4" s="71">
        <f>IF($B4="","",IFERROR(INDEX('Pillar-3'!$A$5:$M$217,MATCH($B4,'Pillar-3'!$B$5:$B$217,0),MATCH(W$1,'Pillar-3'!$A$4:$M$4,0)),""))</f>
        <v>57.34</v>
      </c>
      <c r="X4" s="71">
        <f>IF($B4="","",IFERROR(INDEX('Pillar-3'!$A$5:$M$217,MATCH($B4,'Pillar-3'!$B$5:$B$217,0),MATCH(X$1,'Pillar-3'!$A$4:$M$4,0)),""))</f>
        <v>38.99</v>
      </c>
      <c r="Y4" s="71">
        <f>IF($B4="","",IFERROR(INDEX('Pillar-3'!$A$5:$M$217,MATCH($B4,'Pillar-3'!$B$5:$B$217,0),MATCH(Y$1,'Pillar-3'!$A$4:$M$4,0)),""))</f>
        <v>49.35</v>
      </c>
      <c r="Z4" s="71">
        <f>IF($B4="","",IFERROR(INDEX('Pillar-3'!$A$5:$M$217,MATCH($B4,'Pillar-3'!$B$5:$B$217,0),MATCH(Z$1,'Pillar-3'!$A$4:$M$4,0)),""))</f>
        <v>51.47</v>
      </c>
      <c r="AA4" s="71">
        <f>IF($B4="","",IFERROR(INDEX('Pillar-3'!$A$5:$M$217,MATCH($B4,'Pillar-3'!$B$5:$B$217,0),MATCH(AA$1,'Pillar-3'!$A$4:$M$4,0)),""))</f>
        <v>37.47</v>
      </c>
      <c r="AB4" s="71">
        <f>IF($B4="","",IFERROR(INDEX('Pillar-4'!$A$5:$R$217,MATCH($B4,'Pillar-4'!$B$5:$B$217,0),MATCH(AB$1,'Pillar-4'!$A$4:$R$4,0)),""))</f>
        <v>0</v>
      </c>
      <c r="AC4" s="71">
        <f>IF($B4="","",IFERROR(INDEX('Pillar-4'!$A$5:$R$217,MATCH($B4,'Pillar-4'!$B$5:$B$217,0),MATCH(AC$1,'Pillar-4'!$A$4:$R$4,0)),""))</f>
        <v>0</v>
      </c>
      <c r="AD4" s="71">
        <f>IF($B4="","",IFERROR(INDEX('Pillar-4'!$A$5:$R$217,MATCH($B4,'Pillar-4'!$B$5:$B$217,0),MATCH(AD$1,'Pillar-4'!$A$4:$R$4,0)),""))</f>
        <v>0</v>
      </c>
      <c r="AE4" s="71">
        <f>IF($B4="","",IFERROR(INDEX('Pillar-4'!$A$5:$R$217,MATCH($B4,'Pillar-4'!$B$5:$B$217,0),MATCH(AE$1,'Pillar-4'!$A$4:$R$4,0)),""))</f>
        <v>0</v>
      </c>
      <c r="AF4" s="71">
        <f>IF($B4="","",IFERROR(INDEX('Pillar-4'!$A$5:$R$217,MATCH($B4,'Pillar-4'!$B$5:$B$217,0),MATCH(AF$1,'Pillar-4'!$A$4:$R$4,0)),""))</f>
        <v>0</v>
      </c>
      <c r="AG4" s="71">
        <f>IF($B4="","",IFERROR(INDEX('Pillar-5'!$A$5:$Q$216,MATCH($B4,'Pillar-5'!$B$5:$B$216,0),MATCH(AG$1,'Pillar-5'!$A$4:$Q$4,0)),""))</f>
        <v>24.133688580539488</v>
      </c>
      <c r="AH4" s="71">
        <f>IF($B4="","",IFERROR(INDEX('Pillar-5'!$A$5:$Q$216,MATCH($B4,'Pillar-5'!$B$5:$B$216,0),MATCH(AH$1,'Pillar-5'!$A$4:$Q$4,0)),""))</f>
        <v>100</v>
      </c>
      <c r="AI4" s="71">
        <f>IF($B4="","",IFERROR(INDEX('Pillar-5'!$A$5:$Q$216,MATCH($B4,'Pillar-5'!$B$5:$B$216,0),MATCH(AI$1,'Pillar-5'!$A$4:$Q$4,0)),""))</f>
        <v>80.397999999999996</v>
      </c>
      <c r="AJ4" s="71">
        <f>IF($B4="","",IFERROR(INDEX('Pillar-5'!$A$5:$Q$216,MATCH($B4,'Pillar-5'!$B$5:$B$216,0),MATCH(AJ$1,'Pillar-5'!$A$4:$Q$4,0)),""))</f>
        <v>72.660776713944045</v>
      </c>
      <c r="AK4" s="71">
        <f>IF($B4="","",IFERROR(INDEX('Pillar-6'!$A$5:$Q$216,MATCH($B4,'Pillar-6'!$B$5:$B$216,0),MATCH(AK$1,'Pillar-6'!$A$4:$Q$4,0)),""))</f>
        <v>60</v>
      </c>
      <c r="AL4" s="71">
        <f>IF($B4="","",IFERROR(INDEX('Pillar-6'!$A$5:$Q$216,MATCH($B4,'Pillar-6'!$B$5:$B$216,0),MATCH(AL$1,'Pillar-6'!$A$4:$Q$4,0)),""))</f>
        <v>63.565000000000005</v>
      </c>
      <c r="AM4" s="71">
        <f>IF($B4="","",IFERROR(INDEX('Pillar-6'!$A$5:$Q$216,MATCH($B4,'Pillar-6'!$B$5:$B$216,0),MATCH(AM$1,'Pillar-6'!$A$4:$Q$4,0)),""))</f>
        <v>50</v>
      </c>
    </row>
    <row r="5" spans="1:40" s="35" customFormat="1" ht="20" customHeight="1">
      <c r="A5" s="35" t="str">
        <v>Brazil</v>
      </c>
      <c r="B5" s="89" t="str">
        <v>BRA</v>
      </c>
      <c r="C5" s="89" t="str">
        <f>IF($B5="","",IFERROR(INDEX(Screening!$A$2:$R$219,MATCH($B5,Screening!$B$2:$B$219,0),MATCH("Include in final index",Screening!$A$1:$R$1,0)),""))</f>
        <v>Yes</v>
      </c>
      <c r="D5" s="89">
        <f>IF($B5="","",IFERROR(INDEX('INDEX ranked'!$A$3:$J$200,MATCH($B5,'INDEX ranked'!$B$3:$B$200,0),MATCH("Rank",'INDEX ranked'!$A$2:$J$2,0)),""))</f>
        <v>5</v>
      </c>
      <c r="E5" s="71">
        <f>IF($B5="","",IFERROR(INDEX('INDEX ranked'!$A$3:$J$200,MATCH($B5,'INDEX ranked'!$B$3:$B$200,0),MATCH("Overall index score",'INDEX ranked'!$A$2:$J$2,0)),""))</f>
        <v>64.650458401743364</v>
      </c>
      <c r="F5" s="71">
        <f>IF($B5="","",IFERROR(INDEX('INDEX ranked'!$A$3:$J$200,MATCH($B5,'INDEX ranked'!$B$3:$B$200,0),MATCH(F$1,'INDEX ranked'!$A$2:$J$2,0)),""))</f>
        <v>86.575121163166401</v>
      </c>
      <c r="G5" s="71">
        <f>IF($B5="","",IFERROR(INDEX('INDEX ranked'!$A$3:$J$200,MATCH($B5,'INDEX ranked'!$B$3:$B$200,0),MATCH(G$1,'INDEX ranked'!$A$2:$J$2,0)),""))</f>
        <v>56.001411517573672</v>
      </c>
      <c r="H5" s="71">
        <f>IF($B5="","",IFERROR(INDEX('INDEX ranked'!$A$3:$J$200,MATCH($B5,'INDEX ranked'!$B$3:$B$200,0),MATCH(H$1,'INDEX ranked'!$A$2:$J$2,0)),""))</f>
        <v>47.772000000000006</v>
      </c>
      <c r="I5" s="71">
        <f>IF($B5="","",IFERROR(INDEX('INDEX ranked'!$A$3:$J$200,MATCH($B5,'INDEX ranked'!$B$3:$B$200,0),MATCH(I$1,'INDEX ranked'!$A$2:$J$2,0)),""))</f>
        <v>72.481827950732423</v>
      </c>
      <c r="J5" s="71">
        <f>IF($B5="","",IFERROR(INDEX('INDEX ranked'!$A$3:$J$200,MATCH($B5,'INDEX ranked'!$B$3:$B$200,0),MATCH(J$1,'INDEX ranked'!$A$2:$J$2,0)),""))</f>
        <v>53.849575169659083</v>
      </c>
      <c r="K5" s="71">
        <f>IF($B5="","",IFERROR(INDEX('INDEX ranked'!$A$3:$J$200,MATCH($B5,'INDEX ranked'!$B$3:$B$200,0),MATCH(K$1,'INDEX ranked'!$A$2:$J$2,0)),""))</f>
        <v>63.955500000000001</v>
      </c>
      <c r="L5" s="71">
        <f>IF($B5="","",IFERROR(INDEX('Pillar-1'!$A$5:$M$216,MATCH($B5,'Pillar-1'!$B$5:$B$216,0),MATCH(L$1,'Pillar-1'!$A$4:$M$4,0)),""))</f>
        <v>100</v>
      </c>
      <c r="M5" s="71">
        <f>IF($B5="","",IFERROR(INDEX('Pillar-1'!$A$5:$M$216,MATCH($B5,'Pillar-1'!$B$5:$B$216,0),MATCH(M$1,'Pillar-1'!$A$4:$M$4,0)),""))</f>
        <v>55.250403877221324</v>
      </c>
      <c r="N5" s="71">
        <f>IF($B5="","",IFERROR(INDEX('Pillar-1'!$A$5:$M$216,MATCH($B5,'Pillar-1'!$B$5:$B$216,0),MATCH(N$1,'Pillar-1'!$A$4:$M$4,0)),""))</f>
        <v>100</v>
      </c>
      <c r="O5" s="71">
        <f>IF($B5="","",IFERROR(INDEX('Pillar-2'!$A$5:$S$216,MATCH($B5,'Pillar-2'!$B$5:$B$216,0),MATCH(O$1,'Pillar-2'!$A$4:$S$4,0)),""))</f>
        <v>65.092592592592595</v>
      </c>
      <c r="P5" s="71">
        <f>IF($B5="","",IFERROR(INDEX('Pillar-2'!$A$5:$S$216,MATCH($B5,'Pillar-2'!$B$5:$B$216,0),MATCH(P$1,'Pillar-2'!$A$4:$S$4,0)),""))</f>
        <v>100</v>
      </c>
      <c r="Q5" s="71">
        <f>IF($B5="","",IFERROR(INDEX('Pillar-2'!$A$5:$S$216,MATCH($B5,'Pillar-2'!$B$5:$B$216,0),MATCH(Q$1,'Pillar-2'!$A$4:$S$4,0)),""))</f>
        <v>100</v>
      </c>
      <c r="R5" s="71">
        <f>IF($B5="","",IFERROR(INDEX('Pillar-2'!$A$5:$S$216,MATCH($B5,'Pillar-2'!$B$5:$B$216,0),MATCH(R$1,'Pillar-2'!$A$4:$S$4,0)),""))</f>
        <v>46.420397214087075</v>
      </c>
      <c r="S5" s="71">
        <f>IF($B5="","",IFERROR(INDEX('Pillar-2'!$A$5:$S$216,MATCH($B5,'Pillar-2'!$B$5:$B$216,0),MATCH(S$1,'Pillar-2'!$A$4:$S$4,0)),""))</f>
        <v>46.859396933136708</v>
      </c>
      <c r="T5" s="71">
        <f>IF($B5="","",IFERROR(INDEX('Pillar-2'!$A$5:$S$216,MATCH($B5,'Pillar-2'!$B$5:$B$216,0),MATCH(T$1,'Pillar-2'!$A$4:$S$4,0)),""))</f>
        <v>42.459063859946333</v>
      </c>
      <c r="U5" s="71">
        <f>IF($B5="","",IFERROR(INDEX('Pillar-2'!$A$5:$S$216,MATCH($B5,'Pillar-2'!$B$5:$B$216,0),MATCH(U$1,'Pillar-2'!$A$4:$S$4,0)),""))</f>
        <v>70</v>
      </c>
      <c r="V5" s="71">
        <f>IF($B5="","",IFERROR(INDEX('Pillar-2'!$A$5:$S$216,MATCH($B5,'Pillar-2'!$B$5:$B$216,0),MATCH(V$1,'Pillar-2'!$A$4:$S$4,0)),""))</f>
        <v>0</v>
      </c>
      <c r="W5" s="71">
        <f>IF($B5="","",IFERROR(INDEX('Pillar-3'!$A$5:$M$217,MATCH($B5,'Pillar-3'!$B$5:$B$217,0),MATCH(W$1,'Pillar-3'!$A$4:$M$4,0)),""))</f>
        <v>57</v>
      </c>
      <c r="X5" s="71">
        <f>IF($B5="","",IFERROR(INDEX('Pillar-3'!$A$5:$M$217,MATCH($B5,'Pillar-3'!$B$5:$B$217,0),MATCH(X$1,'Pillar-3'!$A$4:$M$4,0)),""))</f>
        <v>46.98</v>
      </c>
      <c r="Y5" s="71">
        <f>IF($B5="","",IFERROR(INDEX('Pillar-3'!$A$5:$M$217,MATCH($B5,'Pillar-3'!$B$5:$B$217,0),MATCH(Y$1,'Pillar-3'!$A$4:$M$4,0)),""))</f>
        <v>50.22</v>
      </c>
      <c r="Z5" s="71">
        <f>IF($B5="","",IFERROR(INDEX('Pillar-3'!$A$5:$M$217,MATCH($B5,'Pillar-3'!$B$5:$B$217,0),MATCH(Z$1,'Pillar-3'!$A$4:$M$4,0)),""))</f>
        <v>49.28</v>
      </c>
      <c r="AA5" s="71">
        <f>IF($B5="","",IFERROR(INDEX('Pillar-3'!$A$5:$M$217,MATCH($B5,'Pillar-3'!$B$5:$B$217,0),MATCH(AA$1,'Pillar-3'!$A$4:$M$4,0)),""))</f>
        <v>39.58</v>
      </c>
      <c r="AB5" s="71">
        <f>IF($B5="","",IFERROR(INDEX('Pillar-4'!$A$5:$R$217,MATCH($B5,'Pillar-4'!$B$5:$B$217,0),MATCH(AB$1,'Pillar-4'!$A$4:$R$4,0)),""))</f>
        <v>77.378252217793744</v>
      </c>
      <c r="AC5" s="71">
        <f>IF($B5="","",IFERROR(INDEX('Pillar-4'!$A$5:$R$217,MATCH($B5,'Pillar-4'!$B$5:$B$217,0),MATCH(AC$1,'Pillar-4'!$A$4:$R$4,0)),""))</f>
        <v>93.390610921289024</v>
      </c>
      <c r="AD5" s="71">
        <f>IF($B5="","",IFERROR(INDEX('Pillar-4'!$A$5:$R$217,MATCH($B5,'Pillar-4'!$B$5:$B$217,0),MATCH(AD$1,'Pillar-4'!$A$4:$R$4,0)),""))</f>
        <v>92.187035486105884</v>
      </c>
      <c r="AE5" s="71">
        <f>IF($B5="","",IFERROR(INDEX('Pillar-4'!$A$5:$R$217,MATCH($B5,'Pillar-4'!$B$5:$B$217,0),MATCH(AE$1,'Pillar-4'!$A$4:$R$4,0)),""))</f>
        <v>60</v>
      </c>
      <c r="AF5" s="71">
        <f>IF($B5="","",IFERROR(INDEX('Pillar-4'!$A$5:$R$217,MATCH($B5,'Pillar-4'!$B$5:$B$217,0),MATCH(AF$1,'Pillar-4'!$A$4:$R$4,0)),""))</f>
        <v>50</v>
      </c>
      <c r="AG5" s="71">
        <f>IF($B5="","",IFERROR(INDEX('Pillar-5'!$A$5:$Q$216,MATCH($B5,'Pillar-5'!$B$5:$B$216,0),MATCH(AG$1,'Pillar-5'!$A$4:$Q$4,0)),""))</f>
        <v>37.815436546977097</v>
      </c>
      <c r="AH5" s="71">
        <f>IF($B5="","",IFERROR(INDEX('Pillar-5'!$A$5:$Q$216,MATCH($B5,'Pillar-5'!$B$5:$B$216,0),MATCH(AH$1,'Pillar-5'!$A$4:$Q$4,0)),""))</f>
        <v>100</v>
      </c>
      <c r="AI5" s="71">
        <f>IF($B5="","",IFERROR(INDEX('Pillar-5'!$A$5:$Q$216,MATCH($B5,'Pillar-5'!$B$5:$B$216,0),MATCH(AI$1,'Pillar-5'!$A$4:$Q$4,0)),""))</f>
        <v>41.981333333333325</v>
      </c>
      <c r="AJ5" s="71">
        <f>IF($B5="","",IFERROR(INDEX('Pillar-5'!$A$5:$Q$216,MATCH($B5,'Pillar-5'!$B$5:$B$216,0),MATCH(AJ$1,'Pillar-5'!$A$4:$Q$4,0)),""))</f>
        <v>36.434710155597173</v>
      </c>
      <c r="AK5" s="71">
        <f>IF($B5="","",IFERROR(INDEX('Pillar-6'!$A$5:$Q$216,MATCH($B5,'Pillar-6'!$B$5:$B$216,0),MATCH(AK$1,'Pillar-6'!$A$4:$Q$4,0)),""))</f>
        <v>45</v>
      </c>
      <c r="AL5" s="71">
        <f>IF($B5="","",IFERROR(INDEX('Pillar-6'!$A$5:$Q$216,MATCH($B5,'Pillar-6'!$B$5:$B$216,0),MATCH(AL$1,'Pillar-6'!$A$4:$Q$4,0)),""))</f>
        <v>73.790000000000006</v>
      </c>
      <c r="AM5" s="71">
        <f>IF($B5="","",IFERROR(INDEX('Pillar-6'!$A$5:$Q$216,MATCH($B5,'Pillar-6'!$B$5:$B$216,0),MATCH(AM$1,'Pillar-6'!$A$4:$Q$4,0)),""))</f>
        <v>75</v>
      </c>
    </row>
    <row r="6" spans="1:40" s="35" customFormat="1" ht="20" customHeight="1">
      <c r="A6" s="35" t="str">
        <v>Bulgaria</v>
      </c>
      <c r="B6" s="89" t="str">
        <v>BGR</v>
      </c>
      <c r="C6" s="89" t="str">
        <f>IF($B6="","",IFERROR(INDEX(Screening!$A$2:$R$219,MATCH($B6,Screening!$B$2:$B$219,0),MATCH("Include in final index",Screening!$A$1:$R$1,0)),""))</f>
        <v>Yes</v>
      </c>
      <c r="D6" s="89">
        <f>IF($B6="","",IFERROR(INDEX('INDEX ranked'!$A$3:$J$200,MATCH($B6,'INDEX ranked'!$B$3:$B$200,0),MATCH("Rank",'INDEX ranked'!$A$2:$J$2,0)),""))</f>
        <v>11</v>
      </c>
      <c r="E6" s="71">
        <f>IF($B6="","",IFERROR(INDEX('INDEX ranked'!$A$3:$J$200,MATCH($B6,'INDEX ranked'!$B$3:$B$200,0),MATCH("Overall index score",'INDEX ranked'!$A$2:$J$2,0)),""))</f>
        <v>57.302979627028883</v>
      </c>
      <c r="F6" s="71">
        <f>IF($B6="","",IFERROR(INDEX('INDEX ranked'!$A$3:$J$200,MATCH($B6,'INDEX ranked'!$B$3:$B$200,0),MATCH(F$1,'INDEX ranked'!$A$2:$J$2,0)),""))</f>
        <v>55.203174657784132</v>
      </c>
      <c r="G6" s="71">
        <f>IF($B6="","",IFERROR(INDEX('INDEX ranked'!$A$3:$J$200,MATCH($B6,'INDEX ranked'!$B$3:$B$200,0),MATCH(G$1,'INDEX ranked'!$A$2:$J$2,0)),""))</f>
        <v>69.049864980741603</v>
      </c>
      <c r="H6" s="71">
        <f>IF($B6="","",IFERROR(INDEX('INDEX ranked'!$A$3:$J$200,MATCH($B6,'INDEX ranked'!$B$3:$B$200,0),MATCH(H$1,'INDEX ranked'!$A$2:$J$2,0)),""))</f>
        <v>54.430999999999997</v>
      </c>
      <c r="I6" s="71">
        <f>IF($B6="","",IFERROR(INDEX('INDEX ranked'!$A$3:$J$200,MATCH($B6,'INDEX ranked'!$B$3:$B$200,0),MATCH(I$1,'INDEX ranked'!$A$2:$J$2,0)),""))</f>
        <v>31.902320478210292</v>
      </c>
      <c r="J6" s="71">
        <f>IF($B6="","",IFERROR(INDEX('INDEX ranked'!$A$3:$J$200,MATCH($B6,'INDEX ranked'!$B$3:$B$200,0),MATCH(J$1,'INDEX ranked'!$A$2:$J$2,0)),""))</f>
        <v>67.029884024544472</v>
      </c>
      <c r="K6" s="71">
        <f>IF($B6="","",IFERROR(INDEX('INDEX ranked'!$A$3:$J$200,MATCH($B6,'INDEX ranked'!$B$3:$B$200,0),MATCH(K$1,'INDEX ranked'!$A$2:$J$2,0)),""))</f>
        <v>78.527749999999997</v>
      </c>
      <c r="L6" s="71">
        <f>IF($B6="","",IFERROR(INDEX('Pillar-1'!$A$5:$M$216,MATCH($B6,'Pillar-1'!$B$5:$B$216,0),MATCH(L$1,'Pillar-1'!$A$4:$M$4,0)),""))</f>
        <v>33.456947502607491</v>
      </c>
      <c r="M6" s="71">
        <f>IF($B6="","",IFERROR(INDEX('Pillar-1'!$A$5:$M$216,MATCH($B6,'Pillar-1'!$B$5:$B$216,0),MATCH(M$1,'Pillar-1'!$A$4:$M$4,0)),""))</f>
        <v>41.472420955458112</v>
      </c>
      <c r="N6" s="71">
        <f>IF($B6="","",IFERROR(INDEX('Pillar-1'!$A$5:$M$216,MATCH($B6,'Pillar-1'!$B$5:$B$216,0),MATCH(N$1,'Pillar-1'!$A$4:$M$4,0)),""))</f>
        <v>88.718619272097385</v>
      </c>
      <c r="O6" s="71">
        <f>IF($B6="","",IFERROR(INDEX('Pillar-2'!$A$5:$S$216,MATCH($B6,'Pillar-2'!$B$5:$B$216,0),MATCH(O$1,'Pillar-2'!$A$4:$S$4,0)),""))</f>
        <v>27.63</v>
      </c>
      <c r="P6" s="71">
        <f>IF($B6="","",IFERROR(INDEX('Pillar-2'!$A$5:$S$216,MATCH($B6,'Pillar-2'!$B$5:$B$216,0),MATCH(P$1,'Pillar-2'!$A$4:$S$4,0)),""))</f>
        <v>100</v>
      </c>
      <c r="Q6" s="71">
        <f>IF($B6="","",IFERROR(INDEX('Pillar-2'!$A$5:$S$216,MATCH($B6,'Pillar-2'!$B$5:$B$216,0),MATCH(Q$1,'Pillar-2'!$A$4:$S$4,0)),""))</f>
        <v>100</v>
      </c>
      <c r="R6" s="71">
        <f>IF($B6="","",IFERROR(INDEX('Pillar-2'!$A$5:$S$216,MATCH($B6,'Pillar-2'!$B$5:$B$216,0),MATCH(R$1,'Pillar-2'!$A$4:$S$4,0)),""))</f>
        <v>84.684862057933202</v>
      </c>
      <c r="S6" s="71">
        <f>IF($B6="","",IFERROR(INDEX('Pillar-2'!$A$5:$S$216,MATCH($B6,'Pillar-2'!$B$5:$B$216,0),MATCH(S$1,'Pillar-2'!$A$4:$S$4,0)),""))</f>
        <v>63.185202295705309</v>
      </c>
      <c r="T6" s="71">
        <f>IF($B6="","",IFERROR(INDEX('Pillar-2'!$A$5:$S$216,MATCH($B6,'Pillar-2'!$B$5:$B$216,0),MATCH(T$1,'Pillar-2'!$A$4:$S$4,0)),""))</f>
        <v>87.373215728812397</v>
      </c>
      <c r="U6" s="71">
        <f>IF($B6="","",IFERROR(INDEX('Pillar-2'!$A$5:$S$216,MATCH($B6,'Pillar-2'!$B$5:$B$216,0),MATCH(U$1,'Pillar-2'!$A$4:$S$4,0)),""))</f>
        <v>100</v>
      </c>
      <c r="V6" s="71">
        <f>IF($B6="","",IFERROR(INDEX('Pillar-2'!$A$5:$S$216,MATCH($B6,'Pillar-2'!$B$5:$B$216,0),MATCH(V$1,'Pillar-2'!$A$4:$S$4,0)),""))</f>
        <v>25</v>
      </c>
      <c r="W6" s="71">
        <f>IF($B6="","",IFERROR(INDEX('Pillar-3'!$A$5:$M$217,MATCH($B6,'Pillar-3'!$B$5:$B$217,0),MATCH(W$1,'Pillar-3'!$A$4:$M$4,0)),""))</f>
        <v>66.58</v>
      </c>
      <c r="X6" s="71">
        <f>IF($B6="","",IFERROR(INDEX('Pillar-3'!$A$5:$M$217,MATCH($B6,'Pillar-3'!$B$5:$B$217,0),MATCH(X$1,'Pillar-3'!$A$4:$M$4,0)),""))</f>
        <v>52.17</v>
      </c>
      <c r="Y6" s="71">
        <f>IF($B6="","",IFERROR(INDEX('Pillar-3'!$A$5:$M$217,MATCH($B6,'Pillar-3'!$B$5:$B$217,0),MATCH(Y$1,'Pillar-3'!$A$4:$M$4,0)),""))</f>
        <v>59.41</v>
      </c>
      <c r="Z6" s="71">
        <f>IF($B6="","",IFERROR(INDEX('Pillar-3'!$A$5:$M$217,MATCH($B6,'Pillar-3'!$B$5:$B$217,0),MATCH(Z$1,'Pillar-3'!$A$4:$M$4,0)),""))</f>
        <v>56.39</v>
      </c>
      <c r="AA6" s="71">
        <f>IF($B6="","",IFERROR(INDEX('Pillar-3'!$A$5:$M$217,MATCH($B6,'Pillar-3'!$B$5:$B$217,0),MATCH(AA$1,'Pillar-3'!$A$4:$M$4,0)),""))</f>
        <v>43</v>
      </c>
      <c r="AB6" s="71">
        <f>IF($B6="","",IFERROR(INDEX('Pillar-4'!$A$5:$R$217,MATCH($B6,'Pillar-4'!$B$5:$B$217,0),MATCH(AB$1,'Pillar-4'!$A$4:$R$4,0)),""))</f>
        <v>27.909491500903865</v>
      </c>
      <c r="AC6" s="71">
        <f>IF($B6="","",IFERROR(INDEX('Pillar-4'!$A$5:$R$217,MATCH($B6,'Pillar-4'!$B$5:$B$217,0),MATCH(AC$1,'Pillar-4'!$A$4:$R$4,0)),""))</f>
        <v>74.895698846750449</v>
      </c>
      <c r="AD6" s="71">
        <f>IF($B6="","",IFERROR(INDEX('Pillar-4'!$A$5:$R$217,MATCH($B6,'Pillar-4'!$B$5:$B$217,0),MATCH(AD$1,'Pillar-4'!$A$4:$R$4,0)),""))</f>
        <v>75.608549391196163</v>
      </c>
      <c r="AE6" s="71">
        <f>IF($B6="","",IFERROR(INDEX('Pillar-4'!$A$5:$R$217,MATCH($B6,'Pillar-4'!$B$5:$B$217,0),MATCH(AE$1,'Pillar-4'!$A$4:$R$4,0)),""))</f>
        <v>0</v>
      </c>
      <c r="AF6" s="71">
        <f>IF($B6="","",IFERROR(INDEX('Pillar-4'!$A$5:$R$217,MATCH($B6,'Pillar-4'!$B$5:$B$217,0),MATCH(AF$1,'Pillar-4'!$A$4:$R$4,0)),""))</f>
        <v>0</v>
      </c>
      <c r="AG6" s="71">
        <f>IF($B6="","",IFERROR(INDEX('Pillar-5'!$A$5:$Q$216,MATCH($B6,'Pillar-5'!$B$5:$B$216,0),MATCH(AG$1,'Pillar-5'!$A$4:$Q$4,0)),""))</f>
        <v>23.533951244262521</v>
      </c>
      <c r="AH6" s="71">
        <f>IF($B6="","",IFERROR(INDEX('Pillar-5'!$A$5:$Q$216,MATCH($B6,'Pillar-5'!$B$5:$B$216,0),MATCH(AH$1,'Pillar-5'!$A$4:$Q$4,0)),""))</f>
        <v>100</v>
      </c>
      <c r="AI6" s="71">
        <f>IF($B6="","",IFERROR(INDEX('Pillar-5'!$A$5:$Q$216,MATCH($B6,'Pillar-5'!$B$5:$B$216,0),MATCH(AI$1,'Pillar-5'!$A$4:$Q$4,0)),""))</f>
        <v>84.106666666666669</v>
      </c>
      <c r="AJ6" s="71">
        <f>IF($B6="","",IFERROR(INDEX('Pillar-5'!$A$5:$Q$216,MATCH($B6,'Pillar-5'!$B$5:$B$216,0),MATCH(AJ$1,'Pillar-5'!$A$4:$Q$4,0)),""))</f>
        <v>72.593461271729538</v>
      </c>
      <c r="AK6" s="71">
        <f>IF($B6="","",IFERROR(INDEX('Pillar-6'!$A$5:$Q$216,MATCH($B6,'Pillar-6'!$B$5:$B$216,0),MATCH(AK$1,'Pillar-6'!$A$4:$Q$4,0)),""))</f>
        <v>60</v>
      </c>
      <c r="AL6" s="71">
        <f>IF($B6="","",IFERROR(INDEX('Pillar-6'!$A$5:$Q$216,MATCH($B6,'Pillar-6'!$B$5:$B$216,0),MATCH(AL$1,'Pillar-6'!$A$4:$Q$4,0)),""))</f>
        <v>83.394999999999996</v>
      </c>
      <c r="AM6" s="71">
        <f>IF($B6="","",IFERROR(INDEX('Pillar-6'!$A$5:$Q$216,MATCH($B6,'Pillar-6'!$B$5:$B$216,0),MATCH(AM$1,'Pillar-6'!$A$4:$Q$4,0)),""))</f>
        <v>100</v>
      </c>
    </row>
    <row r="7" spans="1:40" s="35" customFormat="1" ht="20" customHeight="1">
      <c r="A7" s="35" t="str">
        <v>Cambodia</v>
      </c>
      <c r="B7" s="89" t="str">
        <v>KHM</v>
      </c>
      <c r="C7" s="89" t="str">
        <f>IF($B7="","",IFERROR(INDEX(Screening!$A$2:$R$219,MATCH($B7,Screening!$B$2:$B$219,0),MATCH("Include in final index",Screening!$A$1:$R$1,0)),""))</f>
        <v>Yes</v>
      </c>
      <c r="D7" s="89">
        <f>IF($B7="","",IFERROR(INDEX('INDEX ranked'!$A$3:$J$200,MATCH($B7,'INDEX ranked'!$B$3:$B$200,0),MATCH("Rank",'INDEX ranked'!$A$2:$J$2,0)),""))</f>
        <v>20</v>
      </c>
      <c r="E7" s="71">
        <f>IF($B7="","",IFERROR(INDEX('INDEX ranked'!$A$3:$J$200,MATCH($B7,'INDEX ranked'!$B$3:$B$200,0),MATCH("Overall index score",'INDEX ranked'!$A$2:$J$2,0)),""))</f>
        <v>49.013545384003486</v>
      </c>
      <c r="F7" s="71">
        <f>IF($B7="","",IFERROR(INDEX('INDEX ranked'!$A$3:$J$200,MATCH($B7,'INDEX ranked'!$B$3:$B$200,0),MATCH(F$1,'INDEX ranked'!$A$2:$J$2,0)),""))</f>
        <v>32.203217333020483</v>
      </c>
      <c r="G7" s="71">
        <f>IF($B7="","",IFERROR(INDEX('INDEX ranked'!$A$3:$J$200,MATCH($B7,'INDEX ranked'!$B$3:$B$200,0),MATCH(G$1,'INDEX ranked'!$A$2:$J$2,0)),""))</f>
        <v>17.98822894922889</v>
      </c>
      <c r="H7" s="71">
        <f>IF($B7="","",IFERROR(INDEX('INDEX ranked'!$A$3:$J$200,MATCH($B7,'INDEX ranked'!$B$3:$B$200,0),MATCH(H$1,'INDEX ranked'!$A$2:$J$2,0)),""))</f>
        <v>41.782000000000004</v>
      </c>
      <c r="I7" s="71">
        <f>IF($B7="","",IFERROR(INDEX('INDEX ranked'!$A$3:$J$200,MATCH($B7,'INDEX ranked'!$B$3:$B$200,0),MATCH(I$1,'INDEX ranked'!$A$2:$J$2,0)),""))</f>
        <v>78.863970165964091</v>
      </c>
      <c r="J7" s="71">
        <f>IF($B7="","",IFERROR(INDEX('INDEX ranked'!$A$3:$J$200,MATCH($B7,'INDEX ranked'!$B$3:$B$200,0),MATCH(J$1,'INDEX ranked'!$A$2:$J$2,0)),""))</f>
        <v>84.482080629071959</v>
      </c>
      <c r="K7" s="71">
        <f>IF($B7="","",IFERROR(INDEX('INDEX ranked'!$A$3:$J$200,MATCH($B7,'INDEX ranked'!$B$3:$B$200,0),MATCH(K$1,'INDEX ranked'!$A$2:$J$2,0)),""))</f>
        <v>42.628500000000003</v>
      </c>
      <c r="L7" s="71">
        <f>IF($B7="","",IFERROR(INDEX('Pillar-1'!$A$5:$M$216,MATCH($B7,'Pillar-1'!$B$5:$B$216,0),MATCH(L$1,'Pillar-1'!$A$4:$M$4,0)),""))</f>
        <v>40.120523815042304</v>
      </c>
      <c r="M7" s="71">
        <f>IF($B7="","",IFERROR(INDEX('Pillar-1'!$A$5:$M$216,MATCH($B7,'Pillar-1'!$B$5:$B$216,0),MATCH(M$1,'Pillar-1'!$A$4:$M$4,0)),""))</f>
        <v>15.55504269559197</v>
      </c>
      <c r="N7" s="71">
        <f>IF($B7="","",IFERROR(INDEX('Pillar-1'!$A$5:$M$216,MATCH($B7,'Pillar-1'!$B$5:$B$216,0),MATCH(N$1,'Pillar-1'!$A$4:$M$4,0)),""))</f>
        <v>38.555774825937384</v>
      </c>
      <c r="O7" s="71">
        <f>IF($B7="","",IFERROR(INDEX('Pillar-2'!$A$5:$S$216,MATCH($B7,'Pillar-2'!$B$5:$B$216,0),MATCH(O$1,'Pillar-2'!$A$4:$S$4,0)),""))</f>
        <v>16.507936507936499</v>
      </c>
      <c r="P7" s="71">
        <f>IF($B7="","",IFERROR(INDEX('Pillar-2'!$A$5:$S$216,MATCH($B7,'Pillar-2'!$B$5:$B$216,0),MATCH(P$1,'Pillar-2'!$A$4:$S$4,0)),""))</f>
        <v>100</v>
      </c>
      <c r="Q7" s="71">
        <f>IF($B7="","",IFERROR(INDEX('Pillar-2'!$A$5:$S$216,MATCH($B7,'Pillar-2'!$B$5:$B$216,0),MATCH(Q$1,'Pillar-2'!$A$4:$S$4,0)),""))</f>
        <v>6.063806897090851E-2</v>
      </c>
      <c r="R7" s="71">
        <f>IF($B7="","",IFERROR(INDEX('Pillar-2'!$A$5:$S$216,MATCH($B7,'Pillar-2'!$B$5:$B$216,0),MATCH(R$1,'Pillar-2'!$A$4:$S$4,0)),""))</f>
        <v>0</v>
      </c>
      <c r="S7" s="71">
        <f>IF($B7="","",IFERROR(INDEX('Pillar-2'!$A$5:$S$216,MATCH($B7,'Pillar-2'!$B$5:$B$216,0),MATCH(S$1,'Pillar-2'!$A$4:$S$4,0)),""))</f>
        <v>0</v>
      </c>
      <c r="T7" s="71">
        <f>IF($B7="","",IFERROR(INDEX('Pillar-2'!$A$5:$S$216,MATCH($B7,'Pillar-2'!$B$5:$B$216,0),MATCH(T$1,'Pillar-2'!$A$4:$S$4,0)),""))</f>
        <v>0</v>
      </c>
      <c r="U7" s="71">
        <f>IF($B7="","",IFERROR(INDEX('Pillar-2'!$A$5:$S$216,MATCH($B7,'Pillar-2'!$B$5:$B$216,0),MATCH(U$1,'Pillar-2'!$A$4:$S$4,0)),""))</f>
        <v>0</v>
      </c>
      <c r="V7" s="71">
        <f>IF($B7="","",IFERROR(INDEX('Pillar-2'!$A$5:$S$216,MATCH($B7,'Pillar-2'!$B$5:$B$216,0),MATCH(V$1,'Pillar-2'!$A$4:$S$4,0)),""))</f>
        <v>0</v>
      </c>
      <c r="W7" s="71">
        <f>IF($B7="","",IFERROR(INDEX('Pillar-3'!$A$5:$M$217,MATCH($B7,'Pillar-3'!$B$5:$B$217,0),MATCH(W$1,'Pillar-3'!$A$4:$M$4,0)),""))</f>
        <v>68.09</v>
      </c>
      <c r="X7" s="71">
        <f>IF($B7="","",IFERROR(INDEX('Pillar-3'!$A$5:$M$217,MATCH($B7,'Pillar-3'!$B$5:$B$217,0),MATCH(X$1,'Pillar-3'!$A$4:$M$4,0)),""))</f>
        <v>45.63</v>
      </c>
      <c r="Y7" s="71">
        <f>IF($B7="","",IFERROR(INDEX('Pillar-3'!$A$5:$M$217,MATCH($B7,'Pillar-3'!$B$5:$B$217,0),MATCH(Y$1,'Pillar-3'!$A$4:$M$4,0)),""))</f>
        <v>44.91</v>
      </c>
      <c r="Z7" s="71">
        <f>IF($B7="","",IFERROR(INDEX('Pillar-3'!$A$5:$M$217,MATCH($B7,'Pillar-3'!$B$5:$B$217,0),MATCH(Z$1,'Pillar-3'!$A$4:$M$4,0)),""))</f>
        <v>38.79</v>
      </c>
      <c r="AA7" s="71">
        <f>IF($B7="","",IFERROR(INDEX('Pillar-3'!$A$5:$M$217,MATCH($B7,'Pillar-3'!$B$5:$B$217,0),MATCH(AA$1,'Pillar-3'!$A$4:$M$4,0)),""))</f>
        <v>22.9</v>
      </c>
      <c r="AB7" s="71">
        <f>IF($B7="","",IFERROR(INDEX('Pillar-4'!$A$5:$R$217,MATCH($B7,'Pillar-4'!$B$5:$B$217,0),MATCH(AB$1,'Pillar-4'!$A$4:$R$4,0)),""))</f>
        <v>47.329500309680192</v>
      </c>
      <c r="AC7" s="71">
        <f>IF($B7="","",IFERROR(INDEX('Pillar-4'!$A$5:$R$217,MATCH($B7,'Pillar-4'!$B$5:$B$217,0),MATCH(AC$1,'Pillar-4'!$A$4:$R$4,0)),""))</f>
        <v>88.762670409318559</v>
      </c>
      <c r="AD7" s="71">
        <f>IF($B7="","",IFERROR(INDEX('Pillar-4'!$A$5:$R$217,MATCH($B7,'Pillar-4'!$B$5:$B$217,0),MATCH(AD$1,'Pillar-4'!$A$4:$R$4,0)),""))</f>
        <v>85.970240147762297</v>
      </c>
      <c r="AE7" s="71">
        <f>IF($B7="","",IFERROR(INDEX('Pillar-4'!$A$5:$R$217,MATCH($B7,'Pillar-4'!$B$5:$B$217,0),MATCH(AE$1,'Pillar-4'!$A$4:$R$4,0)),""))</f>
        <v>100</v>
      </c>
      <c r="AF7" s="71">
        <f>IF($B7="","",IFERROR(INDEX('Pillar-4'!$A$5:$R$217,MATCH($B7,'Pillar-4'!$B$5:$B$217,0),MATCH(AF$1,'Pillar-4'!$A$4:$R$4,0)),""))</f>
        <v>75</v>
      </c>
      <c r="AG7" s="71">
        <f>IF($B7="","",IFERROR(INDEX('Pillar-5'!$A$5:$Q$216,MATCH($B7,'Pillar-5'!$B$5:$B$216,0),MATCH(AG$1,'Pillar-5'!$A$4:$Q$4,0)),""))</f>
        <v>62.329882874732853</v>
      </c>
      <c r="AH7" s="71">
        <f>IF($B7="","",IFERROR(INDEX('Pillar-5'!$A$5:$Q$216,MATCH($B7,'Pillar-5'!$B$5:$B$216,0),MATCH(AH$1,'Pillar-5'!$A$4:$Q$4,0)),""))</f>
        <v>100</v>
      </c>
      <c r="AI7" s="71">
        <f>IF($B7="","",IFERROR(INDEX('Pillar-5'!$A$5:$Q$216,MATCH($B7,'Pillar-5'!$B$5:$B$216,0),MATCH(AI$1,'Pillar-5'!$A$4:$Q$4,0)),""))</f>
        <v>82.574666666666673</v>
      </c>
      <c r="AJ7" s="71">
        <f>IF($B7="","",IFERROR(INDEX('Pillar-5'!$A$5:$Q$216,MATCH($B7,'Pillar-5'!$B$5:$B$216,0),MATCH(AJ$1,'Pillar-5'!$A$4:$Q$4,0)),""))</f>
        <v>97.072729733275111</v>
      </c>
      <c r="AK7" s="71">
        <f>IF($B7="","",IFERROR(INDEX('Pillar-6'!$A$5:$Q$216,MATCH($B7,'Pillar-6'!$B$5:$B$216,0),MATCH(AK$1,'Pillar-6'!$A$4:$Q$4,0)),""))</f>
        <v>20</v>
      </c>
      <c r="AL7" s="71">
        <f>IF($B7="","",IFERROR(INDEX('Pillar-6'!$A$5:$Q$216,MATCH($B7,'Pillar-6'!$B$5:$B$216,0),MATCH(AL$1,'Pillar-6'!$A$4:$Q$4,0)),""))</f>
        <v>34.730000000000004</v>
      </c>
      <c r="AM7" s="71">
        <f>IF($B7="","",IFERROR(INDEX('Pillar-6'!$A$5:$Q$216,MATCH($B7,'Pillar-6'!$B$5:$B$216,0),MATCH(AM$1,'Pillar-6'!$A$4:$Q$4,0)),""))</f>
        <v>100</v>
      </c>
    </row>
    <row r="8" spans="1:40" s="35" customFormat="1" ht="20" customHeight="1">
      <c r="A8" s="35" t="str">
        <v>Canada</v>
      </c>
      <c r="B8" s="89" t="str">
        <v>CAN</v>
      </c>
      <c r="C8" s="89" t="str">
        <f>IF($B8="","",IFERROR(INDEX(Screening!$A$2:$R$219,MATCH($B8,Screening!$B$2:$B$219,0),MATCH("Include in final index",Screening!$A$1:$R$1,0)),""))</f>
        <v>Yes</v>
      </c>
      <c r="D8" s="89">
        <f>IF($B8="","",IFERROR(INDEX('INDEX ranked'!$A$3:$J$200,MATCH($B8,'INDEX ranked'!$B$3:$B$200,0),MATCH("Rank",'INDEX ranked'!$A$2:$J$2,0)),""))</f>
        <v>3</v>
      </c>
      <c r="E8" s="71">
        <f>IF($B8="","",IFERROR(INDEX('INDEX ranked'!$A$3:$J$200,MATCH($B8,'INDEX ranked'!$B$3:$B$200,0),MATCH("Overall index score",'INDEX ranked'!$A$2:$J$2,0)),""))</f>
        <v>66.630184481599045</v>
      </c>
      <c r="F8" s="71">
        <f>IF($B8="","",IFERROR(INDEX('INDEX ranked'!$A$3:$J$200,MATCH($B8,'INDEX ranked'!$B$3:$B$200,0),MATCH(F$1,'INDEX ranked'!$A$2:$J$2,0)),""))</f>
        <v>66.642502457310357</v>
      </c>
      <c r="G8" s="71">
        <f>IF($B8="","",IFERROR(INDEX('INDEX ranked'!$A$3:$J$200,MATCH($B8,'INDEX ranked'!$B$3:$B$200,0),MATCH(G$1,'INDEX ranked'!$A$2:$J$2,0)),""))</f>
        <v>61.782230524109885</v>
      </c>
      <c r="H8" s="71">
        <f>IF($B8="","",IFERROR(INDEX('INDEX ranked'!$A$3:$J$200,MATCH($B8,'INDEX ranked'!$B$3:$B$200,0),MATCH(H$1,'INDEX ranked'!$A$2:$J$2,0)),""))</f>
        <v>80.6845</v>
      </c>
      <c r="I8" s="71">
        <f>IF($B8="","",IFERROR(INDEX('INDEX ranked'!$A$3:$J$200,MATCH($B8,'INDEX ranked'!$B$3:$B$200,0),MATCH(I$1,'INDEX ranked'!$A$2:$J$2,0)),""))</f>
        <v>45.087058078261769</v>
      </c>
      <c r="J8" s="71">
        <f>IF($B8="","",IFERROR(INDEX('INDEX ranked'!$A$3:$J$200,MATCH($B8,'INDEX ranked'!$B$3:$B$200,0),MATCH(J$1,'INDEX ranked'!$A$2:$J$2,0)),""))</f>
        <v>79.666175131084259</v>
      </c>
      <c r="K8" s="71">
        <f>IF($B8="","",IFERROR(INDEX('INDEX ranked'!$A$3:$J$200,MATCH($B8,'INDEX ranked'!$B$3:$B$200,0),MATCH(K$1,'INDEX ranked'!$A$2:$J$2,0)),""))</f>
        <v>78.752250000000004</v>
      </c>
      <c r="L8" s="71">
        <f>IF($B8="","",IFERROR(INDEX('Pillar-1'!$A$5:$M$216,MATCH($B8,'Pillar-1'!$B$5:$B$216,0),MATCH(L$1,'Pillar-1'!$A$4:$M$4,0)),""))</f>
        <v>73.276161780044035</v>
      </c>
      <c r="M8" s="71">
        <f>IF($B8="","",IFERROR(INDEX('Pillar-1'!$A$5:$M$216,MATCH($B8,'Pillar-1'!$B$5:$B$216,0),MATCH(M$1,'Pillar-1'!$A$4:$M$4,0)),""))</f>
        <v>19.986152780983154</v>
      </c>
      <c r="N8" s="71">
        <f>IF($B8="","",IFERROR(INDEX('Pillar-1'!$A$5:$M$216,MATCH($B8,'Pillar-1'!$B$5:$B$216,0),MATCH(N$1,'Pillar-1'!$A$4:$M$4,0)),""))</f>
        <v>100</v>
      </c>
      <c r="O8" s="71">
        <f>IF($B8="","",IFERROR(INDEX('Pillar-2'!$A$5:$S$216,MATCH($B8,'Pillar-2'!$B$5:$B$216,0),MATCH(O$1,'Pillar-2'!$A$4:$S$4,0)),""))</f>
        <v>33.648148148148103</v>
      </c>
      <c r="P8" s="71">
        <f>IF($B8="","",IFERROR(INDEX('Pillar-2'!$A$5:$S$216,MATCH($B8,'Pillar-2'!$B$5:$B$216,0),MATCH(P$1,'Pillar-2'!$A$4:$S$4,0)),""))</f>
        <v>100</v>
      </c>
      <c r="Q8" s="71">
        <f>IF($B8="","",IFERROR(INDEX('Pillar-2'!$A$5:$S$216,MATCH($B8,'Pillar-2'!$B$5:$B$216,0),MATCH(Q$1,'Pillar-2'!$A$4:$S$4,0)),""))</f>
        <v>100</v>
      </c>
      <c r="R8" s="71">
        <f>IF($B8="","",IFERROR(INDEX('Pillar-2'!$A$5:$S$216,MATCH($B8,'Pillar-2'!$B$5:$B$216,0),MATCH(R$1,'Pillar-2'!$A$4:$S$4,0)),""))</f>
        <v>54.281003125538362</v>
      </c>
      <c r="S8" s="71">
        <f>IF($B8="","",IFERROR(INDEX('Pillar-2'!$A$5:$S$216,MATCH($B8,'Pillar-2'!$B$5:$B$216,0),MATCH(S$1,'Pillar-2'!$A$4:$S$4,0)),""))</f>
        <v>0.43355425647221668</v>
      </c>
      <c r="T8" s="71">
        <f>IF($B8="","",IFERROR(INDEX('Pillar-2'!$A$5:$S$216,MATCH($B8,'Pillar-2'!$B$5:$B$216,0),MATCH(T$1,'Pillar-2'!$A$4:$S$4,0)),""))</f>
        <v>2.2338232561355702</v>
      </c>
      <c r="U8" s="71">
        <f>IF($B8="","",IFERROR(INDEX('Pillar-2'!$A$5:$S$216,MATCH($B8,'Pillar-2'!$B$5:$B$216,0),MATCH(U$1,'Pillar-2'!$A$4:$S$4,0)),""))</f>
        <v>100</v>
      </c>
      <c r="V8" s="71">
        <f>IF($B8="","",IFERROR(INDEX('Pillar-2'!$A$5:$S$216,MATCH($B8,'Pillar-2'!$B$5:$B$216,0),MATCH(V$1,'Pillar-2'!$A$4:$S$4,0)),""))</f>
        <v>75</v>
      </c>
      <c r="W8" s="71">
        <f>IF($B8="","",IFERROR(INDEX('Pillar-3'!$A$5:$M$217,MATCH($B8,'Pillar-3'!$B$5:$B$217,0),MATCH(W$1,'Pillar-3'!$A$4:$M$4,0)),""))</f>
        <v>76.12</v>
      </c>
      <c r="X8" s="71">
        <f>IF($B8="","",IFERROR(INDEX('Pillar-3'!$A$5:$M$217,MATCH($B8,'Pillar-3'!$B$5:$B$217,0),MATCH(X$1,'Pillar-3'!$A$4:$M$4,0)),""))</f>
        <v>85.54</v>
      </c>
      <c r="Y8" s="71">
        <f>IF($B8="","",IFERROR(INDEX('Pillar-3'!$A$5:$M$217,MATCH($B8,'Pillar-3'!$B$5:$B$217,0),MATCH(Y$1,'Pillar-3'!$A$4:$M$4,0)),""))</f>
        <v>76.349999999999994</v>
      </c>
      <c r="Z8" s="71">
        <f>IF($B8="","",IFERROR(INDEX('Pillar-3'!$A$5:$M$217,MATCH($B8,'Pillar-3'!$B$5:$B$217,0),MATCH(Z$1,'Pillar-3'!$A$4:$M$4,0)),""))</f>
        <v>82.11</v>
      </c>
      <c r="AA8" s="71">
        <f>IF($B8="","",IFERROR(INDEX('Pillar-3'!$A$5:$M$217,MATCH($B8,'Pillar-3'!$B$5:$B$217,0),MATCH(AA$1,'Pillar-3'!$A$4:$M$4,0)),""))</f>
        <v>80.89</v>
      </c>
      <c r="AB8" s="71">
        <f>IF($B8="","",IFERROR(INDEX('Pillar-4'!$A$5:$R$217,MATCH($B8,'Pillar-4'!$B$5:$B$217,0),MATCH(AB$1,'Pillar-4'!$A$4:$R$4,0)),""))</f>
        <v>54.264331425345972</v>
      </c>
      <c r="AC8" s="71">
        <f>IF($B8="","",IFERROR(INDEX('Pillar-4'!$A$5:$R$217,MATCH($B8,'Pillar-4'!$B$5:$B$217,0),MATCH(AC$1,'Pillar-4'!$A$4:$R$4,0)),""))</f>
        <v>81.013002329374544</v>
      </c>
      <c r="AD8" s="71">
        <f>IF($B8="","",IFERROR(INDEX('Pillar-4'!$A$5:$R$217,MATCH($B8,'Pillar-4'!$B$5:$B$217,0),MATCH(AD$1,'Pillar-4'!$A$4:$R$4,0)),""))</f>
        <v>78.543942182117746</v>
      </c>
      <c r="AE8" s="71">
        <f>IF($B8="","",IFERROR(INDEX('Pillar-4'!$A$5:$R$217,MATCH($B8,'Pillar-4'!$B$5:$B$217,0),MATCH(AE$1,'Pillar-4'!$A$4:$R$4,0)),""))</f>
        <v>0</v>
      </c>
      <c r="AF8" s="71">
        <f>IF($B8="","",IFERROR(INDEX('Pillar-4'!$A$5:$R$217,MATCH($B8,'Pillar-4'!$B$5:$B$217,0),MATCH(AF$1,'Pillar-4'!$A$4:$R$4,0)),""))</f>
        <v>25</v>
      </c>
      <c r="AG8" s="71">
        <f>IF($B8="","",IFERROR(INDEX('Pillar-5'!$A$5:$Q$216,MATCH($B8,'Pillar-5'!$B$5:$B$216,0),MATCH(AG$1,'Pillar-5'!$A$4:$Q$4,0)),""))</f>
        <v>100</v>
      </c>
      <c r="AH8" s="71">
        <f>IF($B8="","",IFERROR(INDEX('Pillar-5'!$A$5:$Q$216,MATCH($B8,'Pillar-5'!$B$5:$B$216,0),MATCH(AH$1,'Pillar-5'!$A$4:$Q$4,0)),""))</f>
        <v>100</v>
      </c>
      <c r="AI8" s="71">
        <f>IF($B8="","",IFERROR(INDEX('Pillar-5'!$A$5:$Q$216,MATCH($B8,'Pillar-5'!$B$5:$B$216,0),MATCH(AI$1,'Pillar-5'!$A$4:$Q$4,0)),""))</f>
        <v>26.653999999999996</v>
      </c>
      <c r="AJ8" s="71">
        <f>IF($B8="","",IFERROR(INDEX('Pillar-5'!$A$5:$Q$216,MATCH($B8,'Pillar-5'!$B$5:$B$216,0),MATCH(AJ$1,'Pillar-5'!$A$4:$Q$4,0)),""))</f>
        <v>77.341500524337064</v>
      </c>
      <c r="AK8" s="71">
        <f>IF($B8="","",IFERROR(INDEX('Pillar-6'!$A$5:$Q$216,MATCH($B8,'Pillar-6'!$B$5:$B$216,0),MATCH(AK$1,'Pillar-6'!$A$4:$Q$4,0)),""))</f>
        <v>60</v>
      </c>
      <c r="AL8" s="71">
        <f>IF($B8="","",IFERROR(INDEX('Pillar-6'!$A$5:$Q$216,MATCH($B8,'Pillar-6'!$B$5:$B$216,0),MATCH(AL$1,'Pillar-6'!$A$4:$Q$4,0)),""))</f>
        <v>95.004999999999995</v>
      </c>
      <c r="AM8" s="71">
        <f>IF($B8="","",IFERROR(INDEX('Pillar-6'!$A$5:$Q$216,MATCH($B8,'Pillar-6'!$B$5:$B$216,0),MATCH(AM$1,'Pillar-6'!$A$4:$Q$4,0)),""))</f>
        <v>75</v>
      </c>
    </row>
    <row r="9" spans="1:40" s="35" customFormat="1" ht="20" customHeight="1">
      <c r="A9" s="35" t="str">
        <v>Chile</v>
      </c>
      <c r="B9" s="89" t="str">
        <v>CHL</v>
      </c>
      <c r="C9" s="89" t="str">
        <f>IF($B9="","",IFERROR(INDEX(Screening!$A$2:$R$219,MATCH($B9,Screening!$B$2:$B$219,0),MATCH("Include in final index",Screening!$A$1:$R$1,0)),""))</f>
        <v>Yes</v>
      </c>
      <c r="D9" s="89">
        <f>IF($B9="","",IFERROR(INDEX('INDEX ranked'!$A$3:$J$200,MATCH($B9,'INDEX ranked'!$B$3:$B$200,0),MATCH("Rank",'INDEX ranked'!$A$2:$J$2,0)),""))</f>
        <v>1</v>
      </c>
      <c r="E9" s="71">
        <f>IF($B9="","",IFERROR(INDEX('INDEX ranked'!$A$3:$J$200,MATCH($B9,'INDEX ranked'!$B$3:$B$200,0),MATCH("Overall index score",'INDEX ranked'!$A$2:$J$2,0)),""))</f>
        <v>76.456820540174689</v>
      </c>
      <c r="F9" s="71">
        <f>IF($B9="","",IFERROR(INDEX('INDEX ranked'!$A$3:$J$200,MATCH($B9,'INDEX ranked'!$B$3:$B$200,0),MATCH(F$1,'INDEX ranked'!$A$2:$J$2,0)),""))</f>
        <v>84.124011228417714</v>
      </c>
      <c r="G9" s="71">
        <f>IF($B9="","",IFERROR(INDEX('INDEX ranked'!$A$3:$J$200,MATCH($B9,'INDEX ranked'!$B$3:$B$200,0),MATCH(G$1,'INDEX ranked'!$A$2:$J$2,0)),""))</f>
        <v>96.046666666666653</v>
      </c>
      <c r="H9" s="71">
        <f>IF($B9="","",IFERROR(INDEX('INDEX ranked'!$A$3:$J$200,MATCH($B9,'INDEX ranked'!$B$3:$B$200,0),MATCH(H$1,'INDEX ranked'!$A$2:$J$2,0)),""))</f>
        <v>68.9345</v>
      </c>
      <c r="I9" s="71">
        <f>IF($B9="","",IFERROR(INDEX('INDEX ranked'!$A$3:$J$200,MATCH($B9,'INDEX ranked'!$B$3:$B$200,0),MATCH(I$1,'INDEX ranked'!$A$2:$J$2,0)),""))</f>
        <v>66.186104854878621</v>
      </c>
      <c r="J9" s="71">
        <f>IF($B9="","",IFERROR(INDEX('INDEX ranked'!$A$3:$J$200,MATCH($B9,'INDEX ranked'!$B$3:$B$200,0),MATCH(J$1,'INDEX ranked'!$A$2:$J$2,0)),""))</f>
        <v>64.39942660121396</v>
      </c>
      <c r="K9" s="71">
        <f>IF($B9="","",IFERROR(INDEX('INDEX ranked'!$A$3:$J$200,MATCH($B9,'INDEX ranked'!$B$3:$B$200,0),MATCH(K$1,'INDEX ranked'!$A$2:$J$2,0)),""))</f>
        <v>71.853749999999991</v>
      </c>
      <c r="L9" s="71">
        <f>IF($B9="","",IFERROR(INDEX('Pillar-1'!$A$5:$M$216,MATCH($B9,'Pillar-1'!$B$5:$B$216,0),MATCH(L$1,'Pillar-1'!$A$4:$M$4,0)),""))</f>
        <v>79.962915749217771</v>
      </c>
      <c r="M9" s="71">
        <f>IF($B9="","",IFERROR(INDEX('Pillar-1'!$A$5:$M$216,MATCH($B9,'Pillar-1'!$B$5:$B$216,0),MATCH(M$1,'Pillar-1'!$A$4:$M$4,0)),""))</f>
        <v>79.344564966535884</v>
      </c>
      <c r="N9" s="71">
        <f>IF($B9="","",IFERROR(INDEX('Pillar-1'!$A$5:$M$216,MATCH($B9,'Pillar-1'!$B$5:$B$216,0),MATCH(N$1,'Pillar-1'!$A$4:$M$4,0)),""))</f>
        <v>92.381774932087836</v>
      </c>
      <c r="O9" s="71">
        <f>IF($B9="","",IFERROR(INDEX('Pillar-2'!$A$5:$S$216,MATCH($B9,'Pillar-2'!$B$5:$B$216,0),MATCH(O$1,'Pillar-2'!$A$4:$S$4,0)),""))</f>
        <v>67.0555555555555</v>
      </c>
      <c r="P9" s="71">
        <f>IF($B9="","",IFERROR(INDEX('Pillar-2'!$A$5:$S$216,MATCH($B9,'Pillar-2'!$B$5:$B$216,0),MATCH(P$1,'Pillar-2'!$A$4:$S$4,0)),""))</f>
        <v>100</v>
      </c>
      <c r="Q9" s="71">
        <f>IF($B9="","",IFERROR(INDEX('Pillar-2'!$A$5:$S$216,MATCH($B9,'Pillar-2'!$B$5:$B$216,0),MATCH(Q$1,'Pillar-2'!$A$4:$S$4,0)),""))</f>
        <v>100</v>
      </c>
      <c r="R9" s="71">
        <f>IF($B9="","",IFERROR(INDEX('Pillar-2'!$A$5:$S$216,MATCH($B9,'Pillar-2'!$B$5:$B$216,0),MATCH(R$1,'Pillar-2'!$A$4:$S$4,0)),""))</f>
        <v>100</v>
      </c>
      <c r="S9" s="71">
        <f>IF($B9="","",IFERROR(INDEX('Pillar-2'!$A$5:$S$216,MATCH($B9,'Pillar-2'!$B$5:$B$216,0),MATCH(S$1,'Pillar-2'!$A$4:$S$4,0)),""))</f>
        <v>100</v>
      </c>
      <c r="T9" s="71">
        <f>IF($B9="","",IFERROR(INDEX('Pillar-2'!$A$5:$S$216,MATCH($B9,'Pillar-2'!$B$5:$B$216,0),MATCH(T$1,'Pillar-2'!$A$4:$S$4,0)),""))</f>
        <v>100</v>
      </c>
      <c r="U9" s="71">
        <f>IF($B9="","",IFERROR(INDEX('Pillar-2'!$A$5:$S$216,MATCH($B9,'Pillar-2'!$B$5:$B$216,0),MATCH(U$1,'Pillar-2'!$A$4:$S$4,0)),""))</f>
        <v>100</v>
      </c>
      <c r="V9" s="71">
        <f>IF($B9="","",IFERROR(INDEX('Pillar-2'!$A$5:$S$216,MATCH($B9,'Pillar-2'!$B$5:$B$216,0),MATCH(V$1,'Pillar-2'!$A$4:$S$4,0)),""))</f>
        <v>100</v>
      </c>
      <c r="W9" s="71">
        <f>IF($B9="","",IFERROR(INDEX('Pillar-3'!$A$5:$M$217,MATCH($B9,'Pillar-3'!$B$5:$B$217,0),MATCH(W$1,'Pillar-3'!$A$4:$M$4,0)),""))</f>
        <v>67.97</v>
      </c>
      <c r="X9" s="71">
        <f>IF($B9="","",IFERROR(INDEX('Pillar-3'!$A$5:$M$217,MATCH($B9,'Pillar-3'!$B$5:$B$217,0),MATCH(X$1,'Pillar-3'!$A$4:$M$4,0)),""))</f>
        <v>70.09</v>
      </c>
      <c r="Y9" s="71">
        <f>IF($B9="","",IFERROR(INDEX('Pillar-3'!$A$5:$M$217,MATCH($B9,'Pillar-3'!$B$5:$B$217,0),MATCH(Y$1,'Pillar-3'!$A$4:$M$4,0)),""))</f>
        <v>67.180000000000007</v>
      </c>
      <c r="Z9" s="71">
        <f>IF($B9="","",IFERROR(INDEX('Pillar-3'!$A$5:$M$217,MATCH($B9,'Pillar-3'!$B$5:$B$217,0),MATCH(Z$1,'Pillar-3'!$A$4:$M$4,0)),""))</f>
        <v>68.86</v>
      </c>
      <c r="AA9" s="71">
        <f>IF($B9="","",IFERROR(INDEX('Pillar-3'!$A$5:$M$217,MATCH($B9,'Pillar-3'!$B$5:$B$217,0),MATCH(AA$1,'Pillar-3'!$A$4:$M$4,0)),""))</f>
        <v>70.239999999999995</v>
      </c>
      <c r="AB9" s="71">
        <f>IF($B9="","",IFERROR(INDEX('Pillar-4'!$A$5:$R$217,MATCH($B9,'Pillar-4'!$B$5:$B$217,0),MATCH(AB$1,'Pillar-4'!$A$4:$R$4,0)),""))</f>
        <v>49.170962768731449</v>
      </c>
      <c r="AC9" s="71">
        <f>IF($B9="","",IFERROR(INDEX('Pillar-4'!$A$5:$R$217,MATCH($B9,'Pillar-4'!$B$5:$B$217,0),MATCH(AC$1,'Pillar-4'!$A$4:$R$4,0)),""))</f>
        <v>79.591754658081342</v>
      </c>
      <c r="AD9" s="71">
        <f>IF($B9="","",IFERROR(INDEX('Pillar-4'!$A$5:$R$217,MATCH($B9,'Pillar-4'!$B$5:$B$217,0),MATCH(AD$1,'Pillar-4'!$A$4:$R$4,0)),""))</f>
        <v>79.557075796773731</v>
      </c>
      <c r="AE9" s="71">
        <f>IF($B9="","",IFERROR(INDEX('Pillar-4'!$A$5:$R$217,MATCH($B9,'Pillar-4'!$B$5:$B$217,0),MATCH(AE$1,'Pillar-4'!$A$4:$R$4,0)),""))</f>
        <v>80</v>
      </c>
      <c r="AF9" s="71">
        <f>IF($B9="","",IFERROR(INDEX('Pillar-4'!$A$5:$R$217,MATCH($B9,'Pillar-4'!$B$5:$B$217,0),MATCH(AF$1,'Pillar-4'!$A$4:$R$4,0)),""))</f>
        <v>50</v>
      </c>
      <c r="AG9" s="71">
        <f>IF($B9="","",IFERROR(INDEX('Pillar-5'!$A$5:$Q$216,MATCH($B9,'Pillar-5'!$B$5:$B$216,0),MATCH(AG$1,'Pillar-5'!$A$4:$Q$4,0)),""))</f>
        <v>52.02191773696434</v>
      </c>
      <c r="AH9" s="71">
        <f>IF($B9="","",IFERROR(INDEX('Pillar-5'!$A$5:$Q$216,MATCH($B9,'Pillar-5'!$B$5:$B$216,0),MATCH(AH$1,'Pillar-5'!$A$4:$Q$4,0)),""))</f>
        <v>100</v>
      </c>
      <c r="AI9" s="71">
        <f>IF($B9="","",IFERROR(INDEX('Pillar-5'!$A$5:$Q$216,MATCH($B9,'Pillar-5'!$B$5:$B$216,0),MATCH(AI$1,'Pillar-5'!$A$4:$Q$4,0)),""))</f>
        <v>72.233333333333334</v>
      </c>
      <c r="AJ9" s="71">
        <f>IF($B9="","",IFERROR(INDEX('Pillar-5'!$A$5:$Q$216,MATCH($B9,'Pillar-5'!$B$5:$B$216,0),MATCH(AJ$1,'Pillar-5'!$A$4:$Q$4,0)),""))</f>
        <v>37.384738453831964</v>
      </c>
      <c r="AK9" s="71">
        <f>IF($B9="","",IFERROR(INDEX('Pillar-6'!$A$5:$Q$216,MATCH($B9,'Pillar-6'!$B$5:$B$216,0),MATCH(AK$1,'Pillar-6'!$A$4:$Q$4,0)),""))</f>
        <v>60</v>
      </c>
      <c r="AL9" s="71">
        <f>IF($B9="","",IFERROR(INDEX('Pillar-6'!$A$5:$Q$216,MATCH($B9,'Pillar-6'!$B$5:$B$216,0),MATCH(AL$1,'Pillar-6'!$A$4:$Q$4,0)),""))</f>
        <v>79.674999999999997</v>
      </c>
      <c r="AM9" s="71">
        <f>IF($B9="","",IFERROR(INDEX('Pillar-6'!$A$5:$Q$216,MATCH($B9,'Pillar-6'!$B$5:$B$216,0),MATCH(AM$1,'Pillar-6'!$A$4:$Q$4,0)),""))</f>
        <v>75</v>
      </c>
    </row>
    <row r="10" spans="1:40" s="35" customFormat="1" ht="20" customHeight="1">
      <c r="A10" s="35" t="str">
        <v>China</v>
      </c>
      <c r="B10" s="89" t="str">
        <v>CHN</v>
      </c>
      <c r="C10" s="89" t="str">
        <f>IF($B10="","",IFERROR(INDEX(Screening!$A$2:$R$219,MATCH($B10,Screening!$B$2:$B$219,0),MATCH("Include in final index",Screening!$A$1:$R$1,0)),""))</f>
        <v>Yes</v>
      </c>
      <c r="D10" s="89">
        <f>IF($B10="","",IFERROR(INDEX('INDEX ranked'!$A$3:$J$200,MATCH($B10,'INDEX ranked'!$B$3:$B$200,0),MATCH("Rank",'INDEX ranked'!$A$2:$J$2,0)),""))</f>
        <v>13</v>
      </c>
      <c r="E10" s="71">
        <f>IF($B10="","",IFERROR(INDEX('INDEX ranked'!$A$3:$J$200,MATCH($B10,'INDEX ranked'!$B$3:$B$200,0),MATCH("Overall index score",'INDEX ranked'!$A$2:$J$2,0)),""))</f>
        <v>56.080554957218574</v>
      </c>
      <c r="F10" s="71">
        <f>IF($B10="","",IFERROR(INDEX('INDEX ranked'!$A$3:$J$200,MATCH($B10,'INDEX ranked'!$B$3:$B$200,0),MATCH(F$1,'INDEX ranked'!$A$2:$J$2,0)),""))</f>
        <v>38.100942036629121</v>
      </c>
      <c r="G10" s="71">
        <f>IF($B10="","",IFERROR(INDEX('INDEX ranked'!$A$3:$J$200,MATCH($B10,'INDEX ranked'!$B$3:$B$200,0),MATCH(G$1,'INDEX ranked'!$A$2:$J$2,0)),""))</f>
        <v>43.783305182996749</v>
      </c>
      <c r="H10" s="71">
        <f>IF($B10="","",IFERROR(INDEX('INDEX ranked'!$A$3:$J$200,MATCH($B10,'INDEX ranked'!$B$3:$B$200,0),MATCH(H$1,'INDEX ranked'!$A$2:$J$2,0)),""))</f>
        <v>56.281000000000006</v>
      </c>
      <c r="I10" s="71">
        <f>IF($B10="","",IFERROR(INDEX('INDEX ranked'!$A$3:$J$200,MATCH($B10,'INDEX ranked'!$B$3:$B$200,0),MATCH(I$1,'INDEX ranked'!$A$2:$J$2,0)),""))</f>
        <v>63.496375061444738</v>
      </c>
      <c r="J10" s="71">
        <f>IF($B10="","",IFERROR(INDEX('INDEX ranked'!$A$3:$J$200,MATCH($B10,'INDEX ranked'!$B$3:$B$200,0),MATCH(J$1,'INDEX ranked'!$A$2:$J$2,0)),""))</f>
        <v>80.979036673363026</v>
      </c>
      <c r="K10" s="71">
        <f>IF($B10="","",IFERROR(INDEX('INDEX ranked'!$A$3:$J$200,MATCH($B10,'INDEX ranked'!$B$3:$B$200,0),MATCH(K$1,'INDEX ranked'!$A$2:$J$2,0)),""))</f>
        <v>64.15424999999999</v>
      </c>
      <c r="L10" s="71">
        <f>IF($B10="","",IFERROR(INDEX('Pillar-1'!$A$5:$M$216,MATCH($B10,'Pillar-1'!$B$5:$B$216,0),MATCH(L$1,'Pillar-1'!$A$4:$M$4,0)),""))</f>
        <v>37.849113454629745</v>
      </c>
      <c r="M10" s="71">
        <f>IF($B10="","",IFERROR(INDEX('Pillar-1'!$A$5:$M$216,MATCH($B10,'Pillar-1'!$B$5:$B$216,0),MATCH(M$1,'Pillar-1'!$A$4:$M$4,0)),""))</f>
        <v>41.610893145626584</v>
      </c>
      <c r="N10" s="71">
        <f>IF($B10="","",IFERROR(INDEX('Pillar-1'!$A$5:$M$216,MATCH($B10,'Pillar-1'!$B$5:$B$216,0),MATCH(N$1,'Pillar-1'!$A$4:$M$4,0)),""))</f>
        <v>35.344241096630689</v>
      </c>
      <c r="O10" s="71">
        <f>IF($B10="","",IFERROR(INDEX('Pillar-2'!$A$5:$S$216,MATCH($B10,'Pillar-2'!$B$5:$B$216,0),MATCH(O$1,'Pillar-2'!$A$4:$S$4,0)),""))</f>
        <v>58.410052910052897</v>
      </c>
      <c r="P10" s="71">
        <f>IF($B10="","",IFERROR(INDEX('Pillar-2'!$A$5:$S$216,MATCH($B10,'Pillar-2'!$B$5:$B$216,0),MATCH(P$1,'Pillar-2'!$A$4:$S$4,0)),""))</f>
        <v>75.679681922099491</v>
      </c>
      <c r="Q10" s="71">
        <f>IF($B10="","",IFERROR(INDEX('Pillar-2'!$A$5:$S$216,MATCH($B10,'Pillar-2'!$B$5:$B$216,0),MATCH(Q$1,'Pillar-2'!$A$4:$S$4,0)),""))</f>
        <v>8.6092233949411892</v>
      </c>
      <c r="R10" s="71">
        <f>IF($B10="","",IFERROR(INDEX('Pillar-2'!$A$5:$S$216,MATCH($B10,'Pillar-2'!$B$5:$B$216,0),MATCH(R$1,'Pillar-2'!$A$4:$S$4,0)),""))</f>
        <v>62.515689218123185</v>
      </c>
      <c r="S10" s="71">
        <f>IF($B10="","",IFERROR(INDEX('Pillar-2'!$A$5:$S$216,MATCH($B10,'Pillar-2'!$B$5:$B$216,0),MATCH(S$1,'Pillar-2'!$A$4:$S$4,0)),""))</f>
        <v>36.688640523108084</v>
      </c>
      <c r="T10" s="71">
        <f>IF($B10="","",IFERROR(INDEX('Pillar-2'!$A$5:$S$216,MATCH($B10,'Pillar-2'!$B$5:$B$216,0),MATCH(T$1,'Pillar-2'!$A$4:$S$4,0)),""))</f>
        <v>46.596541873922313</v>
      </c>
      <c r="U10" s="71">
        <f>IF($B10="","",IFERROR(INDEX('Pillar-2'!$A$5:$S$216,MATCH($B10,'Pillar-2'!$B$5:$B$216,0),MATCH(U$1,'Pillar-2'!$A$4:$S$4,0)),""))</f>
        <v>100</v>
      </c>
      <c r="V10" s="71">
        <f>IF($B10="","",IFERROR(INDEX('Pillar-2'!$A$5:$S$216,MATCH($B10,'Pillar-2'!$B$5:$B$216,0),MATCH(V$1,'Pillar-2'!$A$4:$S$4,0)),""))</f>
        <v>0</v>
      </c>
      <c r="W10" s="71">
        <f>IF($B10="","",IFERROR(INDEX('Pillar-3'!$A$5:$M$217,MATCH($B10,'Pillar-3'!$B$5:$B$217,0),MATCH(W$1,'Pillar-3'!$A$4:$M$4,0)),""))</f>
        <v>63.28</v>
      </c>
      <c r="X10" s="71">
        <f>IF($B10="","",IFERROR(INDEX('Pillar-3'!$A$5:$M$217,MATCH($B10,'Pillar-3'!$B$5:$B$217,0),MATCH(X$1,'Pillar-3'!$A$4:$M$4,0)),""))</f>
        <v>68.760000000000005</v>
      </c>
      <c r="Y10" s="71">
        <f>IF($B10="","",IFERROR(INDEX('Pillar-3'!$A$5:$M$217,MATCH($B10,'Pillar-3'!$B$5:$B$217,0),MATCH(Y$1,'Pillar-3'!$A$4:$M$4,0)),""))</f>
        <v>53.74</v>
      </c>
      <c r="Z10" s="71">
        <f>IF($B10="","",IFERROR(INDEX('Pillar-3'!$A$5:$M$217,MATCH($B10,'Pillar-3'!$B$5:$B$217,0),MATCH(Z$1,'Pillar-3'!$A$4:$M$4,0)),""))</f>
        <v>46.99</v>
      </c>
      <c r="AA10" s="71">
        <f>IF($B10="","",IFERROR(INDEX('Pillar-3'!$A$5:$M$217,MATCH($B10,'Pillar-3'!$B$5:$B$217,0),MATCH(AA$1,'Pillar-3'!$A$4:$M$4,0)),""))</f>
        <v>49.65</v>
      </c>
      <c r="AB10" s="71">
        <f>IF($B10="","",IFERROR(INDEX('Pillar-4'!$A$5:$R$217,MATCH($B10,'Pillar-4'!$B$5:$B$217,0),MATCH(AB$1,'Pillar-4'!$A$4:$R$4,0)),""))</f>
        <v>98.244506494389398</v>
      </c>
      <c r="AC10" s="71">
        <f>IF($B10="","",IFERROR(INDEX('Pillar-4'!$A$5:$R$217,MATCH($B10,'Pillar-4'!$B$5:$B$217,0),MATCH(AC$1,'Pillar-4'!$A$4:$R$4,0)),""))</f>
        <v>96.462949478613481</v>
      </c>
      <c r="AD10" s="71">
        <f>IF($B10="","",IFERROR(INDEX('Pillar-4'!$A$5:$R$217,MATCH($B10,'Pillar-4'!$B$5:$B$217,0),MATCH(AD$1,'Pillar-4'!$A$4:$R$4,0)),""))</f>
        <v>95.365892445627736</v>
      </c>
      <c r="AE10" s="71">
        <f>IF($B10="","",IFERROR(INDEX('Pillar-4'!$A$5:$R$217,MATCH($B10,'Pillar-4'!$B$5:$B$217,0),MATCH(AE$1,'Pillar-4'!$A$4:$R$4,0)),""))</f>
        <v>20</v>
      </c>
      <c r="AF10" s="71">
        <f>IF($B10="","",IFERROR(INDEX('Pillar-4'!$A$5:$R$217,MATCH($B10,'Pillar-4'!$B$5:$B$217,0),MATCH(AF$1,'Pillar-4'!$A$4:$R$4,0)),""))</f>
        <v>25</v>
      </c>
      <c r="AG10" s="71">
        <f>IF($B10="","",IFERROR(INDEX('Pillar-5'!$A$5:$Q$216,MATCH($B10,'Pillar-5'!$B$5:$B$216,0),MATCH(AG$1,'Pillar-5'!$A$4:$Q$4,0)),""))</f>
        <v>97.082998422405296</v>
      </c>
      <c r="AH10" s="71">
        <f>IF($B10="","",IFERROR(INDEX('Pillar-5'!$A$5:$Q$216,MATCH($B10,'Pillar-5'!$B$5:$B$216,0),MATCH(AH$1,'Pillar-5'!$A$4:$Q$4,0)),""))</f>
        <v>100</v>
      </c>
      <c r="AI10" s="71">
        <f>IF($B10="","",IFERROR(INDEX('Pillar-5'!$A$5:$Q$216,MATCH($B10,'Pillar-5'!$B$5:$B$216,0),MATCH(AI$1,'Pillar-5'!$A$4:$Q$4,0)),""))</f>
        <v>39.719333333333331</v>
      </c>
      <c r="AJ10" s="71">
        <f>IF($B10="","",IFERROR(INDEX('Pillar-5'!$A$5:$Q$216,MATCH($B10,'Pillar-5'!$B$5:$B$216,0),MATCH(AJ$1,'Pillar-5'!$A$4:$Q$4,0)),""))</f>
        <v>75.641081919899051</v>
      </c>
      <c r="AK10" s="71">
        <f>IF($B10="","",IFERROR(INDEX('Pillar-6'!$A$5:$Q$216,MATCH($B10,'Pillar-6'!$B$5:$B$216,0),MATCH(AK$1,'Pillar-6'!$A$4:$Q$4,0)),""))</f>
        <v>20</v>
      </c>
      <c r="AL10" s="71">
        <f>IF($B10="","",IFERROR(INDEX('Pillar-6'!$A$5:$Q$216,MATCH($B10,'Pillar-6'!$B$5:$B$216,0),MATCH(AL$1,'Pillar-6'!$A$4:$Q$4,0)),""))</f>
        <v>82.564999999999998</v>
      </c>
      <c r="AM10" s="71">
        <f>IF($B10="","",IFERROR(INDEX('Pillar-6'!$A$5:$Q$216,MATCH($B10,'Pillar-6'!$B$5:$B$216,0),MATCH(AM$1,'Pillar-6'!$A$4:$Q$4,0)),""))</f>
        <v>100</v>
      </c>
    </row>
    <row r="11" spans="1:40" s="35" customFormat="1" ht="20" customHeight="1">
      <c r="A11" s="35" t="str">
        <v>Czech Republic</v>
      </c>
      <c r="B11" s="89" t="str">
        <v>CZE</v>
      </c>
      <c r="C11" s="89" t="str">
        <f>IF($B11="","",IFERROR(INDEX(Screening!$A$2:$R$219,MATCH($B11,Screening!$B$2:$B$219,0),MATCH("Include in final index",Screening!$A$1:$R$1,0)),""))</f>
        <v>Yes</v>
      </c>
      <c r="D11" s="89">
        <f>IF($B11="","",IFERROR(INDEX('INDEX ranked'!$A$3:$J$200,MATCH($B11,'INDEX ranked'!$B$3:$B$200,0),MATCH("Rank",'INDEX ranked'!$A$2:$J$2,0)),""))</f>
        <v>19</v>
      </c>
      <c r="E11" s="71">
        <f>IF($B11="","",IFERROR(INDEX('INDEX ranked'!$A$3:$J$200,MATCH($B11,'INDEX ranked'!$B$3:$B$200,0),MATCH("Overall index score",'INDEX ranked'!$A$2:$J$2,0)),""))</f>
        <v>51.304522023101846</v>
      </c>
      <c r="F11" s="71">
        <f>IF($B11="","",IFERROR(INDEX('INDEX ranked'!$A$3:$J$200,MATCH($B11,'INDEX ranked'!$B$3:$B$200,0),MATCH(F$1,'INDEX ranked'!$A$2:$J$2,0)),""))</f>
        <v>32.268071389276322</v>
      </c>
      <c r="G11" s="71">
        <f>IF($B11="","",IFERROR(INDEX('INDEX ranked'!$A$3:$J$200,MATCH($B11,'INDEX ranked'!$B$3:$B$200,0),MATCH(G$1,'INDEX ranked'!$A$2:$J$2,0)),""))</f>
        <v>74.694259594311589</v>
      </c>
      <c r="H11" s="71">
        <f>IF($B11="","",IFERROR(INDEX('INDEX ranked'!$A$3:$J$200,MATCH($B11,'INDEX ranked'!$B$3:$B$200,0),MATCH(H$1,'INDEX ranked'!$A$2:$J$2,0)),""))</f>
        <v>74.201999999999998</v>
      </c>
      <c r="I11" s="71">
        <f>IF($B11="","",IFERROR(INDEX('INDEX ranked'!$A$3:$J$200,MATCH($B11,'INDEX ranked'!$B$3:$B$200,0),MATCH(I$1,'INDEX ranked'!$A$2:$J$2,0)),""))</f>
        <v>4</v>
      </c>
      <c r="J11" s="71">
        <f>IF($B11="","",IFERROR(INDEX('INDEX ranked'!$A$3:$J$200,MATCH($B11,'INDEX ranked'!$B$3:$B$200,0),MATCH(J$1,'INDEX ranked'!$A$2:$J$2,0)),""))</f>
        <v>62.885372175895135</v>
      </c>
      <c r="K11" s="71">
        <f>IF($B11="","",IFERROR(INDEX('INDEX ranked'!$A$3:$J$200,MATCH($B11,'INDEX ranked'!$B$3:$B$200,0),MATCH(K$1,'INDEX ranked'!$A$2:$J$2,0)),""))</f>
        <v>85.489499999999992</v>
      </c>
      <c r="L11" s="71">
        <f>IF($B11="","",IFERROR(INDEX('Pillar-1'!$A$5:$M$216,MATCH($B11,'Pillar-1'!$B$5:$B$216,0),MATCH(L$1,'Pillar-1'!$A$4:$M$4,0)),""))</f>
        <v>18.368292965581183</v>
      </c>
      <c r="M11" s="71">
        <f>IF($B11="","",IFERROR(INDEX('Pillar-1'!$A$5:$M$216,MATCH($B11,'Pillar-1'!$B$5:$B$216,0),MATCH(M$1,'Pillar-1'!$A$4:$M$4,0)),""))</f>
        <v>13.108700669282253</v>
      </c>
      <c r="N11" s="71">
        <f>IF($B11="","",IFERROR(INDEX('Pillar-1'!$A$5:$M$216,MATCH($B11,'Pillar-1'!$B$5:$B$216,0),MATCH(N$1,'Pillar-1'!$A$4:$M$4,0)),""))</f>
        <v>62.590167572966372</v>
      </c>
      <c r="O11" s="71">
        <f>IF($B11="","",IFERROR(INDEX('Pillar-2'!$A$5:$S$216,MATCH($B11,'Pillar-2'!$B$5:$B$216,0),MATCH(O$1,'Pillar-2'!$A$4:$S$4,0)),""))</f>
        <v>77.703703703703695</v>
      </c>
      <c r="P11" s="71">
        <f>IF($B11="","",IFERROR(INDEX('Pillar-2'!$A$5:$S$216,MATCH($B11,'Pillar-2'!$B$5:$B$216,0),MATCH(P$1,'Pillar-2'!$A$4:$S$4,0)),""))</f>
        <v>100</v>
      </c>
      <c r="Q11" s="71">
        <f>IF($B11="","",IFERROR(INDEX('Pillar-2'!$A$5:$S$216,MATCH($B11,'Pillar-2'!$B$5:$B$216,0),MATCH(Q$1,'Pillar-2'!$A$4:$S$4,0)),""))</f>
        <v>100</v>
      </c>
      <c r="R11" s="71">
        <f>IF($B11="","",IFERROR(INDEX('Pillar-2'!$A$5:$S$216,MATCH($B11,'Pillar-2'!$B$5:$B$216,0),MATCH(R$1,'Pillar-2'!$A$4:$S$4,0)),""))</f>
        <v>55.98405237122536</v>
      </c>
      <c r="S11" s="71">
        <f>IF($B11="","",IFERROR(INDEX('Pillar-2'!$A$5:$S$216,MATCH($B11,'Pillar-2'!$B$5:$B$216,0),MATCH(S$1,'Pillar-2'!$A$4:$S$4,0)),""))</f>
        <v>28.131274542902325</v>
      </c>
      <c r="T11" s="71">
        <f>IF($B11="","",IFERROR(INDEX('Pillar-2'!$A$5:$S$216,MATCH($B11,'Pillar-2'!$B$5:$B$216,0),MATCH(T$1,'Pillar-2'!$A$4:$S$4,0)),""))</f>
        <v>53.449699002147824</v>
      </c>
      <c r="U11" s="71">
        <f>IF($B11="","",IFERROR(INDEX('Pillar-2'!$A$5:$S$216,MATCH($B11,'Pillar-2'!$B$5:$B$216,0),MATCH(U$1,'Pillar-2'!$A$4:$S$4,0)),""))</f>
        <v>100</v>
      </c>
      <c r="V11" s="71">
        <f>IF($B11="","",IFERROR(INDEX('Pillar-2'!$A$5:$S$216,MATCH($B11,'Pillar-2'!$B$5:$B$216,0),MATCH(V$1,'Pillar-2'!$A$4:$S$4,0)),""))</f>
        <v>75</v>
      </c>
      <c r="W11" s="71">
        <f>IF($B11="","",IFERROR(INDEX('Pillar-3'!$A$5:$M$217,MATCH($B11,'Pillar-3'!$B$5:$B$217,0),MATCH(W$1,'Pillar-3'!$A$4:$M$4,0)),""))</f>
        <v>82.5</v>
      </c>
      <c r="X11" s="71">
        <f>IF($B11="","",IFERROR(INDEX('Pillar-3'!$A$5:$M$217,MATCH($B11,'Pillar-3'!$B$5:$B$217,0),MATCH(X$1,'Pillar-3'!$A$4:$M$4,0)),""))</f>
        <v>74.23</v>
      </c>
      <c r="Y11" s="71">
        <f>IF($B11="","",IFERROR(INDEX('Pillar-3'!$A$5:$M$217,MATCH($B11,'Pillar-3'!$B$5:$B$217,0),MATCH(Y$1,'Pillar-3'!$A$4:$M$4,0)),""))</f>
        <v>74.290000000000006</v>
      </c>
      <c r="Z11" s="71">
        <f>IF($B11="","",IFERROR(INDEX('Pillar-3'!$A$5:$M$217,MATCH($B11,'Pillar-3'!$B$5:$B$217,0),MATCH(Z$1,'Pillar-3'!$A$4:$M$4,0)),""))</f>
        <v>77.41</v>
      </c>
      <c r="AA11" s="71">
        <f>IF($B11="","",IFERROR(INDEX('Pillar-3'!$A$5:$M$217,MATCH($B11,'Pillar-3'!$B$5:$B$217,0),MATCH(AA$1,'Pillar-3'!$A$4:$M$4,0)),""))</f>
        <v>66.7</v>
      </c>
      <c r="AB11" s="71">
        <f>IF($B11="","",IFERROR(INDEX('Pillar-4'!$A$5:$R$217,MATCH($B11,'Pillar-4'!$B$5:$B$217,0),MATCH(AB$1,'Pillar-4'!$A$4:$R$4,0)),""))</f>
        <v>0</v>
      </c>
      <c r="AC11" s="71">
        <f>IF($B11="","",IFERROR(INDEX('Pillar-4'!$A$5:$R$217,MATCH($B11,'Pillar-4'!$B$5:$B$217,0),MATCH(AC$1,'Pillar-4'!$A$4:$R$4,0)),""))</f>
        <v>0</v>
      </c>
      <c r="AD11" s="71">
        <f>IF($B11="","",IFERROR(INDEX('Pillar-4'!$A$5:$R$217,MATCH($B11,'Pillar-4'!$B$5:$B$217,0),MATCH(AD$1,'Pillar-4'!$A$4:$R$4,0)),""))</f>
        <v>0</v>
      </c>
      <c r="AE11" s="71">
        <f>IF($B11="","",IFERROR(INDEX('Pillar-4'!$A$5:$R$217,MATCH($B11,'Pillar-4'!$B$5:$B$217,0),MATCH(AE$1,'Pillar-4'!$A$4:$R$4,0)),""))</f>
        <v>20</v>
      </c>
      <c r="AF11" s="71">
        <f>IF($B11="","",IFERROR(INDEX('Pillar-4'!$A$5:$R$217,MATCH($B11,'Pillar-4'!$B$5:$B$217,0),MATCH(AF$1,'Pillar-4'!$A$4:$R$4,0)),""))</f>
        <v>0</v>
      </c>
      <c r="AG11" s="71">
        <f>IF($B11="","",IFERROR(INDEX('Pillar-5'!$A$5:$Q$216,MATCH($B11,'Pillar-5'!$B$5:$B$216,0),MATCH(AG$1,'Pillar-5'!$A$4:$Q$4,0)),""))</f>
        <v>24.013687670596319</v>
      </c>
      <c r="AH11" s="71">
        <f>IF($B11="","",IFERROR(INDEX('Pillar-5'!$A$5:$Q$216,MATCH($B11,'Pillar-5'!$B$5:$B$216,0),MATCH(AH$1,'Pillar-5'!$A$4:$Q$4,0)),""))</f>
        <v>100</v>
      </c>
      <c r="AI11" s="71">
        <f>IF($B11="","",IFERROR(INDEX('Pillar-5'!$A$5:$Q$216,MATCH($B11,'Pillar-5'!$B$5:$B$216,0),MATCH(AI$1,'Pillar-5'!$A$4:$Q$4,0)),""))</f>
        <v>71.13933333333334</v>
      </c>
      <c r="AJ11" s="71">
        <f>IF($B11="","",IFERROR(INDEX('Pillar-5'!$A$5:$Q$216,MATCH($B11,'Pillar-5'!$B$5:$B$216,0),MATCH(AJ$1,'Pillar-5'!$A$4:$Q$4,0)),""))</f>
        <v>65.813596832198272</v>
      </c>
      <c r="AK11" s="71">
        <f>IF($B11="","",IFERROR(INDEX('Pillar-6'!$A$5:$Q$216,MATCH($B11,'Pillar-6'!$B$5:$B$216,0),MATCH(AK$1,'Pillar-6'!$A$4:$Q$4,0)),""))</f>
        <v>80</v>
      </c>
      <c r="AL11" s="71">
        <f>IF($B11="","",IFERROR(INDEX('Pillar-6'!$A$5:$Q$216,MATCH($B11,'Pillar-6'!$B$5:$B$216,0),MATCH(AL$1,'Pillar-6'!$A$4:$Q$4,0)),""))</f>
        <v>83.31</v>
      </c>
      <c r="AM11" s="71">
        <f>IF($B11="","",IFERROR(INDEX('Pillar-6'!$A$5:$Q$216,MATCH($B11,'Pillar-6'!$B$5:$B$216,0),MATCH(AM$1,'Pillar-6'!$A$4:$Q$4,0)),""))</f>
        <v>100</v>
      </c>
    </row>
    <row r="12" spans="1:40" s="35" customFormat="1" ht="20" customHeight="1">
      <c r="A12" s="35" t="str">
        <v>Dominican Republic</v>
      </c>
      <c r="B12" s="89" t="str">
        <v>DOM</v>
      </c>
      <c r="C12" s="89" t="str">
        <f>IF($B12="","",IFERROR(INDEX(Screening!$A$2:$R$219,MATCH($B12,Screening!$B$2:$B$219,0),MATCH("Include in final index",Screening!$A$1:$R$1,0)),""))</f>
        <v>Yes</v>
      </c>
      <c r="D12" s="89">
        <f>IF($B12="","",IFERROR(INDEX('INDEX ranked'!$A$3:$J$200,MATCH($B12,'INDEX ranked'!$B$3:$B$200,0),MATCH("Rank",'INDEX ranked'!$A$2:$J$2,0)),""))</f>
        <v>27</v>
      </c>
      <c r="E12" s="71">
        <f>IF($B12="","",IFERROR(INDEX('INDEX ranked'!$A$3:$J$200,MATCH($B12,'INDEX ranked'!$B$3:$B$200,0),MATCH("Overall index score",'INDEX ranked'!$A$2:$J$2,0)),""))</f>
        <v>43.719634666945737</v>
      </c>
      <c r="F12" s="71">
        <f>IF($B12="","",IFERROR(INDEX('INDEX ranked'!$A$3:$J$200,MATCH($B12,'INDEX ranked'!$B$3:$B$200,0),MATCH(F$1,'INDEX ranked'!$A$2:$J$2,0)),""))</f>
        <v>26.862615534405023</v>
      </c>
      <c r="G12" s="71">
        <f>IF($B12="","",IFERROR(INDEX('INDEX ranked'!$A$3:$J$200,MATCH($B12,'INDEX ranked'!$B$3:$B$200,0),MATCH(G$1,'INDEX ranked'!$A$2:$J$2,0)),""))</f>
        <v>39.015957437877105</v>
      </c>
      <c r="H12" s="71">
        <f>IF($B12="","",IFERROR(INDEX('INDEX ranked'!$A$3:$J$200,MATCH($B12,'INDEX ranked'!$B$3:$B$200,0),MATCH(H$1,'INDEX ranked'!$A$2:$J$2,0)),""))</f>
        <v>54.588000000000001</v>
      </c>
      <c r="I12" s="71">
        <f>IF($B12="","",IFERROR(INDEX('INDEX ranked'!$A$3:$J$200,MATCH($B12,'INDEX ranked'!$B$3:$B$200,0),MATCH(I$1,'INDEX ranked'!$A$2:$J$2,0)),""))</f>
        <v>30.75</v>
      </c>
      <c r="J12" s="71">
        <f>IF($B12="","",IFERROR(INDEX('INDEX ranked'!$A$3:$J$200,MATCH($B12,'INDEX ranked'!$B$3:$B$200,0),MATCH(J$1,'INDEX ranked'!$A$2:$J$2,0)),""))</f>
        <v>59.328467149928755</v>
      </c>
      <c r="K12" s="71">
        <f>IF($B12="","",IFERROR(INDEX('INDEX ranked'!$A$3:$J$200,MATCH($B12,'INDEX ranked'!$B$3:$B$200,0),MATCH(K$1,'INDEX ranked'!$A$2:$J$2,0)),""))</f>
        <v>73.06450000000001</v>
      </c>
      <c r="L12" s="71">
        <f>IF($B12="","",IFERROR(INDEX('Pillar-1'!$A$5:$M$216,MATCH($B12,'Pillar-1'!$B$5:$B$216,0),MATCH(L$1,'Pillar-1'!$A$4:$M$4,0)),""))</f>
        <v>20.639703325993747</v>
      </c>
      <c r="M12" s="71">
        <f>IF($B12="","",IFERROR(INDEX('Pillar-1'!$A$5:$M$216,MATCH($B12,'Pillar-1'!$B$5:$B$216,0),MATCH(M$1,'Pillar-1'!$A$4:$M$4,0)),""))</f>
        <v>26.978998384491113</v>
      </c>
      <c r="N12" s="71">
        <f>IF($B12="","",IFERROR(INDEX('Pillar-1'!$A$5:$M$216,MATCH($B12,'Pillar-1'!$B$5:$B$216,0),MATCH(N$1,'Pillar-1'!$A$4:$M$4,0)),""))</f>
        <v>32.985771014171085</v>
      </c>
      <c r="O12" s="71">
        <f>IF($B12="","",IFERROR(INDEX('Pillar-2'!$A$5:$S$216,MATCH($B12,'Pillar-2'!$B$5:$B$216,0),MATCH(O$1,'Pillar-2'!$A$4:$S$4,0)),""))</f>
        <v>31.2486772486772</v>
      </c>
      <c r="P12" s="71">
        <f>IF($B12="","",IFERROR(INDEX('Pillar-2'!$A$5:$S$216,MATCH($B12,'Pillar-2'!$B$5:$B$216,0),MATCH(P$1,'Pillar-2'!$A$4:$S$4,0)),""))</f>
        <v>100</v>
      </c>
      <c r="Q12" s="71">
        <f>IF($B12="","",IFERROR(INDEX('Pillar-2'!$A$5:$S$216,MATCH($B12,'Pillar-2'!$B$5:$B$216,0),MATCH(Q$1,'Pillar-2'!$A$4:$S$4,0)),""))</f>
        <v>100</v>
      </c>
      <c r="R12" s="71">
        <f>IF($B12="","",IFERROR(INDEX('Pillar-2'!$A$5:$S$216,MATCH($B12,'Pillar-2'!$B$5:$B$216,0),MATCH(R$1,'Pillar-2'!$A$4:$S$4,0)),""))</f>
        <v>4.7793665247458987</v>
      </c>
      <c r="S12" s="71">
        <f>IF($B12="","",IFERROR(INDEX('Pillar-2'!$A$5:$S$216,MATCH($B12,'Pillar-2'!$B$5:$B$216,0),MATCH(S$1,'Pillar-2'!$A$4:$S$4,0)),""))</f>
        <v>31.166154338207853</v>
      </c>
      <c r="T12" s="71">
        <f>IF($B12="","",IFERROR(INDEX('Pillar-2'!$A$5:$S$216,MATCH($B12,'Pillar-2'!$B$5:$B$216,0),MATCH(T$1,'Pillar-2'!$A$4:$S$4,0)),""))</f>
        <v>16.908170806017402</v>
      </c>
      <c r="U12" s="71">
        <f>IF($B12="","",IFERROR(INDEX('Pillar-2'!$A$5:$S$216,MATCH($B12,'Pillar-2'!$B$5:$B$216,0),MATCH(U$1,'Pillar-2'!$A$4:$S$4,0)),""))</f>
        <v>20</v>
      </c>
      <c r="V12" s="71">
        <f>IF($B12="","",IFERROR(INDEX('Pillar-2'!$A$5:$S$216,MATCH($B12,'Pillar-2'!$B$5:$B$216,0),MATCH(V$1,'Pillar-2'!$A$4:$S$4,0)),""))</f>
        <v>0</v>
      </c>
      <c r="W12" s="71">
        <f>IF($B12="","",IFERROR(INDEX('Pillar-3'!$A$5:$M$217,MATCH($B12,'Pillar-3'!$B$5:$B$217,0),MATCH(W$1,'Pillar-3'!$A$4:$M$4,0)),""))</f>
        <v>75.959999999999994</v>
      </c>
      <c r="X12" s="71">
        <f>IF($B12="","",IFERROR(INDEX('Pillar-3'!$A$5:$M$217,MATCH($B12,'Pillar-3'!$B$5:$B$217,0),MATCH(X$1,'Pillar-3'!$A$4:$M$4,0)),""))</f>
        <v>52.79</v>
      </c>
      <c r="Y12" s="71">
        <f>IF($B12="","",IFERROR(INDEX('Pillar-3'!$A$5:$M$217,MATCH($B12,'Pillar-3'!$B$5:$B$217,0),MATCH(Y$1,'Pillar-3'!$A$4:$M$4,0)),""))</f>
        <v>58.13</v>
      </c>
      <c r="Z12" s="71">
        <f>IF($B12="","",IFERROR(INDEX('Pillar-3'!$A$5:$M$217,MATCH($B12,'Pillar-3'!$B$5:$B$217,0),MATCH(Z$1,'Pillar-3'!$A$4:$M$4,0)),""))</f>
        <v>53.83</v>
      </c>
      <c r="AA12" s="71">
        <f>IF($B12="","",IFERROR(INDEX('Pillar-3'!$A$5:$M$217,MATCH($B12,'Pillar-3'!$B$5:$B$217,0),MATCH(AA$1,'Pillar-3'!$A$4:$M$4,0)),""))</f>
        <v>42.48</v>
      </c>
      <c r="AB12" s="71">
        <f>IF($B12="","",IFERROR(INDEX('Pillar-4'!$A$5:$R$217,MATCH($B12,'Pillar-4'!$B$5:$B$217,0),MATCH(AB$1,'Pillar-4'!$A$4:$R$4,0)),""))</f>
        <v>0</v>
      </c>
      <c r="AC12" s="71">
        <f>IF($B12="","",IFERROR(INDEX('Pillar-4'!$A$5:$R$217,MATCH($B12,'Pillar-4'!$B$5:$B$217,0),MATCH(AC$1,'Pillar-4'!$A$4:$R$4,0)),""))</f>
        <v>0</v>
      </c>
      <c r="AD12" s="71">
        <f>IF($B12="","",IFERROR(INDEX('Pillar-4'!$A$5:$R$217,MATCH($B12,'Pillar-4'!$B$5:$B$217,0),MATCH(AD$1,'Pillar-4'!$A$4:$R$4,0)),""))</f>
        <v>0</v>
      </c>
      <c r="AE12" s="71">
        <f>IF($B12="","",IFERROR(INDEX('Pillar-4'!$A$5:$R$217,MATCH($B12,'Pillar-4'!$B$5:$B$217,0),MATCH(AE$1,'Pillar-4'!$A$4:$R$4,0)),""))</f>
        <v>60</v>
      </c>
      <c r="AF12" s="71">
        <f>IF($B12="","",IFERROR(INDEX('Pillar-4'!$A$5:$R$217,MATCH($B12,'Pillar-4'!$B$5:$B$217,0),MATCH(AF$1,'Pillar-4'!$A$4:$R$4,0)),""))</f>
        <v>75</v>
      </c>
      <c r="AG12" s="71">
        <f>IF($B12="","",IFERROR(INDEX('Pillar-5'!$A$5:$Q$216,MATCH($B12,'Pillar-5'!$B$5:$B$216,0),MATCH(AG$1,'Pillar-5'!$A$4:$Q$4,0)),""))</f>
        <v>15.961043243816167</v>
      </c>
      <c r="AH12" s="71">
        <f>IF($B12="","",IFERROR(INDEX('Pillar-5'!$A$5:$Q$216,MATCH($B12,'Pillar-5'!$B$5:$B$216,0),MATCH(AH$1,'Pillar-5'!$A$4:$Q$4,0)),""))</f>
        <v>100</v>
      </c>
      <c r="AI12" s="71">
        <f>IF($B12="","",IFERROR(INDEX('Pillar-5'!$A$5:$Q$216,MATCH($B12,'Pillar-5'!$B$5:$B$216,0),MATCH(AI$1,'Pillar-5'!$A$4:$Q$4,0)),""))</f>
        <v>60.805333333333337</v>
      </c>
      <c r="AJ12" s="71">
        <f>IF($B12="","",IFERROR(INDEX('Pillar-5'!$A$5:$Q$216,MATCH($B12,'Pillar-5'!$B$5:$B$216,0),MATCH(AJ$1,'Pillar-5'!$A$4:$Q$4,0)),""))</f>
        <v>69.51635004046895</v>
      </c>
      <c r="AK12" s="71">
        <f>IF($B12="","",IFERROR(INDEX('Pillar-6'!$A$5:$Q$216,MATCH($B12,'Pillar-6'!$B$5:$B$216,0),MATCH(AK$1,'Pillar-6'!$A$4:$Q$4,0)),""))</f>
        <v>80</v>
      </c>
      <c r="AL12" s="71">
        <f>IF($B12="","",IFERROR(INDEX('Pillar-6'!$A$5:$Q$216,MATCH($B12,'Pillar-6'!$B$5:$B$216,0),MATCH(AL$1,'Pillar-6'!$A$4:$Q$4,0)),""))</f>
        <v>66.81</v>
      </c>
      <c r="AM12" s="71">
        <f>IF($B12="","",IFERROR(INDEX('Pillar-6'!$A$5:$Q$216,MATCH($B12,'Pillar-6'!$B$5:$B$216,0),MATCH(AM$1,'Pillar-6'!$A$4:$Q$4,0)),""))</f>
        <v>75</v>
      </c>
    </row>
    <row r="13" spans="1:40" s="35" customFormat="1" ht="20" customHeight="1">
      <c r="A13" s="35" t="str">
        <v>Germany</v>
      </c>
      <c r="B13" s="89" t="str">
        <v>DEU</v>
      </c>
      <c r="C13" s="89" t="str">
        <f>IF($B13="","",IFERROR(INDEX(Screening!$A$2:$R$219,MATCH($B13,Screening!$B$2:$B$219,0),MATCH("Include in final index",Screening!$A$1:$R$1,0)),""))</f>
        <v>Yes</v>
      </c>
      <c r="D13" s="89">
        <f>IF($B13="","",IFERROR(INDEX('INDEX ranked'!$A$3:$J$200,MATCH($B13,'INDEX ranked'!$B$3:$B$200,0),MATCH("Rank",'INDEX ranked'!$A$2:$J$2,0)),""))</f>
        <v>2</v>
      </c>
      <c r="E13" s="71">
        <f>IF($B13="","",IFERROR(INDEX('INDEX ranked'!$A$3:$J$200,MATCH($B13,'INDEX ranked'!$B$3:$B$200,0),MATCH("Overall index score",'INDEX ranked'!$A$2:$J$2,0)),""))</f>
        <v>75.331120477972661</v>
      </c>
      <c r="F13" s="71">
        <f>IF($B13="","",IFERROR(INDEX('INDEX ranked'!$A$3:$J$200,MATCH($B13,'INDEX ranked'!$B$3:$B$200,0),MATCH(F$1,'INDEX ranked'!$A$2:$J$2,0)),""))</f>
        <v>80.528426624680336</v>
      </c>
      <c r="G13" s="71">
        <f>IF($B13="","",IFERROR(INDEX('INDEX ranked'!$A$3:$J$200,MATCH($B13,'INDEX ranked'!$B$3:$B$200,0),MATCH(G$1,'INDEX ranked'!$A$2:$J$2,0)),""))</f>
        <v>87.14420929084983</v>
      </c>
      <c r="H13" s="71">
        <f>IF($B13="","",IFERROR(INDEX('INDEX ranked'!$A$3:$J$200,MATCH($B13,'INDEX ranked'!$B$3:$B$200,0),MATCH(H$1,'INDEX ranked'!$A$2:$J$2,0)),""))</f>
        <v>80.516999999999996</v>
      </c>
      <c r="I13" s="71">
        <f>IF($B13="","",IFERROR(INDEX('INDEX ranked'!$A$3:$J$200,MATCH($B13,'INDEX ranked'!$B$3:$B$200,0),MATCH(I$1,'INDEX ranked'!$A$2:$J$2,0)),""))</f>
        <v>49.027600541119043</v>
      </c>
      <c r="J13" s="71">
        <f>IF($B13="","",IFERROR(INDEX('INDEX ranked'!$A$3:$J$200,MATCH($B13,'INDEX ranked'!$B$3:$B$200,0),MATCH(J$1,'INDEX ranked'!$A$2:$J$2,0)),""))</f>
        <v>66.520654577618785</v>
      </c>
      <c r="K13" s="71">
        <f>IF($B13="","",IFERROR(INDEX('INDEX ranked'!$A$3:$J$200,MATCH($B13,'INDEX ranked'!$B$3:$B$200,0),MATCH(K$1,'INDEX ranked'!$A$2:$J$2,0)),""))</f>
        <v>99.354250000000008</v>
      </c>
      <c r="L13" s="71">
        <f>IF($B13="","",IFERROR(INDEX('Pillar-1'!$A$5:$M$216,MATCH($B13,'Pillar-1'!$B$5:$B$216,0),MATCH(L$1,'Pillar-1'!$A$4:$M$4,0)),""))</f>
        <v>66.751651408042662</v>
      </c>
      <c r="M13" s="71">
        <f>IF($B13="","",IFERROR(INDEX('Pillar-1'!$A$5:$M$216,MATCH($B13,'Pillar-1'!$B$5:$B$216,0),MATCH(M$1,'Pillar-1'!$A$4:$M$4,0)),""))</f>
        <v>100</v>
      </c>
      <c r="N13" s="71">
        <f>IF($B13="","",IFERROR(INDEX('Pillar-1'!$A$5:$M$216,MATCH($B13,'Pillar-1'!$B$5:$B$216,0),MATCH(N$1,'Pillar-1'!$A$4:$M$4,0)),""))</f>
        <v>77.61528180532973</v>
      </c>
      <c r="O13" s="71">
        <f>IF($B13="","",IFERROR(INDEX('Pillar-2'!$A$5:$S$216,MATCH($B13,'Pillar-2'!$B$5:$B$216,0),MATCH(O$1,'Pillar-2'!$A$4:$S$4,0)),""))</f>
        <v>85.941798941798893</v>
      </c>
      <c r="P13" s="71">
        <f>IF($B13="","",IFERROR(INDEX('Pillar-2'!$A$5:$S$216,MATCH($B13,'Pillar-2'!$B$5:$B$216,0),MATCH(P$1,'Pillar-2'!$A$4:$S$4,0)),""))</f>
        <v>100</v>
      </c>
      <c r="Q13" s="71">
        <f>IF($B13="","",IFERROR(INDEX('Pillar-2'!$A$5:$S$216,MATCH($B13,'Pillar-2'!$B$5:$B$216,0),MATCH(Q$1,'Pillar-2'!$A$4:$S$4,0)),""))</f>
        <v>100</v>
      </c>
      <c r="R13" s="71">
        <f>IF($B13="","",IFERROR(INDEX('Pillar-2'!$A$5:$S$216,MATCH($B13,'Pillar-2'!$B$5:$B$216,0),MATCH(R$1,'Pillar-2'!$A$4:$S$4,0)),""))</f>
        <v>55.816700711244557</v>
      </c>
      <c r="S13" s="71">
        <f>IF($B13="","",IFERROR(INDEX('Pillar-2'!$A$5:$S$216,MATCH($B13,'Pillar-2'!$B$5:$B$216,0),MATCH(S$1,'Pillar-2'!$A$4:$S$4,0)),""))</f>
        <v>96.483590682137205</v>
      </c>
      <c r="T13" s="71">
        <f>IF($B13="","",IFERROR(INDEX('Pillar-2'!$A$5:$S$216,MATCH($B13,'Pillar-2'!$B$5:$B$216,0),MATCH(T$1,'Pillar-2'!$A$4:$S$4,0)),""))</f>
        <v>31.939480632851769</v>
      </c>
      <c r="U13" s="71">
        <f>IF($B13="","",IFERROR(INDEX('Pillar-2'!$A$5:$S$216,MATCH($B13,'Pillar-2'!$B$5:$B$216,0),MATCH(U$1,'Pillar-2'!$A$4:$S$4,0)),""))</f>
        <v>100</v>
      </c>
      <c r="V13" s="71">
        <f>IF($B13="","",IFERROR(INDEX('Pillar-2'!$A$5:$S$216,MATCH($B13,'Pillar-2'!$B$5:$B$216,0),MATCH(V$1,'Pillar-2'!$A$4:$S$4,0)),""))</f>
        <v>100</v>
      </c>
      <c r="W13" s="71">
        <f>IF($B13="","",IFERROR(INDEX('Pillar-3'!$A$5:$M$217,MATCH($B13,'Pillar-3'!$B$5:$B$217,0),MATCH(W$1,'Pillar-3'!$A$4:$M$4,0)),""))</f>
        <v>68.02</v>
      </c>
      <c r="X13" s="71">
        <f>IF($B13="","",IFERROR(INDEX('Pillar-3'!$A$5:$M$217,MATCH($B13,'Pillar-3'!$B$5:$B$217,0),MATCH(X$1,'Pillar-3'!$A$4:$M$4,0)),""))</f>
        <v>81.41</v>
      </c>
      <c r="Y13" s="71">
        <f>IF($B13="","",IFERROR(INDEX('Pillar-3'!$A$5:$M$217,MATCH($B13,'Pillar-3'!$B$5:$B$217,0),MATCH(Y$1,'Pillar-3'!$A$4:$M$4,0)),""))</f>
        <v>78.489999999999995</v>
      </c>
      <c r="Z13" s="71">
        <f>IF($B13="","",IFERROR(INDEX('Pillar-3'!$A$5:$M$217,MATCH($B13,'Pillar-3'!$B$5:$B$217,0),MATCH(Z$1,'Pillar-3'!$A$4:$M$4,0)),""))</f>
        <v>84.95</v>
      </c>
      <c r="AA13" s="71">
        <f>IF($B13="","",IFERROR(INDEX('Pillar-3'!$A$5:$M$217,MATCH($B13,'Pillar-3'!$B$5:$B$217,0),MATCH(AA$1,'Pillar-3'!$A$4:$M$4,0)),""))</f>
        <v>83.75</v>
      </c>
      <c r="AB13" s="71">
        <f>IF($B13="","",IFERROR(INDEX('Pillar-4'!$A$5:$R$217,MATCH($B13,'Pillar-4'!$B$5:$B$217,0),MATCH(AB$1,'Pillar-4'!$A$4:$R$4,0)),""))</f>
        <v>52.234565558124892</v>
      </c>
      <c r="AC13" s="71">
        <f>IF($B13="","",IFERROR(INDEX('Pillar-4'!$A$5:$R$217,MATCH($B13,'Pillar-4'!$B$5:$B$217,0),MATCH(AC$1,'Pillar-4'!$A$4:$R$4,0)),""))</f>
        <v>80.446634890820434</v>
      </c>
      <c r="AD13" s="71">
        <f>IF($B13="","",IFERROR(INDEX('Pillar-4'!$A$5:$R$217,MATCH($B13,'Pillar-4'!$B$5:$B$217,0),MATCH(AD$1,'Pillar-4'!$A$4:$R$4,0)),""))</f>
        <v>81.609069675533149</v>
      </c>
      <c r="AE13" s="71">
        <f>IF($B13="","",IFERROR(INDEX('Pillar-4'!$A$5:$R$217,MATCH($B13,'Pillar-4'!$B$5:$B$217,0),MATCH(AE$1,'Pillar-4'!$A$4:$R$4,0)),""))</f>
        <v>20</v>
      </c>
      <c r="AF13" s="71">
        <f>IF($B13="","",IFERROR(INDEX('Pillar-4'!$A$5:$R$217,MATCH($B13,'Pillar-4'!$B$5:$B$217,0),MATCH(AF$1,'Pillar-4'!$A$4:$R$4,0)),""))</f>
        <v>25</v>
      </c>
      <c r="AG13" s="71">
        <f>IF($B13="","",IFERROR(INDEX('Pillar-5'!$A$5:$Q$216,MATCH($B13,'Pillar-5'!$B$5:$B$216,0),MATCH(AG$1,'Pillar-5'!$A$4:$Q$4,0)),""))</f>
        <v>38.626742287246017</v>
      </c>
      <c r="AH13" s="71">
        <f>IF($B13="","",IFERROR(INDEX('Pillar-5'!$A$5:$Q$216,MATCH($B13,'Pillar-5'!$B$5:$B$216,0),MATCH(AH$1,'Pillar-5'!$A$4:$Q$4,0)),""))</f>
        <v>100</v>
      </c>
      <c r="AI13" s="71">
        <f>IF($B13="","",IFERROR(INDEX('Pillar-5'!$A$5:$Q$216,MATCH($B13,'Pillar-5'!$B$5:$B$216,0),MATCH(AI$1,'Pillar-5'!$A$4:$Q$4,0)),""))</f>
        <v>58.515333333333338</v>
      </c>
      <c r="AJ13" s="71">
        <f>IF($B13="","",IFERROR(INDEX('Pillar-5'!$A$5:$Q$216,MATCH($B13,'Pillar-5'!$B$5:$B$216,0),MATCH(AJ$1,'Pillar-5'!$A$4:$Q$4,0)),""))</f>
        <v>72.918260899113221</v>
      </c>
      <c r="AK13" s="71">
        <f>IF($B13="","",IFERROR(INDEX('Pillar-6'!$A$5:$Q$216,MATCH($B13,'Pillar-6'!$B$5:$B$216,0),MATCH(AK$1,'Pillar-6'!$A$4:$Q$4,0)),""))</f>
        <v>100</v>
      </c>
      <c r="AL13" s="71">
        <f>IF($B13="","",IFERROR(INDEX('Pillar-6'!$A$5:$Q$216,MATCH($B13,'Pillar-6'!$B$5:$B$216,0),MATCH(AL$1,'Pillar-6'!$A$4:$Q$4,0)),""))</f>
        <v>98.564999999999998</v>
      </c>
      <c r="AM13" s="71">
        <f>IF($B13="","",IFERROR(INDEX('Pillar-6'!$A$5:$Q$216,MATCH($B13,'Pillar-6'!$B$5:$B$216,0),MATCH(AM$1,'Pillar-6'!$A$4:$Q$4,0)),""))</f>
        <v>100</v>
      </c>
    </row>
    <row r="14" spans="1:40" s="35" customFormat="1" ht="20" customHeight="1">
      <c r="A14" s="35" t="str">
        <v>Hong Kong</v>
      </c>
      <c r="B14" s="89" t="str">
        <v>HKG</v>
      </c>
      <c r="C14" s="89" t="str">
        <f>IF($B14="","",IFERROR(INDEX(Screening!$A$2:$R$219,MATCH($B14,Screening!$B$2:$B$219,0),MATCH("Include in final index",Screening!$A$1:$R$1,0)),""))</f>
        <v>Yes</v>
      </c>
      <c r="D14" s="89">
        <f>IF($B14="","",IFERROR(INDEX('INDEX ranked'!$A$3:$J$200,MATCH($B14,'INDEX ranked'!$B$3:$B$200,0),MATCH("Rank",'INDEX ranked'!$A$2:$J$2,0)),""))</f>
        <v>21</v>
      </c>
      <c r="E14" s="71">
        <f>IF($B14="","",IFERROR(INDEX('INDEX ranked'!$A$3:$J$200,MATCH($B14,'INDEX ranked'!$B$3:$B$200,0),MATCH("Overall index score",'INDEX ranked'!$A$2:$J$2,0)),""))</f>
        <v>48.284898553798406</v>
      </c>
      <c r="F14" s="71">
        <f>IF($B14="","",IFERROR(INDEX('INDEX ranked'!$A$3:$J$200,MATCH($B14,'INDEX ranked'!$B$3:$B$200,0),MATCH(F$1,'INDEX ranked'!$A$2:$J$2,0)),""))</f>
        <v>4.5636845257910403</v>
      </c>
      <c r="G14" s="71">
        <f>IF($B14="","",IFERROR(INDEX('INDEX ranked'!$A$3:$J$200,MATCH($B14,'INDEX ranked'!$B$3:$B$200,0),MATCH(G$1,'INDEX ranked'!$A$2:$J$2,0)),""))</f>
        <v>67.96941158065556</v>
      </c>
      <c r="H14" s="71">
        <f>IF($B14="","",IFERROR(INDEX('INDEX ranked'!$A$3:$J$200,MATCH($B14,'INDEX ranked'!$B$3:$B$200,0),MATCH(H$1,'INDEX ranked'!$A$2:$J$2,0)),""))</f>
        <v>79.537000000000006</v>
      </c>
      <c r="I14" s="71">
        <f>IF($B14="","",IFERROR(INDEX('INDEX ranked'!$A$3:$J$200,MATCH($B14,'INDEX ranked'!$B$3:$B$200,0),MATCH(I$1,'INDEX ranked'!$A$2:$J$2,0)),""))</f>
        <v>1.8606327667269245</v>
      </c>
      <c r="J14" s="71">
        <f>IF($B14="","",IFERROR(INDEX('INDEX ranked'!$A$3:$J$200,MATCH($B14,'INDEX ranked'!$B$3:$B$200,0),MATCH(J$1,'INDEX ranked'!$A$2:$J$2,0)),""))</f>
        <v>97.983185194424635</v>
      </c>
      <c r="K14" s="71">
        <f>IF($B14="","",IFERROR(INDEX('INDEX ranked'!$A$3:$J$200,MATCH($B14,'INDEX ranked'!$B$3:$B$200,0),MATCH(K$1,'INDEX ranked'!$A$2:$J$2,0)),""))</f>
        <v>67.78125</v>
      </c>
      <c r="L14" s="71">
        <f>IF($B14="","",IFERROR(INDEX('Pillar-1'!$A$5:$M$216,MATCH($B14,'Pillar-1'!$B$5:$B$216,0),MATCH(L$1,'Pillar-1'!$A$4:$M$4,0)),""))</f>
        <v>0</v>
      </c>
      <c r="M14" s="71">
        <f>IF($B14="","",IFERROR(INDEX('Pillar-1'!$A$5:$M$216,MATCH($B14,'Pillar-1'!$B$5:$B$216,0),MATCH(M$1,'Pillar-1'!$A$4:$M$4,0)),""))</f>
        <v>1.0154627279021462</v>
      </c>
      <c r="N14" s="71">
        <f>IF($B14="","",IFERROR(INDEX('Pillar-1'!$A$5:$M$216,MATCH($B14,'Pillar-1'!$B$5:$B$216,0),MATCH(N$1,'Pillar-1'!$A$4:$M$4,0)),""))</f>
        <v>12.168702021201133</v>
      </c>
      <c r="O14" s="71">
        <f>IF($B14="","",IFERROR(INDEX('Pillar-2'!$A$5:$S$216,MATCH($B14,'Pillar-2'!$B$5:$B$216,0),MATCH(O$1,'Pillar-2'!$A$4:$S$4,0)),""))</f>
        <v>59.825396825396794</v>
      </c>
      <c r="P14" s="71">
        <f>IF($B14="","",IFERROR(INDEX('Pillar-2'!$A$5:$S$216,MATCH($B14,'Pillar-2'!$B$5:$B$216,0),MATCH(P$1,'Pillar-2'!$A$4:$S$4,0)),""))</f>
        <v>100</v>
      </c>
      <c r="Q14" s="71">
        <f>IF($B14="","",IFERROR(INDEX('Pillar-2'!$A$5:$S$216,MATCH($B14,'Pillar-2'!$B$5:$B$216,0),MATCH(Q$1,'Pillar-2'!$A$4:$S$4,0)),""))</f>
        <v>100</v>
      </c>
      <c r="R14" s="71">
        <f>IF($B14="","",IFERROR(INDEX('Pillar-2'!$A$5:$S$216,MATCH($B14,'Pillar-2'!$B$5:$B$216,0),MATCH(R$1,'Pillar-2'!$A$4:$S$4,0)),""))</f>
        <v>100</v>
      </c>
      <c r="S14" s="71">
        <f>IF($B14="","",IFERROR(INDEX('Pillar-2'!$A$5:$S$216,MATCH($B14,'Pillar-2'!$B$5:$B$216,0),MATCH(S$1,'Pillar-2'!$A$4:$S$4,0)),""))</f>
        <v>9.0548872581247011</v>
      </c>
      <c r="T14" s="71">
        <f>IF($B14="","",IFERROR(INDEX('Pillar-2'!$A$5:$S$216,MATCH($B14,'Pillar-2'!$B$5:$B$216,0),MATCH(T$1,'Pillar-2'!$A$4:$S$4,0)),""))</f>
        <v>58.797218632912241</v>
      </c>
      <c r="U14" s="71">
        <f>IF($B14="","",IFERROR(INDEX('Pillar-2'!$A$5:$S$216,MATCH($B14,'Pillar-2'!$B$5:$B$216,0),MATCH(U$1,'Pillar-2'!$A$4:$S$4,0)),""))</f>
        <v>0</v>
      </c>
      <c r="V14" s="71">
        <f>IF($B14="","",IFERROR(INDEX('Pillar-2'!$A$5:$S$216,MATCH($B14,'Pillar-2'!$B$5:$B$216,0),MATCH(V$1,'Pillar-2'!$A$4:$S$4,0)),""))</f>
        <v>75</v>
      </c>
      <c r="W14" s="71">
        <f>IF($B14="","",IFERROR(INDEX('Pillar-3'!$A$5:$M$217,MATCH($B14,'Pillar-3'!$B$5:$B$217,0),MATCH(W$1,'Pillar-3'!$A$4:$M$4,0)),""))</f>
        <v>76.67</v>
      </c>
      <c r="X14" s="71">
        <f>IF($B14="","",IFERROR(INDEX('Pillar-3'!$A$5:$M$217,MATCH($B14,'Pillar-3'!$B$5:$B$217,0),MATCH(X$1,'Pillar-3'!$A$4:$M$4,0)),""))</f>
        <v>83.18</v>
      </c>
      <c r="Y14" s="71">
        <f>IF($B14="","",IFERROR(INDEX('Pillar-3'!$A$5:$M$217,MATCH($B14,'Pillar-3'!$B$5:$B$217,0),MATCH(Y$1,'Pillar-3'!$A$4:$M$4,0)),""))</f>
        <v>82.3</v>
      </c>
      <c r="Z14" s="71">
        <f>IF($B14="","",IFERROR(INDEX('Pillar-3'!$A$5:$M$217,MATCH($B14,'Pillar-3'!$B$5:$B$217,0),MATCH(Z$1,'Pillar-3'!$A$4:$M$4,0)),""))</f>
        <v>72.819999999999993</v>
      </c>
      <c r="AA14" s="71">
        <f>IF($B14="","",IFERROR(INDEX('Pillar-3'!$A$5:$M$217,MATCH($B14,'Pillar-3'!$B$5:$B$217,0),MATCH(AA$1,'Pillar-3'!$A$4:$M$4,0)),""))</f>
        <v>79.680000000000007</v>
      </c>
      <c r="AB14" s="71">
        <f>IF($B14="","",IFERROR(INDEX('Pillar-4'!$A$5:$R$217,MATCH($B14,'Pillar-4'!$B$5:$B$217,0),MATCH(AB$1,'Pillar-4'!$A$4:$R$4,0)),""))</f>
        <v>9.3031638336346223</v>
      </c>
      <c r="AC14" s="71">
        <f>IF($B14="","",IFERROR(INDEX('Pillar-4'!$A$5:$R$217,MATCH($B14,'Pillar-4'!$B$5:$B$217,0),MATCH(AC$1,'Pillar-4'!$A$4:$R$4,0)),""))</f>
        <v>0</v>
      </c>
      <c r="AD14" s="71">
        <f>IF($B14="","",IFERROR(INDEX('Pillar-4'!$A$5:$R$217,MATCH($B14,'Pillar-4'!$B$5:$B$217,0),MATCH(AD$1,'Pillar-4'!$A$4:$R$4,0)),""))</f>
        <v>0</v>
      </c>
      <c r="AE14" s="71">
        <f>IF($B14="","",IFERROR(INDEX('Pillar-4'!$A$5:$R$217,MATCH($B14,'Pillar-4'!$B$5:$B$217,0),MATCH(AE$1,'Pillar-4'!$A$4:$R$4,0)),""))</f>
        <v>0</v>
      </c>
      <c r="AF14" s="71">
        <f>IF($B14="","",IFERROR(INDEX('Pillar-4'!$A$5:$R$217,MATCH($B14,'Pillar-4'!$B$5:$B$217,0),MATCH(AF$1,'Pillar-4'!$A$4:$R$4,0)),""))</f>
        <v>0</v>
      </c>
      <c r="AG14" s="71">
        <f>IF($B14="","",IFERROR(INDEX('Pillar-5'!$A$5:$Q$216,MATCH($B14,'Pillar-5'!$B$5:$B$216,0),MATCH(AG$1,'Pillar-5'!$A$4:$Q$4,0)),""))</f>
        <v>100</v>
      </c>
      <c r="AH14" s="71">
        <f>IF($B14="","",IFERROR(INDEX('Pillar-5'!$A$5:$Q$216,MATCH($B14,'Pillar-5'!$B$5:$B$216,0),MATCH(AH$1,'Pillar-5'!$A$4:$Q$4,0)),""))</f>
        <v>100</v>
      </c>
      <c r="AI14" s="71">
        <f>IF($B14="","",IFERROR(INDEX('Pillar-5'!$A$5:$Q$216,MATCH($B14,'Pillar-5'!$B$5:$B$216,0),MATCH(AI$1,'Pillar-5'!$A$4:$Q$4,0)),""))</f>
        <v>93.859333333333339</v>
      </c>
      <c r="AJ14" s="71">
        <f>IF($B14="","",IFERROR(INDEX('Pillar-5'!$A$5:$Q$216,MATCH($B14,'Pillar-5'!$B$5:$B$216,0),MATCH(AJ$1,'Pillar-5'!$A$4:$Q$4,0)),""))</f>
        <v>96.845274111031898</v>
      </c>
      <c r="AK14" s="71">
        <f>IF($B14="","",IFERROR(INDEX('Pillar-6'!$A$5:$Q$216,MATCH($B14,'Pillar-6'!$B$5:$B$216,0),MATCH(AK$1,'Pillar-6'!$A$4:$Q$4,0)),""))</f>
        <v>20</v>
      </c>
      <c r="AL14" s="71">
        <f>IF($B14="","",IFERROR(INDEX('Pillar-6'!$A$5:$Q$216,MATCH($B14,'Pillar-6'!$B$5:$B$216,0),MATCH(AL$1,'Pillar-6'!$A$4:$Q$4,0)),""))</f>
        <v>90.625</v>
      </c>
      <c r="AM14" s="71">
        <f>IF($B14="","",IFERROR(INDEX('Pillar-6'!$A$5:$Q$216,MATCH($B14,'Pillar-6'!$B$5:$B$216,0),MATCH(AM$1,'Pillar-6'!$A$4:$Q$4,0)),""))</f>
        <v>100</v>
      </c>
    </row>
    <row r="15" spans="1:40" s="35" customFormat="1" ht="20" customHeight="1">
      <c r="A15" s="35" t="str">
        <v>India</v>
      </c>
      <c r="B15" s="89" t="str">
        <v>IND</v>
      </c>
      <c r="C15" s="89" t="str">
        <f>IF($B15="","",IFERROR(INDEX(Screening!$A$2:$R$219,MATCH($B15,Screening!$B$2:$B$219,0),MATCH("Include in final index",Screening!$A$1:$R$1,0)),""))</f>
        <v>Yes</v>
      </c>
      <c r="D15" s="89">
        <f>IF($B15="","",IFERROR(INDEX('INDEX ranked'!$A$3:$J$200,MATCH($B15,'INDEX ranked'!$B$3:$B$200,0),MATCH("Rank",'INDEX ranked'!$A$2:$J$2,0)),""))</f>
        <v>23</v>
      </c>
      <c r="E15" s="71">
        <f>IF($B15="","",IFERROR(INDEX('INDEX ranked'!$A$3:$J$200,MATCH($B15,'INDEX ranked'!$B$3:$B$200,0),MATCH("Overall index score",'INDEX ranked'!$A$2:$J$2,0)),""))</f>
        <v>47.952595901455837</v>
      </c>
      <c r="F15" s="71">
        <f>IF($B15="","",IFERROR(INDEX('INDEX ranked'!$A$3:$J$200,MATCH($B15,'INDEX ranked'!$B$3:$B$200,0),MATCH(F$1,'INDEX ranked'!$A$2:$J$2,0)),""))</f>
        <v>17.370261790657619</v>
      </c>
      <c r="G15" s="71">
        <f>IF($B15="","",IFERROR(INDEX('INDEX ranked'!$A$3:$J$200,MATCH($B15,'INDEX ranked'!$B$3:$B$200,0),MATCH(G$1,'INDEX ranked'!$A$2:$J$2,0)),""))</f>
        <v>37.758330209006573</v>
      </c>
      <c r="H15" s="71">
        <f>IF($B15="","",IFERROR(INDEX('INDEX ranked'!$A$3:$J$200,MATCH($B15,'INDEX ranked'!$B$3:$B$200,0),MATCH(H$1,'INDEX ranked'!$A$2:$J$2,0)),""))</f>
        <v>53.021000000000001</v>
      </c>
      <c r="I15" s="71">
        <f>IF($B15="","",IFERROR(INDEX('INDEX ranked'!$A$3:$J$200,MATCH($B15,'INDEX ranked'!$B$3:$B$200,0),MATCH(I$1,'INDEX ranked'!$A$2:$J$2,0)),""))</f>
        <v>72.579459151255648</v>
      </c>
      <c r="J15" s="71">
        <f>IF($B15="","",IFERROR(INDEX('INDEX ranked'!$A$3:$J$200,MATCH($B15,'INDEX ranked'!$B$3:$B$200,0),MATCH(J$1,'INDEX ranked'!$A$2:$J$2,0)),""))</f>
        <v>58.654571141812461</v>
      </c>
      <c r="K15" s="71">
        <f>IF($B15="","",IFERROR(INDEX('INDEX ranked'!$A$3:$J$200,MATCH($B15,'INDEX ranked'!$B$3:$B$200,0),MATCH(K$1,'INDEX ranked'!$A$2:$J$2,0)),""))</f>
        <v>56.596499999999999</v>
      </c>
      <c r="L15" s="71">
        <f>IF($B15="","",IFERROR(INDEX('Pillar-1'!$A$5:$M$216,MATCH($B15,'Pillar-1'!$B$5:$B$216,0),MATCH(L$1,'Pillar-1'!$A$4:$M$4,0)),""))</f>
        <v>21.752230849461121</v>
      </c>
      <c r="M15" s="71">
        <f>IF($B15="","",IFERROR(INDEX('Pillar-1'!$A$5:$M$216,MATCH($B15,'Pillar-1'!$B$5:$B$216,0),MATCH(M$1,'Pillar-1'!$A$4:$M$4,0)),""))</f>
        <v>25.063466420493885</v>
      </c>
      <c r="N15" s="71">
        <f>IF($B15="","",IFERROR(INDEX('Pillar-1'!$A$5:$M$216,MATCH($B15,'Pillar-1'!$B$5:$B$216,0),MATCH(N$1,'Pillar-1'!$A$4:$M$4,0)),""))</f>
        <v>6.3941173348516065</v>
      </c>
      <c r="O15" s="71">
        <f>IF($B15="","",IFERROR(INDEX('Pillar-2'!$A$5:$S$216,MATCH($B15,'Pillar-2'!$B$5:$B$216,0),MATCH(O$1,'Pillar-2'!$A$4:$S$4,0)),""))</f>
        <v>67.785185185185099</v>
      </c>
      <c r="P15" s="71">
        <f>IF($B15="","",IFERROR(INDEX('Pillar-2'!$A$5:$S$216,MATCH($B15,'Pillar-2'!$B$5:$B$216,0),MATCH(P$1,'Pillar-2'!$A$4:$S$4,0)),""))</f>
        <v>48.69916365109016</v>
      </c>
      <c r="Q15" s="71">
        <f>IF($B15="","",IFERROR(INDEX('Pillar-2'!$A$5:$S$216,MATCH($B15,'Pillar-2'!$B$5:$B$216,0),MATCH(Q$1,'Pillar-2'!$A$4:$S$4,0)),""))</f>
        <v>48.415657553043133</v>
      </c>
      <c r="R15" s="71">
        <f>IF($B15="","",IFERROR(INDEX('Pillar-2'!$A$5:$S$216,MATCH($B15,'Pillar-2'!$B$5:$B$216,0),MATCH(R$1,'Pillar-2'!$A$4:$S$4,0)),""))</f>
        <v>38.958482022001817</v>
      </c>
      <c r="S15" s="71">
        <f>IF($B15="","",IFERROR(INDEX('Pillar-2'!$A$5:$S$216,MATCH($B15,'Pillar-2'!$B$5:$B$216,0),MATCH(S$1,'Pillar-2'!$A$4:$S$4,0)),""))</f>
        <v>15.281010678938845</v>
      </c>
      <c r="T15" s="71">
        <f>IF($B15="","",IFERROR(INDEX('Pillar-2'!$A$5:$S$216,MATCH($B15,'Pillar-2'!$B$5:$B$216,0),MATCH(T$1,'Pillar-2'!$A$4:$S$4,0)),""))</f>
        <v>18.920297151648455</v>
      </c>
      <c r="U15" s="71">
        <f>IF($B15="","",IFERROR(INDEX('Pillar-2'!$A$5:$S$216,MATCH($B15,'Pillar-2'!$B$5:$B$216,0),MATCH(U$1,'Pillar-2'!$A$4:$S$4,0)),""))</f>
        <v>100</v>
      </c>
      <c r="V15" s="71">
        <f>IF($B15="","",IFERROR(INDEX('Pillar-2'!$A$5:$S$216,MATCH($B15,'Pillar-2'!$B$5:$B$216,0),MATCH(V$1,'Pillar-2'!$A$4:$S$4,0)),""))</f>
        <v>0</v>
      </c>
      <c r="W15" s="71">
        <f>IF($B15="","",IFERROR(INDEX('Pillar-3'!$A$5:$M$217,MATCH($B15,'Pillar-3'!$B$5:$B$217,0),MATCH(W$1,'Pillar-3'!$A$4:$M$4,0)),""))</f>
        <v>52.47</v>
      </c>
      <c r="X15" s="71">
        <f>IF($B15="","",IFERROR(INDEX('Pillar-3'!$A$5:$M$217,MATCH($B15,'Pillar-3'!$B$5:$B$217,0),MATCH(X$1,'Pillar-3'!$A$4:$M$4,0)),""))</f>
        <v>59.21</v>
      </c>
      <c r="Y15" s="71">
        <f>IF($B15="","",IFERROR(INDEX('Pillar-3'!$A$5:$M$217,MATCH($B15,'Pillar-3'!$B$5:$B$217,0),MATCH(Y$1,'Pillar-3'!$A$4:$M$4,0)),""))</f>
        <v>53.35</v>
      </c>
      <c r="Z15" s="71">
        <f>IF($B15="","",IFERROR(INDEX('Pillar-3'!$A$5:$M$217,MATCH($B15,'Pillar-3'!$B$5:$B$217,0),MATCH(Z$1,'Pillar-3'!$A$4:$M$4,0)),""))</f>
        <v>56.29</v>
      </c>
      <c r="AA15" s="71">
        <f>IF($B15="","",IFERROR(INDEX('Pillar-3'!$A$5:$M$217,MATCH($B15,'Pillar-3'!$B$5:$B$217,0),MATCH(AA$1,'Pillar-3'!$A$4:$M$4,0)),""))</f>
        <v>41.88</v>
      </c>
      <c r="AB15" s="71">
        <f>IF($B15="","",IFERROR(INDEX('Pillar-4'!$A$5:$R$217,MATCH($B15,'Pillar-4'!$B$5:$B$217,0),MATCH(AB$1,'Pillar-4'!$A$4:$R$4,0)),""))</f>
        <v>100</v>
      </c>
      <c r="AC15" s="71">
        <f>IF($B15="","",IFERROR(INDEX('Pillar-4'!$A$5:$R$217,MATCH($B15,'Pillar-4'!$B$5:$B$217,0),MATCH(AC$1,'Pillar-4'!$A$4:$R$4,0)),""))</f>
        <v>98.455795001810188</v>
      </c>
      <c r="AD15" s="71">
        <f>IF($B15="","",IFERROR(INDEX('Pillar-4'!$A$5:$R$217,MATCH($B15,'Pillar-4'!$B$5:$B$217,0),MATCH(AD$1,'Pillar-4'!$A$4:$R$4,0)),""))</f>
        <v>97.588667672624084</v>
      </c>
      <c r="AE15" s="71">
        <f>IF($B15="","",IFERROR(INDEX('Pillar-4'!$A$5:$R$217,MATCH($B15,'Pillar-4'!$B$5:$B$217,0),MATCH(AE$1,'Pillar-4'!$A$4:$R$4,0)),""))</f>
        <v>60</v>
      </c>
      <c r="AF15" s="71">
        <f>IF($B15="","",IFERROR(INDEX('Pillar-4'!$A$5:$R$217,MATCH($B15,'Pillar-4'!$B$5:$B$217,0),MATCH(AF$1,'Pillar-4'!$A$4:$R$4,0)),""))</f>
        <v>25</v>
      </c>
      <c r="AG15" s="71">
        <f>IF($B15="","",IFERROR(INDEX('Pillar-5'!$A$5:$Q$216,MATCH($B15,'Pillar-5'!$B$5:$B$216,0),MATCH(AG$1,'Pillar-5'!$A$4:$Q$4,0)),""))</f>
        <v>20.01076124094401</v>
      </c>
      <c r="AH15" s="71">
        <f>IF($B15="","",IFERROR(INDEX('Pillar-5'!$A$5:$Q$216,MATCH($B15,'Pillar-5'!$B$5:$B$216,0),MATCH(AH$1,'Pillar-5'!$A$4:$Q$4,0)),""))</f>
        <v>100</v>
      </c>
      <c r="AI15" s="71">
        <f>IF($B15="","",IFERROR(INDEX('Pillar-5'!$A$5:$Q$216,MATCH($B15,'Pillar-5'!$B$5:$B$216,0),MATCH(AI$1,'Pillar-5'!$A$4:$Q$4,0)),""))</f>
        <v>43.478666666666669</v>
      </c>
      <c r="AJ15" s="71">
        <f>IF($B15="","",IFERROR(INDEX('Pillar-5'!$A$5:$Q$216,MATCH($B15,'Pillar-5'!$B$5:$B$216,0),MATCH(AJ$1,'Pillar-5'!$A$4:$Q$4,0)),""))</f>
        <v>75.822437744783684</v>
      </c>
      <c r="AK15" s="71">
        <f>IF($B15="","",IFERROR(INDEX('Pillar-6'!$A$5:$Q$216,MATCH($B15,'Pillar-6'!$B$5:$B$216,0),MATCH(AK$1,'Pillar-6'!$A$4:$Q$4,0)),""))</f>
        <v>20</v>
      </c>
      <c r="AL15" s="71">
        <f>IF($B15="","",IFERROR(INDEX('Pillar-6'!$A$5:$Q$216,MATCH($B15,'Pillar-6'!$B$5:$B$216,0),MATCH(AL$1,'Pillar-6'!$A$4:$Q$4,0)),""))</f>
        <v>65.77</v>
      </c>
      <c r="AM15" s="71">
        <f>IF($B15="","",IFERROR(INDEX('Pillar-6'!$A$5:$Q$216,MATCH($B15,'Pillar-6'!$B$5:$B$216,0),MATCH(AM$1,'Pillar-6'!$A$4:$Q$4,0)),""))</f>
        <v>100</v>
      </c>
    </row>
    <row r="16" spans="1:40" s="35" customFormat="1" ht="20" customHeight="1">
      <c r="A16" s="35" t="str">
        <v>Indonesia</v>
      </c>
      <c r="B16" s="89" t="str">
        <v>IDN</v>
      </c>
      <c r="C16" s="89" t="str">
        <f>IF($B16="","",IFERROR(INDEX(Screening!$A$2:$R$219,MATCH($B16,Screening!$B$2:$B$219,0),MATCH("Include in final index",Screening!$A$1:$R$1,0)),""))</f>
        <v>Yes</v>
      </c>
      <c r="D16" s="89">
        <f>IF($B16="","",IFERROR(INDEX('INDEX ranked'!$A$3:$J$200,MATCH($B16,'INDEX ranked'!$B$3:$B$200,0),MATCH("Rank",'INDEX ranked'!$A$2:$J$2,0)),""))</f>
        <v>22</v>
      </c>
      <c r="E16" s="71">
        <f>IF($B16="","",IFERROR(INDEX('INDEX ranked'!$A$3:$J$200,MATCH($B16,'INDEX ranked'!$B$3:$B$200,0),MATCH("Overall index score",'INDEX ranked'!$A$2:$J$2,0)),""))</f>
        <v>48.056860397797905</v>
      </c>
      <c r="F16" s="71">
        <f>IF($B16="","",IFERROR(INDEX('INDEX ranked'!$A$3:$J$200,MATCH($B16,'INDEX ranked'!$B$3:$B$200,0),MATCH(F$1,'INDEX ranked'!$A$2:$J$2,0)),""))</f>
        <v>11.074019663691745</v>
      </c>
      <c r="G16" s="71">
        <f>IF($B16="","",IFERROR(INDEX('INDEX ranked'!$A$3:$J$200,MATCH($B16,'INDEX ranked'!$B$3:$B$200,0),MATCH(G$1,'INDEX ranked'!$A$2:$J$2,0)),""))</f>
        <v>42.92996178377242</v>
      </c>
      <c r="H16" s="71">
        <f>IF($B16="","",IFERROR(INDEX('INDEX ranked'!$A$3:$J$200,MATCH($B16,'INDEX ranked'!$B$3:$B$200,0),MATCH(H$1,'INDEX ranked'!$A$2:$J$2,0)),""))</f>
        <v>51.514499999999998</v>
      </c>
      <c r="I16" s="71">
        <f>IF($B16="","",IFERROR(INDEX('INDEX ranked'!$A$3:$J$200,MATCH($B16,'INDEX ranked'!$B$3:$B$200,0),MATCH(I$1,'INDEX ranked'!$A$2:$J$2,0)),""))</f>
        <v>71.77659182906396</v>
      </c>
      <c r="J16" s="71">
        <f>IF($B16="","",IFERROR(INDEX('INDEX ranked'!$A$3:$J$200,MATCH($B16,'INDEX ranked'!$B$3:$B$200,0),MATCH(J$1,'INDEX ranked'!$A$2:$J$2,0)),""))</f>
        <v>64.924638283281894</v>
      </c>
      <c r="K16" s="71">
        <f>IF($B16="","",IFERROR(INDEX('INDEX ranked'!$A$3:$J$200,MATCH($B16,'INDEX ranked'!$B$3:$B$200,0),MATCH(K$1,'INDEX ranked'!$A$2:$J$2,0)),""))</f>
        <v>54.348749999999995</v>
      </c>
      <c r="L16" s="71">
        <f>IF($B16="","",IFERROR(INDEX('Pillar-1'!$A$5:$M$216,MATCH($B16,'Pillar-1'!$B$5:$B$216,0),MATCH(L$1,'Pillar-1'!$A$4:$M$4,0)),""))</f>
        <v>19.758952369915402</v>
      </c>
      <c r="M16" s="71">
        <f>IF($B16="","",IFERROR(INDEX('Pillar-1'!$A$5:$M$216,MATCH($B16,'Pillar-1'!$B$5:$B$216,0),MATCH(M$1,'Pillar-1'!$A$4:$M$4,0)),""))</f>
        <v>0.7385183475651973</v>
      </c>
      <c r="N16" s="71">
        <f>IF($B16="","",IFERROR(INDEX('Pillar-1'!$A$5:$M$216,MATCH($B16,'Pillar-1'!$B$5:$B$216,0),MATCH(N$1,'Pillar-1'!$A$4:$M$4,0)),""))</f>
        <v>11.248088085576562</v>
      </c>
      <c r="O16" s="71">
        <f>IF($B16="","",IFERROR(INDEX('Pillar-2'!$A$5:$S$216,MATCH($B16,'Pillar-2'!$B$5:$B$216,0),MATCH(O$1,'Pillar-2'!$A$4:$S$4,0)),""))</f>
        <v>46.6666666666666</v>
      </c>
      <c r="P16" s="71">
        <f>IF($B16="","",IFERROR(INDEX('Pillar-2'!$A$5:$S$216,MATCH($B16,'Pillar-2'!$B$5:$B$216,0),MATCH(P$1,'Pillar-2'!$A$4:$S$4,0)),""))</f>
        <v>82.509517808732525</v>
      </c>
      <c r="Q16" s="71">
        <f>IF($B16="","",IFERROR(INDEX('Pillar-2'!$A$5:$S$216,MATCH($B16,'Pillar-2'!$B$5:$B$216,0),MATCH(Q$1,'Pillar-2'!$A$4:$S$4,0)),""))</f>
        <v>71.61677512646969</v>
      </c>
      <c r="R16" s="71">
        <f>IF($B16="","",IFERROR(INDEX('Pillar-2'!$A$5:$S$216,MATCH($B16,'Pillar-2'!$B$5:$B$216,0),MATCH(R$1,'Pillar-2'!$A$4:$S$4,0)),""))</f>
        <v>35.380109763000533</v>
      </c>
      <c r="S16" s="71">
        <f>IF($B16="","",IFERROR(INDEX('Pillar-2'!$A$5:$S$216,MATCH($B16,'Pillar-2'!$B$5:$B$216,0),MATCH(S$1,'Pillar-2'!$A$4:$S$4,0)),""))</f>
        <v>14.42100961282183</v>
      </c>
      <c r="T16" s="71">
        <f>IF($B16="","",IFERROR(INDEX('Pillar-2'!$A$5:$S$216,MATCH($B16,'Pillar-2'!$B$5:$B$216,0),MATCH(T$1,'Pillar-2'!$A$4:$S$4,0)),""))</f>
        <v>19.478644926252276</v>
      </c>
      <c r="U16" s="71">
        <f>IF($B16="","",IFERROR(INDEX('Pillar-2'!$A$5:$S$216,MATCH($B16,'Pillar-2'!$B$5:$B$216,0),MATCH(U$1,'Pillar-2'!$A$4:$S$4,0)),""))</f>
        <v>100</v>
      </c>
      <c r="V16" s="71">
        <f>IF($B16="","",IFERROR(INDEX('Pillar-2'!$A$5:$S$216,MATCH($B16,'Pillar-2'!$B$5:$B$216,0),MATCH(V$1,'Pillar-2'!$A$4:$S$4,0)),""))</f>
        <v>0</v>
      </c>
      <c r="W16" s="71">
        <f>IF($B16="","",IFERROR(INDEX('Pillar-3'!$A$5:$M$217,MATCH($B16,'Pillar-3'!$B$5:$B$217,0),MATCH(W$1,'Pillar-3'!$A$4:$M$4,0)),""))</f>
        <v>55.49</v>
      </c>
      <c r="X16" s="71">
        <f>IF($B16="","",IFERROR(INDEX('Pillar-3'!$A$5:$M$217,MATCH($B16,'Pillar-3'!$B$5:$B$217,0),MATCH(X$1,'Pillar-3'!$A$4:$M$4,0)),""))</f>
        <v>54.84</v>
      </c>
      <c r="Y16" s="71">
        <f>IF($B16="","",IFERROR(INDEX('Pillar-3'!$A$5:$M$217,MATCH($B16,'Pillar-3'!$B$5:$B$217,0),MATCH(Y$1,'Pillar-3'!$A$4:$M$4,0)),""))</f>
        <v>56.83</v>
      </c>
      <c r="Z16" s="71">
        <f>IF($B16="","",IFERROR(INDEX('Pillar-3'!$A$5:$M$217,MATCH($B16,'Pillar-3'!$B$5:$B$217,0),MATCH(Z$1,'Pillar-3'!$A$4:$M$4,0)),""))</f>
        <v>53.41</v>
      </c>
      <c r="AA16" s="71">
        <f>IF($B16="","",IFERROR(INDEX('Pillar-3'!$A$5:$M$217,MATCH($B16,'Pillar-3'!$B$5:$B$217,0),MATCH(AA$1,'Pillar-3'!$A$4:$M$4,0)),""))</f>
        <v>36.83</v>
      </c>
      <c r="AB16" s="71">
        <f>IF($B16="","",IFERROR(INDEX('Pillar-4'!$A$5:$R$217,MATCH($B16,'Pillar-4'!$B$5:$B$217,0),MATCH(AB$1,'Pillar-4'!$A$4:$R$4,0)),""))</f>
        <v>55.607614407814744</v>
      </c>
      <c r="AC16" s="71">
        <f>IF($B16="","",IFERROR(INDEX('Pillar-4'!$A$5:$R$217,MATCH($B16,'Pillar-4'!$B$5:$B$217,0),MATCH(AC$1,'Pillar-4'!$A$4:$R$4,0)),""))</f>
        <v>91.774645698147665</v>
      </c>
      <c r="AD16" s="71">
        <f>IF($B16="","",IFERROR(INDEX('Pillar-4'!$A$5:$R$217,MATCH($B16,'Pillar-4'!$B$5:$B$217,0),MATCH(AD$1,'Pillar-4'!$A$4:$R$4,0)),""))</f>
        <v>92.000932052476458</v>
      </c>
      <c r="AE16" s="71">
        <f>IF($B16="","",IFERROR(INDEX('Pillar-4'!$A$5:$R$217,MATCH($B16,'Pillar-4'!$B$5:$B$217,0),MATCH(AE$1,'Pillar-4'!$A$4:$R$4,0)),""))</f>
        <v>80</v>
      </c>
      <c r="AF16" s="71">
        <f>IF($B16="","",IFERROR(INDEX('Pillar-4'!$A$5:$R$217,MATCH($B16,'Pillar-4'!$B$5:$B$217,0),MATCH(AF$1,'Pillar-4'!$A$4:$R$4,0)),""))</f>
        <v>50</v>
      </c>
      <c r="AG16" s="71">
        <f>IF($B16="","",IFERROR(INDEX('Pillar-5'!$A$5:$Q$216,MATCH($B16,'Pillar-5'!$B$5:$B$216,0),MATCH(AG$1,'Pillar-5'!$A$4:$Q$4,0)),""))</f>
        <v>18.196225381905634</v>
      </c>
      <c r="AH16" s="71">
        <f>IF($B16="","",IFERROR(INDEX('Pillar-5'!$A$5:$Q$216,MATCH($B16,'Pillar-5'!$B$5:$B$216,0),MATCH(AH$1,'Pillar-5'!$A$4:$Q$4,0)),""))</f>
        <v>100</v>
      </c>
      <c r="AI16" s="71">
        <f>IF($B16="","",IFERROR(INDEX('Pillar-5'!$A$5:$Q$216,MATCH($B16,'Pillar-5'!$B$5:$B$216,0),MATCH(AI$1,'Pillar-5'!$A$4:$Q$4,0)),""))</f>
        <v>73.223333333333329</v>
      </c>
      <c r="AJ16" s="71">
        <f>IF($B16="","",IFERROR(INDEX('Pillar-5'!$A$5:$Q$216,MATCH($B16,'Pillar-5'!$B$5:$B$216,0),MATCH(AJ$1,'Pillar-5'!$A$4:$Q$4,0)),""))</f>
        <v>79.28441600817419</v>
      </c>
      <c r="AK16" s="71">
        <f>IF($B16="","",IFERROR(INDEX('Pillar-6'!$A$5:$Q$216,MATCH($B16,'Pillar-6'!$B$5:$B$216,0),MATCH(AK$1,'Pillar-6'!$A$4:$Q$4,0)),""))</f>
        <v>20</v>
      </c>
      <c r="AL16" s="71">
        <f>IF($B16="","",IFERROR(INDEX('Pillar-6'!$A$5:$Q$216,MATCH($B16,'Pillar-6'!$B$5:$B$216,0),MATCH(AL$1,'Pillar-6'!$A$4:$Q$4,0)),""))</f>
        <v>60.774999999999999</v>
      </c>
      <c r="AM16" s="71">
        <f>IF($B16="","",IFERROR(INDEX('Pillar-6'!$A$5:$Q$216,MATCH($B16,'Pillar-6'!$B$5:$B$216,0),MATCH(AM$1,'Pillar-6'!$A$4:$Q$4,0)),""))</f>
        <v>100</v>
      </c>
    </row>
    <row r="17" spans="1:39" s="35" customFormat="1" ht="20" customHeight="1">
      <c r="A17" s="35" t="str">
        <v>Japan</v>
      </c>
      <c r="B17" s="89" t="str">
        <v>JPN</v>
      </c>
      <c r="C17" s="89" t="str">
        <f>IF($B17="","",IFERROR(INDEX(Screening!$A$2:$R$219,MATCH($B17,Screening!$B$2:$B$219,0),MATCH("Include in final index",Screening!$A$1:$R$1,0)),""))</f>
        <v>Yes</v>
      </c>
      <c r="D17" s="89">
        <f>IF($B17="","",IFERROR(INDEX('INDEX ranked'!$A$3:$J$200,MATCH($B17,'INDEX ranked'!$B$3:$B$200,0),MATCH("Rank",'INDEX ranked'!$A$2:$J$2,0)),""))</f>
        <v>10</v>
      </c>
      <c r="E17" s="71">
        <f>IF($B17="","",IFERROR(INDEX('INDEX ranked'!$A$3:$J$200,MATCH($B17,'INDEX ranked'!$B$3:$B$200,0),MATCH("Overall index score",'INDEX ranked'!$A$2:$J$2,0)),""))</f>
        <v>57.520220600505311</v>
      </c>
      <c r="F17" s="71">
        <f>IF($B17="","",IFERROR(INDEX('INDEX ranked'!$A$3:$J$200,MATCH($B17,'INDEX ranked'!$B$3:$B$200,0),MATCH(F$1,'INDEX ranked'!$A$2:$J$2,0)),""))</f>
        <v>33.370858377149204</v>
      </c>
      <c r="G17" s="71">
        <f>IF($B17="","",IFERROR(INDEX('INDEX ranked'!$A$3:$J$200,MATCH($B17,'INDEX ranked'!$B$3:$B$200,0),MATCH(G$1,'INDEX ranked'!$A$2:$J$2,0)),""))</f>
        <v>56.252322904750876</v>
      </c>
      <c r="H17" s="71">
        <f>IF($B17="","",IFERROR(INDEX('INDEX ranked'!$A$3:$J$200,MATCH($B17,'INDEX ranked'!$B$3:$B$200,0),MATCH(H$1,'INDEX ranked'!$A$2:$J$2,0)),""))</f>
        <v>82.129500000000007</v>
      </c>
      <c r="I17" s="71">
        <f>IF($B17="","",IFERROR(INDEX('INDEX ranked'!$A$3:$J$200,MATCH($B17,'INDEX ranked'!$B$3:$B$200,0),MATCH(I$1,'INDEX ranked'!$A$2:$J$2,0)),""))</f>
        <v>41.320255495331253</v>
      </c>
      <c r="J17" s="71">
        <f>IF($B17="","",IFERROR(INDEX('INDEX ranked'!$A$3:$J$200,MATCH($B17,'INDEX ranked'!$B$3:$B$200,0),MATCH(J$1,'INDEX ranked'!$A$2:$J$2,0)),""))</f>
        <v>66.587888300393601</v>
      </c>
      <c r="K17" s="71">
        <f>IF($B17="","",IFERROR(INDEX('INDEX ranked'!$A$3:$J$200,MATCH($B17,'INDEX ranked'!$B$3:$B$200,0),MATCH(K$1,'INDEX ranked'!$A$2:$J$2,0)),""))</f>
        <v>90.239249999999998</v>
      </c>
      <c r="L17" s="71">
        <f>IF($B17="","",IFERROR(INDEX('Pillar-1'!$A$5:$M$216,MATCH($B17,'Pillar-1'!$B$5:$B$216,0),MATCH(L$1,'Pillar-1'!$A$4:$M$4,0)),""))</f>
        <v>25.37953412909955</v>
      </c>
      <c r="M17" s="71">
        <f>IF($B17="","",IFERROR(INDEX('Pillar-1'!$A$5:$M$216,MATCH($B17,'Pillar-1'!$B$5:$B$216,0),MATCH(M$1,'Pillar-1'!$A$4:$M$4,0)),""))</f>
        <v>24.186475882760213</v>
      </c>
      <c r="N17" s="71">
        <f>IF($B17="","",IFERROR(INDEX('Pillar-1'!$A$5:$M$216,MATCH($B17,'Pillar-1'!$B$5:$B$216,0),MATCH(N$1,'Pillar-1'!$A$4:$M$4,0)),""))</f>
        <v>49.234510477532289</v>
      </c>
      <c r="O17" s="71">
        <f>IF($B17="","",IFERROR(INDEX('Pillar-2'!$A$5:$S$216,MATCH($B17,'Pillar-2'!$B$5:$B$216,0),MATCH(O$1,'Pillar-2'!$A$4:$S$4,0)),""))</f>
        <v>63.537037037037003</v>
      </c>
      <c r="P17" s="71">
        <f>IF($B17="","",IFERROR(INDEX('Pillar-2'!$A$5:$S$216,MATCH($B17,'Pillar-2'!$B$5:$B$216,0),MATCH(P$1,'Pillar-2'!$A$4:$S$4,0)),""))</f>
        <v>98.655949662038168</v>
      </c>
      <c r="Q17" s="71">
        <f>IF($B17="","",IFERROR(INDEX('Pillar-2'!$A$5:$S$216,MATCH($B17,'Pillar-2'!$B$5:$B$216,0),MATCH(Q$1,'Pillar-2'!$A$4:$S$4,0)),""))</f>
        <v>100</v>
      </c>
      <c r="R17" s="71">
        <f>IF($B17="","",IFERROR(INDEX('Pillar-2'!$A$5:$S$216,MATCH($B17,'Pillar-2'!$B$5:$B$216,0),MATCH(R$1,'Pillar-2'!$A$4:$S$4,0)),""))</f>
        <v>46.095538109418463</v>
      </c>
      <c r="S17" s="71">
        <f>IF($B17="","",IFERROR(INDEX('Pillar-2'!$A$5:$S$216,MATCH($B17,'Pillar-2'!$B$5:$B$216,0),MATCH(S$1,'Pillar-2'!$A$4:$S$4,0)),""))</f>
        <v>34.307645835924582</v>
      </c>
      <c r="T17" s="71">
        <f>IF($B17="","",IFERROR(INDEX('Pillar-2'!$A$5:$S$216,MATCH($B17,'Pillar-2'!$B$5:$B$216,0),MATCH(T$1,'Pillar-2'!$A$4:$S$4,0)),""))</f>
        <v>39.931805511739569</v>
      </c>
      <c r="U17" s="71">
        <f>IF($B17="","",IFERROR(INDEX('Pillar-2'!$A$5:$S$216,MATCH($B17,'Pillar-2'!$B$5:$B$216,0),MATCH(U$1,'Pillar-2'!$A$4:$S$4,0)),""))</f>
        <v>100</v>
      </c>
      <c r="V17" s="71">
        <f>IF($B17="","",IFERROR(INDEX('Pillar-2'!$A$5:$S$216,MATCH($B17,'Pillar-2'!$B$5:$B$216,0),MATCH(V$1,'Pillar-2'!$A$4:$S$4,0)),""))</f>
        <v>0</v>
      </c>
      <c r="W17" s="71">
        <f>IF($B17="","",IFERROR(INDEX('Pillar-3'!$A$5:$M$217,MATCH($B17,'Pillar-3'!$B$5:$B$217,0),MATCH(W$1,'Pillar-3'!$A$4:$M$4,0)),""))</f>
        <v>85.27</v>
      </c>
      <c r="X17" s="71">
        <f>IF($B17="","",IFERROR(INDEX('Pillar-3'!$A$5:$M$217,MATCH($B17,'Pillar-3'!$B$5:$B$217,0),MATCH(X$1,'Pillar-3'!$A$4:$M$4,0)),""))</f>
        <v>91.94</v>
      </c>
      <c r="Y17" s="71">
        <f>IF($B17="","",IFERROR(INDEX('Pillar-3'!$A$5:$M$217,MATCH($B17,'Pillar-3'!$B$5:$B$217,0),MATCH(Y$1,'Pillar-3'!$A$4:$M$4,0)),""))</f>
        <v>75.83</v>
      </c>
      <c r="Z17" s="71">
        <f>IF($B17="","",IFERROR(INDEX('Pillar-3'!$A$5:$M$217,MATCH($B17,'Pillar-3'!$B$5:$B$217,0),MATCH(Z$1,'Pillar-3'!$A$4:$M$4,0)),""))</f>
        <v>82.98</v>
      </c>
      <c r="AA17" s="71">
        <f>IF($B17="","",IFERROR(INDEX('Pillar-3'!$A$5:$M$217,MATCH($B17,'Pillar-3'!$B$5:$B$217,0),MATCH(AA$1,'Pillar-3'!$A$4:$M$4,0)),""))</f>
        <v>75.319999999999993</v>
      </c>
      <c r="AB17" s="71">
        <f>IF($B17="","",IFERROR(INDEX('Pillar-4'!$A$5:$R$217,MATCH($B17,'Pillar-4'!$B$5:$B$217,0),MATCH(AB$1,'Pillar-4'!$A$4:$R$4,0)),""))</f>
        <v>21.601277476656247</v>
      </c>
      <c r="AC17" s="71">
        <f>IF($B17="","",IFERROR(INDEX('Pillar-4'!$A$5:$R$217,MATCH($B17,'Pillar-4'!$B$5:$B$217,0),MATCH(AC$1,'Pillar-4'!$A$4:$R$4,0)),""))</f>
        <v>0</v>
      </c>
      <c r="AD17" s="71">
        <f>IF($B17="","",IFERROR(INDEX('Pillar-4'!$A$5:$R$217,MATCH($B17,'Pillar-4'!$B$5:$B$217,0),MATCH(AD$1,'Pillar-4'!$A$4:$R$4,0)),""))</f>
        <v>0</v>
      </c>
      <c r="AE17" s="71">
        <f>IF($B17="","",IFERROR(INDEX('Pillar-4'!$A$5:$R$217,MATCH($B17,'Pillar-4'!$B$5:$B$217,0),MATCH(AE$1,'Pillar-4'!$A$4:$R$4,0)),""))</f>
        <v>60</v>
      </c>
      <c r="AF17" s="71">
        <f>IF($B17="","",IFERROR(INDEX('Pillar-4'!$A$5:$R$217,MATCH($B17,'Pillar-4'!$B$5:$B$217,0),MATCH(AF$1,'Pillar-4'!$A$4:$R$4,0)),""))</f>
        <v>100</v>
      </c>
      <c r="AG17" s="71">
        <f>IF($B17="","",IFERROR(INDEX('Pillar-5'!$A$5:$Q$216,MATCH($B17,'Pillar-5'!$B$5:$B$216,0),MATCH(AG$1,'Pillar-5'!$A$4:$Q$4,0)),""))</f>
        <v>97.305699651845131</v>
      </c>
      <c r="AH17" s="71">
        <f>IF($B17="","",IFERROR(INDEX('Pillar-5'!$A$5:$Q$216,MATCH($B17,'Pillar-5'!$B$5:$B$216,0),MATCH(AH$1,'Pillar-5'!$A$4:$Q$4,0)),""))</f>
        <v>100</v>
      </c>
      <c r="AI17" s="71">
        <f>IF($B17="","",IFERROR(INDEX('Pillar-5'!$A$5:$Q$216,MATCH($B17,'Pillar-5'!$B$5:$B$216,0),MATCH(AI$1,'Pillar-5'!$A$4:$Q$4,0)),""))</f>
        <v>0</v>
      </c>
      <c r="AJ17" s="71">
        <f>IF($B17="","",IFERROR(INDEX('Pillar-5'!$A$5:$Q$216,MATCH($B17,'Pillar-5'!$B$5:$B$216,0),MATCH(AJ$1,'Pillar-5'!$A$4:$Q$4,0)),""))</f>
        <v>49.584713619360244</v>
      </c>
      <c r="AK17" s="71">
        <f>IF($B17="","",IFERROR(INDEX('Pillar-6'!$A$5:$Q$216,MATCH($B17,'Pillar-6'!$B$5:$B$216,0),MATCH(AK$1,'Pillar-6'!$A$4:$Q$4,0)),""))</f>
        <v>80</v>
      </c>
      <c r="AL17" s="71">
        <f>IF($B17="","",IFERROR(INDEX('Pillar-6'!$A$5:$Q$216,MATCH($B17,'Pillar-6'!$B$5:$B$216,0),MATCH(AL$1,'Pillar-6'!$A$4:$Q$4,0)),""))</f>
        <v>93.864999999999995</v>
      </c>
      <c r="AM17" s="71">
        <f>IF($B17="","",IFERROR(INDEX('Pillar-6'!$A$5:$Q$216,MATCH($B17,'Pillar-6'!$B$5:$B$216,0),MATCH(AM$1,'Pillar-6'!$A$4:$Q$4,0)),""))</f>
        <v>100</v>
      </c>
    </row>
    <row r="18" spans="1:39" s="35" customFormat="1" ht="20" customHeight="1">
      <c r="A18" s="35" t="str">
        <v>Kazakhstan</v>
      </c>
      <c r="B18" s="89" t="str">
        <v>KAZ</v>
      </c>
      <c r="C18" s="89" t="str">
        <f>IF($B18="","",IFERROR(INDEX(Screening!$A$2:$R$219,MATCH($B18,Screening!$B$2:$B$219,0),MATCH("Include in final index",Screening!$A$1:$R$1,0)),""))</f>
        <v>Yes</v>
      </c>
      <c r="D18" s="89">
        <f>IF($B18="","",IFERROR(INDEX('INDEX ranked'!$A$3:$J$200,MATCH($B18,'INDEX ranked'!$B$3:$B$200,0),MATCH("Rank",'INDEX ranked'!$A$2:$J$2,0)),""))</f>
        <v>28</v>
      </c>
      <c r="E18" s="71">
        <f>IF($B18="","",IFERROR(INDEX('INDEX ranked'!$A$3:$J$200,MATCH($B18,'INDEX ranked'!$B$3:$B$200,0),MATCH("Overall index score",'INDEX ranked'!$A$2:$J$2,0)),""))</f>
        <v>43.387671935536424</v>
      </c>
      <c r="F18" s="71">
        <f>IF($B18="","",IFERROR(INDEX('INDEX ranked'!$A$3:$J$200,MATCH($B18,'INDEX ranked'!$B$3:$B$200,0),MATCH(F$1,'INDEX ranked'!$A$2:$J$2,0)),""))</f>
        <v>9.5900827070048127</v>
      </c>
      <c r="G18" s="71">
        <f>IF($B18="","",IFERROR(INDEX('INDEX ranked'!$A$3:$J$200,MATCH($B18,'INDEX ranked'!$B$3:$B$200,0),MATCH(G$1,'INDEX ranked'!$A$2:$J$2,0)),""))</f>
        <v>45.514013916311839</v>
      </c>
      <c r="H18" s="71">
        <f>IF($B18="","",IFERROR(INDEX('INDEX ranked'!$A$3:$J$200,MATCH($B18,'INDEX ranked'!$B$3:$B$200,0),MATCH(H$1,'INDEX ranked'!$A$2:$J$2,0)),""))</f>
        <v>52.933499999999995</v>
      </c>
      <c r="I18" s="71">
        <f>IF($B18="","",IFERROR(INDEX('INDEX ranked'!$A$3:$J$200,MATCH($B18,'INDEX ranked'!$B$3:$B$200,0),MATCH(I$1,'INDEX ranked'!$A$2:$J$2,0)),""))</f>
        <v>45.448385287153513</v>
      </c>
      <c r="J18" s="71">
        <f>IF($B18="","",IFERROR(INDEX('INDEX ranked'!$A$3:$J$200,MATCH($B18,'INDEX ranked'!$B$3:$B$200,0),MATCH(J$1,'INDEX ranked'!$A$2:$J$2,0)),""))</f>
        <v>57.070670356282619</v>
      </c>
      <c r="K18" s="71">
        <f>IF($B18="","",IFERROR(INDEX('INDEX ranked'!$A$3:$J$200,MATCH($B18,'INDEX ranked'!$B$3:$B$200,0),MATCH(K$1,'INDEX ranked'!$A$2:$J$2,0)),""))</f>
        <v>67.765500000000003</v>
      </c>
      <c r="L18" s="71">
        <f>IF($B18="","",IFERROR(INDEX('Pillar-1'!$A$5:$M$216,MATCH($B18,'Pillar-1'!$B$5:$B$216,0),MATCH(L$1,'Pillar-1'!$A$4:$M$4,0)),""))</f>
        <v>16.421369799513272</v>
      </c>
      <c r="M18" s="71">
        <f>IF($B18="","",IFERROR(INDEX('Pillar-1'!$A$5:$M$216,MATCH($B18,'Pillar-1'!$B$5:$B$216,0),MATCH(M$1,'Pillar-1'!$A$4:$M$4,0)),""))</f>
        <v>12.808677590583892</v>
      </c>
      <c r="N18" s="71">
        <f>IF($B18="","",IFERROR(INDEX('Pillar-1'!$A$5:$M$216,MATCH($B18,'Pillar-1'!$B$5:$B$216,0),MATCH(N$1,'Pillar-1'!$A$4:$M$4,0)),""))</f>
        <v>0</v>
      </c>
      <c r="O18" s="71">
        <f>IF($B18="","",IFERROR(INDEX('Pillar-2'!$A$5:$S$216,MATCH($B18,'Pillar-2'!$B$5:$B$216,0),MATCH(O$1,'Pillar-2'!$A$4:$S$4,0)),""))</f>
        <v>24.923280423280399</v>
      </c>
      <c r="P18" s="71">
        <f>IF($B18="","",IFERROR(INDEX('Pillar-2'!$A$5:$S$216,MATCH($B18,'Pillar-2'!$B$5:$B$216,0),MATCH(P$1,'Pillar-2'!$A$4:$S$4,0)),""))</f>
        <v>36.329076541434269</v>
      </c>
      <c r="Q18" s="71">
        <f>IF($B18="","",IFERROR(INDEX('Pillar-2'!$A$5:$S$216,MATCH($B18,'Pillar-2'!$B$5:$B$216,0),MATCH(Q$1,'Pillar-2'!$A$4:$S$4,0)),""))</f>
        <v>94.202602573148454</v>
      </c>
      <c r="R18" s="71">
        <f>IF($B18="","",IFERROR(INDEX('Pillar-2'!$A$5:$S$216,MATCH($B18,'Pillar-2'!$B$5:$B$216,0),MATCH(R$1,'Pillar-2'!$A$4:$S$4,0)),""))</f>
        <v>97.516796692343689</v>
      </c>
      <c r="S18" s="71">
        <f>IF($B18="","",IFERROR(INDEX('Pillar-2'!$A$5:$S$216,MATCH($B18,'Pillar-2'!$B$5:$B$216,0),MATCH(S$1,'Pillar-2'!$A$4:$S$4,0)),""))</f>
        <v>27.214413902165997</v>
      </c>
      <c r="T18" s="71">
        <f>IF($B18="","",IFERROR(INDEX('Pillar-2'!$A$5:$S$216,MATCH($B18,'Pillar-2'!$B$5:$B$216,0),MATCH(T$1,'Pillar-2'!$A$4:$S$4,0)),""))</f>
        <v>30.481380484621685</v>
      </c>
      <c r="U18" s="71">
        <f>IF($B18="","",IFERROR(INDEX('Pillar-2'!$A$5:$S$216,MATCH($B18,'Pillar-2'!$B$5:$B$216,0),MATCH(U$1,'Pillar-2'!$A$4:$S$4,0)),""))</f>
        <v>100</v>
      </c>
      <c r="V18" s="71">
        <f>IF($B18="","",IFERROR(INDEX('Pillar-2'!$A$5:$S$216,MATCH($B18,'Pillar-2'!$B$5:$B$216,0),MATCH(V$1,'Pillar-2'!$A$4:$S$4,0)),""))</f>
        <v>0</v>
      </c>
      <c r="W18" s="71">
        <f>IF($B18="","",IFERROR(INDEX('Pillar-3'!$A$5:$M$217,MATCH($B18,'Pillar-3'!$B$5:$B$217,0),MATCH(W$1,'Pillar-3'!$A$4:$M$4,0)),""))</f>
        <v>61.06</v>
      </c>
      <c r="X18" s="71">
        <f>IF($B18="","",IFERROR(INDEX('Pillar-3'!$A$5:$M$217,MATCH($B18,'Pillar-3'!$B$5:$B$217,0),MATCH(X$1,'Pillar-3'!$A$4:$M$4,0)),""))</f>
        <v>54.19</v>
      </c>
      <c r="Y18" s="71">
        <f>IF($B18="","",IFERROR(INDEX('Pillar-3'!$A$5:$M$217,MATCH($B18,'Pillar-3'!$B$5:$B$217,0),MATCH(Y$1,'Pillar-3'!$A$4:$M$4,0)),""))</f>
        <v>55.6</v>
      </c>
      <c r="Z18" s="71">
        <f>IF($B18="","",IFERROR(INDEX('Pillar-3'!$A$5:$M$217,MATCH($B18,'Pillar-3'!$B$5:$B$217,0),MATCH(Z$1,'Pillar-3'!$A$4:$M$4,0)),""))</f>
        <v>50.4</v>
      </c>
      <c r="AA18" s="71">
        <f>IF($B18="","",IFERROR(INDEX('Pillar-3'!$A$5:$M$217,MATCH($B18,'Pillar-3'!$B$5:$B$217,0),MATCH(AA$1,'Pillar-3'!$A$4:$M$4,0)),""))</f>
        <v>46.5</v>
      </c>
      <c r="AB18" s="71">
        <f>IF($B18="","",IFERROR(INDEX('Pillar-4'!$A$5:$R$217,MATCH($B18,'Pillar-4'!$B$5:$B$217,0),MATCH(AB$1,'Pillar-4'!$A$4:$R$4,0)),""))</f>
        <v>33.351493481645392</v>
      </c>
      <c r="AC18" s="71">
        <f>IF($B18="","",IFERROR(INDEX('Pillar-4'!$A$5:$R$217,MATCH($B18,'Pillar-4'!$B$5:$B$217,0),MATCH(AC$1,'Pillar-4'!$A$4:$R$4,0)),""))</f>
        <v>63.550358253869277</v>
      </c>
      <c r="AD18" s="71">
        <f>IF($B18="","",IFERROR(INDEX('Pillar-4'!$A$5:$R$217,MATCH($B18,'Pillar-4'!$B$5:$B$217,0),MATCH(AD$1,'Pillar-4'!$A$4:$R$4,0)),""))</f>
        <v>52.120099600337234</v>
      </c>
      <c r="AE18" s="71">
        <f>IF($B18="","",IFERROR(INDEX('Pillar-4'!$A$5:$R$217,MATCH($B18,'Pillar-4'!$B$5:$B$217,0),MATCH(AE$1,'Pillar-4'!$A$4:$R$4,0)),""))</f>
        <v>60</v>
      </c>
      <c r="AF18" s="71">
        <f>IF($B18="","",IFERROR(INDEX('Pillar-4'!$A$5:$R$217,MATCH($B18,'Pillar-4'!$B$5:$B$217,0),MATCH(AF$1,'Pillar-4'!$A$4:$R$4,0)),""))</f>
        <v>25</v>
      </c>
      <c r="AG18" s="71">
        <f>IF($B18="","",IFERROR(INDEX('Pillar-5'!$A$5:$Q$216,MATCH($B18,'Pillar-5'!$B$5:$B$216,0),MATCH(AG$1,'Pillar-5'!$A$4:$Q$4,0)),""))</f>
        <v>13.639839788982663</v>
      </c>
      <c r="AH18" s="71">
        <f>IF($B18="","",IFERROR(INDEX('Pillar-5'!$A$5:$Q$216,MATCH($B18,'Pillar-5'!$B$5:$B$216,0),MATCH(AH$1,'Pillar-5'!$A$4:$Q$4,0)),""))</f>
        <v>75</v>
      </c>
      <c r="AI18" s="71">
        <f>IF($B18="","",IFERROR(INDEX('Pillar-5'!$A$5:$Q$216,MATCH($B18,'Pillar-5'!$B$5:$B$216,0),MATCH(AI$1,'Pillar-5'!$A$4:$Q$4,0)),""))</f>
        <v>83.748666666666665</v>
      </c>
      <c r="AJ18" s="71">
        <f>IF($B18="","",IFERROR(INDEX('Pillar-5'!$A$5:$Q$216,MATCH($B18,'Pillar-5'!$B$5:$B$216,0),MATCH(AJ$1,'Pillar-5'!$A$4:$Q$4,0)),""))</f>
        <v>69.915940345017916</v>
      </c>
      <c r="AK18" s="71">
        <f>IF($B18="","",IFERROR(INDEX('Pillar-6'!$A$5:$Q$216,MATCH($B18,'Pillar-6'!$B$5:$B$216,0),MATCH(AK$1,'Pillar-6'!$A$4:$Q$4,0)),""))</f>
        <v>20</v>
      </c>
      <c r="AL18" s="71">
        <f>IF($B18="","",IFERROR(INDEX('Pillar-6'!$A$5:$Q$216,MATCH($B18,'Pillar-6'!$B$5:$B$216,0),MATCH(AL$1,'Pillar-6'!$A$4:$Q$4,0)),""))</f>
        <v>90.59</v>
      </c>
      <c r="AM18" s="71">
        <f>IF($B18="","",IFERROR(INDEX('Pillar-6'!$A$5:$Q$216,MATCH($B18,'Pillar-6'!$B$5:$B$216,0),MATCH(AM$1,'Pillar-6'!$A$4:$Q$4,0)),""))</f>
        <v>100</v>
      </c>
    </row>
    <row r="19" spans="1:39" s="35" customFormat="1" ht="20" customHeight="1">
      <c r="A19" s="35" t="str">
        <v>Laos</v>
      </c>
      <c r="B19" s="89" t="str">
        <v>LAO</v>
      </c>
      <c r="C19" s="89" t="str">
        <f>IF($B19="","",IFERROR(INDEX(Screening!$A$2:$R$219,MATCH($B19,Screening!$B$2:$B$219,0),MATCH("Include in final index",Screening!$A$1:$R$1,0)),""))</f>
        <v>Yes</v>
      </c>
      <c r="D19" s="89">
        <f>IF($B19="","",IFERROR(INDEX('INDEX ranked'!$A$3:$J$200,MATCH($B19,'INDEX ranked'!$B$3:$B$200,0),MATCH("Rank",'INDEX ranked'!$A$2:$J$2,0)),""))</f>
        <v>26</v>
      </c>
      <c r="E19" s="71">
        <f>IF($B19="","",IFERROR(INDEX('INDEX ranked'!$A$3:$J$200,MATCH($B19,'INDEX ranked'!$B$3:$B$200,0),MATCH("Overall index score",'INDEX ranked'!$A$2:$J$2,0)),""))</f>
        <v>45.789957300419907</v>
      </c>
      <c r="F19" s="71">
        <f>IF($B19="","",IFERROR(INDEX('INDEX ranked'!$A$3:$J$200,MATCH($B19,'INDEX ranked'!$B$3:$B$200,0),MATCH(F$1,'INDEX ranked'!$A$2:$J$2,0)),""))</f>
        <v>64.90733233636108</v>
      </c>
      <c r="G19" s="71">
        <f>IF($B19="","",IFERROR(INDEX('INDEX ranked'!$A$3:$J$200,MATCH($B19,'INDEX ranked'!$B$3:$B$200,0),MATCH(G$1,'INDEX ranked'!$A$2:$J$2,0)),""))</f>
        <v>28.291601417995857</v>
      </c>
      <c r="H19" s="71">
        <f>IF($B19="","",IFERROR(INDEX('INDEX ranked'!$A$3:$J$200,MATCH($B19,'INDEX ranked'!$B$3:$B$200,0),MATCH(H$1,'INDEX ranked'!$A$2:$J$2,0)),""))</f>
        <v>43.198999999999998</v>
      </c>
      <c r="I19" s="71">
        <f>IF($B19="","",IFERROR(INDEX('INDEX ranked'!$A$3:$J$200,MATCH($B19,'INDEX ranked'!$B$3:$B$200,0),MATCH(I$1,'INDEX ranked'!$A$2:$J$2,0)),""))</f>
        <v>63.171403916188581</v>
      </c>
      <c r="J19" s="71">
        <f>IF($B19="","",IFERROR(INDEX('INDEX ranked'!$A$3:$J$200,MATCH($B19,'INDEX ranked'!$B$3:$B$200,0),MATCH(J$1,'INDEX ranked'!$A$2:$J$2,0)),""))</f>
        <v>26.072598442071996</v>
      </c>
      <c r="K19" s="71">
        <f>IF($B19="","",IFERROR(INDEX('INDEX ranked'!$A$3:$J$200,MATCH($B19,'INDEX ranked'!$B$3:$B$200,0),MATCH(K$1,'INDEX ranked'!$A$2:$J$2,0)),""))</f>
        <v>41.2515</v>
      </c>
      <c r="L19" s="71">
        <f>IF($B19="","",IFERROR(INDEX('Pillar-1'!$A$5:$M$216,MATCH($B19,'Pillar-1'!$B$5:$B$216,0),MATCH(L$1,'Pillar-1'!$A$4:$M$4,0)),""))</f>
        <v>87.704253100011584</v>
      </c>
      <c r="M19" s="71">
        <f>IF($B19="","",IFERROR(INDEX('Pillar-1'!$A$5:$M$216,MATCH($B19,'Pillar-1'!$B$5:$B$216,0),MATCH(M$1,'Pillar-1'!$A$4:$M$4,0)),""))</f>
        <v>0</v>
      </c>
      <c r="N19" s="71">
        <f>IF($B19="","",IFERROR(INDEX('Pillar-1'!$A$5:$M$216,MATCH($B19,'Pillar-1'!$B$5:$B$216,0),MATCH(N$1,'Pillar-1'!$A$4:$M$4,0)),""))</f>
        <v>97.745267861020096</v>
      </c>
      <c r="O19" s="71">
        <f>IF($B19="","",IFERROR(INDEX('Pillar-2'!$A$5:$S$216,MATCH($B19,'Pillar-2'!$B$5:$B$216,0),MATCH(O$1,'Pillar-2'!$A$4:$S$4,0)),""))</f>
        <v>23.8941798941798</v>
      </c>
      <c r="P19" s="71">
        <f>IF($B19="","",IFERROR(INDEX('Pillar-2'!$A$5:$S$216,MATCH($B19,'Pillar-2'!$B$5:$B$216,0),MATCH(P$1,'Pillar-2'!$A$4:$S$4,0)),""))</f>
        <v>0</v>
      </c>
      <c r="Q19" s="71">
        <f>IF($B19="","",IFERROR(INDEX('Pillar-2'!$A$5:$S$216,MATCH($B19,'Pillar-2'!$B$5:$B$216,0),MATCH(Q$1,'Pillar-2'!$A$4:$S$4,0)),""))</f>
        <v>12.344462228194997</v>
      </c>
      <c r="R19" s="71">
        <f>IF($B19="","",IFERROR(INDEX('Pillar-2'!$A$5:$S$216,MATCH($B19,'Pillar-2'!$B$5:$B$216,0),MATCH(R$1,'Pillar-2'!$A$4:$S$4,0)),""))</f>
        <v>82.597888415819654</v>
      </c>
      <c r="S19" s="71">
        <f>IF($B19="","",IFERROR(INDEX('Pillar-2'!$A$5:$S$216,MATCH($B19,'Pillar-2'!$B$5:$B$216,0),MATCH(S$1,'Pillar-2'!$A$4:$S$4,0)),""))</f>
        <v>65.708345919437093</v>
      </c>
      <c r="T19" s="71">
        <f>IF($B19="","",IFERROR(INDEX('Pillar-2'!$A$5:$S$216,MATCH($B19,'Pillar-2'!$B$5:$B$216,0),MATCH(T$1,'Pillar-2'!$A$4:$S$4,0)),""))</f>
        <v>76.827703038500914</v>
      </c>
      <c r="U19" s="71">
        <f>IF($B19="","",IFERROR(INDEX('Pillar-2'!$A$5:$S$216,MATCH($B19,'Pillar-2'!$B$5:$B$216,0),MATCH(U$1,'Pillar-2'!$A$4:$S$4,0)),""))</f>
        <v>0</v>
      </c>
      <c r="V19" s="71">
        <f>IF($B19="","",IFERROR(INDEX('Pillar-2'!$A$5:$S$216,MATCH($B19,'Pillar-2'!$B$5:$B$216,0),MATCH(V$1,'Pillar-2'!$A$4:$S$4,0)),""))</f>
        <v>0</v>
      </c>
      <c r="W19" s="71">
        <f>IF($B19="","",IFERROR(INDEX('Pillar-3'!$A$5:$M$217,MATCH($B19,'Pillar-3'!$B$5:$B$217,0),MATCH(W$1,'Pillar-3'!$A$4:$M$4,0)),""))</f>
        <v>75.42</v>
      </c>
      <c r="X19" s="71">
        <f>IF($B19="","",IFERROR(INDEX('Pillar-3'!$A$5:$M$217,MATCH($B19,'Pillar-3'!$B$5:$B$217,0),MATCH(X$1,'Pillar-3'!$A$4:$M$4,0)),""))</f>
        <v>40.03</v>
      </c>
      <c r="Y19" s="71">
        <f>IF($B19="","",IFERROR(INDEX('Pillar-3'!$A$5:$M$217,MATCH($B19,'Pillar-3'!$B$5:$B$217,0),MATCH(Y$1,'Pillar-3'!$A$4:$M$4,0)),""))</f>
        <v>44.83</v>
      </c>
      <c r="Z19" s="71">
        <f>IF($B19="","",IFERROR(INDEX('Pillar-3'!$A$5:$M$217,MATCH($B19,'Pillar-3'!$B$5:$B$217,0),MATCH(Z$1,'Pillar-3'!$A$4:$M$4,0)),""))</f>
        <v>44.19</v>
      </c>
      <c r="AA19" s="71">
        <f>IF($B19="","",IFERROR(INDEX('Pillar-3'!$A$5:$M$217,MATCH($B19,'Pillar-3'!$B$5:$B$217,0),MATCH(AA$1,'Pillar-3'!$A$4:$M$4,0)),""))</f>
        <v>28.02</v>
      </c>
      <c r="AB19" s="71">
        <f>IF($B19="","",IFERROR(INDEX('Pillar-4'!$A$5:$R$217,MATCH($B19,'Pillar-4'!$B$5:$B$217,0),MATCH(AB$1,'Pillar-4'!$A$4:$R$4,0)),""))</f>
        <v>48.096659296021542</v>
      </c>
      <c r="AC19" s="71">
        <f>IF($B19="","",IFERROR(INDEX('Pillar-4'!$A$5:$R$217,MATCH($B19,'Pillar-4'!$B$5:$B$217,0),MATCH(AC$1,'Pillar-4'!$A$4:$R$4,0)),""))</f>
        <v>73.695151813069131</v>
      </c>
      <c r="AD19" s="71">
        <f>IF($B19="","",IFERROR(INDEX('Pillar-4'!$A$5:$R$217,MATCH($B19,'Pillar-4'!$B$5:$B$217,0),MATCH(AD$1,'Pillar-4'!$A$4:$R$4,0)),""))</f>
        <v>68.753611295803012</v>
      </c>
      <c r="AE19" s="71">
        <f>IF($B19="","",IFERROR(INDEX('Pillar-4'!$A$5:$R$217,MATCH($B19,'Pillar-4'!$B$5:$B$217,0),MATCH(AE$1,'Pillar-4'!$A$4:$R$4,0)),""))</f>
        <v>80</v>
      </c>
      <c r="AF19" s="71">
        <f>IF($B19="","",IFERROR(INDEX('Pillar-4'!$A$5:$R$217,MATCH($B19,'Pillar-4'!$B$5:$B$217,0),MATCH(AF$1,'Pillar-4'!$A$4:$R$4,0)),""))</f>
        <v>50</v>
      </c>
      <c r="AG19" s="71">
        <f>IF($B19="","",IFERROR(INDEX('Pillar-5'!$A$5:$Q$216,MATCH($B19,'Pillar-5'!$B$5:$B$216,0),MATCH(AG$1,'Pillar-5'!$A$4:$Q$4,0)),""))</f>
        <v>41.489550362462204</v>
      </c>
      <c r="AH19" s="71">
        <f>IF($B19="","",IFERROR(INDEX('Pillar-5'!$A$5:$Q$216,MATCH($B19,'Pillar-5'!$B$5:$B$216,0),MATCH(AH$1,'Pillar-5'!$A$4:$Q$4,0)),""))</f>
        <v>25</v>
      </c>
      <c r="AI19" s="71">
        <f>IF($B19="","",IFERROR(INDEX('Pillar-5'!$A$5:$Q$216,MATCH($B19,'Pillar-5'!$B$5:$B$216,0),MATCH(AI$1,'Pillar-5'!$A$4:$Q$4,0)),""))</f>
        <v>36.878666666666668</v>
      </c>
      <c r="AJ19" s="71">
        <f>IF($B19="","",IFERROR(INDEX('Pillar-5'!$A$5:$Q$216,MATCH($B19,'Pillar-5'!$B$5:$B$216,0),MATCH(AJ$1,'Pillar-5'!$A$4:$Q$4,0)),""))</f>
        <v>0</v>
      </c>
      <c r="AK19" s="71">
        <f>IF($B19="","",IFERROR(INDEX('Pillar-6'!$A$5:$Q$216,MATCH($B19,'Pillar-6'!$B$5:$B$216,0),MATCH(AK$1,'Pillar-6'!$A$4:$Q$4,0)),""))</f>
        <v>20</v>
      </c>
      <c r="AL19" s="71">
        <f>IF($B19="","",IFERROR(INDEX('Pillar-6'!$A$5:$Q$216,MATCH($B19,'Pillar-6'!$B$5:$B$216,0),MATCH(AL$1,'Pillar-6'!$A$4:$Q$4,0)),""))</f>
        <v>31.67</v>
      </c>
      <c r="AM19" s="71">
        <f>IF($B19="","",IFERROR(INDEX('Pillar-6'!$A$5:$Q$216,MATCH($B19,'Pillar-6'!$B$5:$B$216,0),MATCH(AM$1,'Pillar-6'!$A$4:$Q$4,0)),""))</f>
        <v>100</v>
      </c>
    </row>
    <row r="20" spans="1:39" s="35" customFormat="1" ht="20" customHeight="1">
      <c r="A20" s="35" t="str">
        <v>Malaysia</v>
      </c>
      <c r="B20" s="89" t="str">
        <v>MYS</v>
      </c>
      <c r="C20" s="89" t="str">
        <f>IF($B20="","",IFERROR(INDEX(Screening!$A$2:$R$219,MATCH($B20,Screening!$B$2:$B$219,0),MATCH("Include in final index",Screening!$A$1:$R$1,0)),""))</f>
        <v>Yes</v>
      </c>
      <c r="D20" s="89">
        <f>IF($B20="","",IFERROR(INDEX('INDEX ranked'!$A$3:$J$200,MATCH($B20,'INDEX ranked'!$B$3:$B$200,0),MATCH("Rank",'INDEX ranked'!$A$2:$J$2,0)),""))</f>
        <v>15</v>
      </c>
      <c r="E20" s="71">
        <f>IF($B20="","",IFERROR(INDEX('INDEX ranked'!$A$3:$J$200,MATCH($B20,'INDEX ranked'!$B$3:$B$200,0),MATCH("Overall index score",'INDEX ranked'!$A$2:$J$2,0)),""))</f>
        <v>54.846473902277928</v>
      </c>
      <c r="F20" s="71">
        <f>IF($B20="","",IFERROR(INDEX('INDEX ranked'!$A$3:$J$200,MATCH($B20,'INDEX ranked'!$B$3:$B$200,0),MATCH(F$1,'INDEX ranked'!$A$2:$J$2,0)),""))</f>
        <v>18.486794536815104</v>
      </c>
      <c r="G20" s="71">
        <f>IF($B20="","",IFERROR(INDEX('INDEX ranked'!$A$3:$J$200,MATCH($B20,'INDEX ranked'!$B$3:$B$200,0),MATCH(G$1,'INDEX ranked'!$A$2:$J$2,0)),""))</f>
        <v>68.71710694927495</v>
      </c>
      <c r="H20" s="71">
        <f>IF($B20="","",IFERROR(INDEX('INDEX ranked'!$A$3:$J$200,MATCH($B20,'INDEX ranked'!$B$3:$B$200,0),MATCH(H$1,'INDEX ranked'!$A$2:$J$2,0)),""))</f>
        <v>65.094999999999999</v>
      </c>
      <c r="I20" s="71">
        <f>IF($B20="","",IFERROR(INDEX('INDEX ranked'!$A$3:$J$200,MATCH($B20,'INDEX ranked'!$B$3:$B$200,0),MATCH(I$1,'INDEX ranked'!$A$2:$J$2,0)),""))</f>
        <v>58.693741957950884</v>
      </c>
      <c r="J20" s="71">
        <f>IF($B20="","",IFERROR(INDEX('INDEX ranked'!$A$3:$J$200,MATCH($B20,'INDEX ranked'!$B$3:$B$200,0),MATCH(J$1,'INDEX ranked'!$A$2:$J$2,0)),""))</f>
        <v>73.724468089798279</v>
      </c>
      <c r="K20" s="71">
        <f>IF($B20="","",IFERROR(INDEX('INDEX ranked'!$A$3:$J$200,MATCH($B20,'INDEX ranked'!$B$3:$B$200,0),MATCH(K$1,'INDEX ranked'!$A$2:$J$2,0)),""))</f>
        <v>48.440249999999999</v>
      </c>
      <c r="L20" s="71">
        <f>IF($B20="","",IFERROR(INDEX('Pillar-1'!$A$5:$M$216,MATCH($B20,'Pillar-1'!$B$5:$B$216,0),MATCH(L$1,'Pillar-1'!$A$4:$M$4,0)),""))</f>
        <v>22.389616409780974</v>
      </c>
      <c r="M20" s="71">
        <f>IF($B20="","",IFERROR(INDEX('Pillar-1'!$A$5:$M$216,MATCH($B20,'Pillar-1'!$B$5:$B$216,0),MATCH(M$1,'Pillar-1'!$A$4:$M$4,0)),""))</f>
        <v>4.408031387029772</v>
      </c>
      <c r="N20" s="71">
        <f>IF($B20="","",IFERROR(INDEX('Pillar-1'!$A$5:$M$216,MATCH($B20,'Pillar-1'!$B$5:$B$216,0),MATCH(N$1,'Pillar-1'!$A$4:$M$4,0)),""))</f>
        <v>26.651483935093811</v>
      </c>
      <c r="O20" s="71">
        <f>IF($B20="","",IFERROR(INDEX('Pillar-2'!$A$5:$S$216,MATCH($B20,'Pillar-2'!$B$5:$B$216,0),MATCH(O$1,'Pillar-2'!$A$4:$S$4,0)),""))</f>
        <v>27.955026455026399</v>
      </c>
      <c r="P20" s="71">
        <f>IF($B20="","",IFERROR(INDEX('Pillar-2'!$A$5:$S$216,MATCH($B20,'Pillar-2'!$B$5:$B$216,0),MATCH(P$1,'Pillar-2'!$A$4:$S$4,0)),""))</f>
        <v>100</v>
      </c>
      <c r="Q20" s="71">
        <f>IF($B20="","",IFERROR(INDEX('Pillar-2'!$A$5:$S$216,MATCH($B20,'Pillar-2'!$B$5:$B$216,0),MATCH(Q$1,'Pillar-2'!$A$4:$S$4,0)),""))</f>
        <v>100</v>
      </c>
      <c r="R20" s="71">
        <f>IF($B20="","",IFERROR(INDEX('Pillar-2'!$A$5:$S$216,MATCH($B20,'Pillar-2'!$B$5:$B$216,0),MATCH(R$1,'Pillar-2'!$A$4:$S$4,0)),""))</f>
        <v>53.478699579159809</v>
      </c>
      <c r="S20" s="71">
        <f>IF($B20="","",IFERROR(INDEX('Pillar-2'!$A$5:$S$216,MATCH($B20,'Pillar-2'!$B$5:$B$216,0),MATCH(S$1,'Pillar-2'!$A$4:$S$4,0)),""))</f>
        <v>24.442509639474761</v>
      </c>
      <c r="T20" s="71">
        <f>IF($B20="","",IFERROR(INDEX('Pillar-2'!$A$5:$S$216,MATCH($B20,'Pillar-2'!$B$5:$B$216,0),MATCH(T$1,'Pillar-2'!$A$4:$S$4,0)),""))</f>
        <v>30.149483355445383</v>
      </c>
      <c r="U20" s="71">
        <f>IF($B20="","",IFERROR(INDEX('Pillar-2'!$A$5:$S$216,MATCH($B20,'Pillar-2'!$B$5:$B$216,0),MATCH(U$1,'Pillar-2'!$A$4:$S$4,0)),""))</f>
        <v>70</v>
      </c>
      <c r="V20" s="71">
        <f>IF($B20="","",IFERROR(INDEX('Pillar-2'!$A$5:$S$216,MATCH($B20,'Pillar-2'!$B$5:$B$216,0),MATCH(V$1,'Pillar-2'!$A$4:$S$4,0)),""))</f>
        <v>100</v>
      </c>
      <c r="W20" s="71">
        <f>IF($B20="","",IFERROR(INDEX('Pillar-3'!$A$5:$M$217,MATCH($B20,'Pillar-3'!$B$5:$B$217,0),MATCH(W$1,'Pillar-3'!$A$4:$M$4,0)),""))</f>
        <v>72.47</v>
      </c>
      <c r="X20" s="71">
        <f>IF($B20="","",IFERROR(INDEX('Pillar-3'!$A$5:$M$217,MATCH($B20,'Pillar-3'!$B$5:$B$217,0),MATCH(X$1,'Pillar-3'!$A$4:$M$4,0)),""))</f>
        <v>69.13</v>
      </c>
      <c r="Y20" s="71">
        <f>IF($B20="","",IFERROR(INDEX('Pillar-3'!$A$5:$M$217,MATCH($B20,'Pillar-3'!$B$5:$B$217,0),MATCH(Y$1,'Pillar-3'!$A$4:$M$4,0)),""))</f>
        <v>65.59</v>
      </c>
      <c r="Z20" s="71">
        <f>IF($B20="","",IFERROR(INDEX('Pillar-3'!$A$5:$M$217,MATCH($B20,'Pillar-3'!$B$5:$B$217,0),MATCH(Z$1,'Pillar-3'!$A$4:$M$4,0)),""))</f>
        <v>62.9</v>
      </c>
      <c r="AA20" s="71">
        <f>IF($B20="","",IFERROR(INDEX('Pillar-3'!$A$5:$M$217,MATCH($B20,'Pillar-3'!$B$5:$B$217,0),MATCH(AA$1,'Pillar-3'!$A$4:$M$4,0)),""))</f>
        <v>57.94</v>
      </c>
      <c r="AB20" s="71">
        <f>IF($B20="","",IFERROR(INDEX('Pillar-4'!$A$5:$R$217,MATCH($B20,'Pillar-4'!$B$5:$B$217,0),MATCH(AB$1,'Pillar-4'!$A$4:$R$4,0)),""))</f>
        <v>40.207605143925491</v>
      </c>
      <c r="AC20" s="71">
        <f>IF($B20="","",IFERROR(INDEX('Pillar-4'!$A$5:$R$217,MATCH($B20,'Pillar-4'!$B$5:$B$217,0),MATCH(AC$1,'Pillar-4'!$A$4:$R$4,0)),""))</f>
        <v>76.790877214038943</v>
      </c>
      <c r="AD20" s="71">
        <f>IF($B20="","",IFERROR(INDEX('Pillar-4'!$A$5:$R$217,MATCH($B20,'Pillar-4'!$B$5:$B$217,0),MATCH(AD$1,'Pillar-4'!$A$4:$R$4,0)),""))</f>
        <v>71.96030324238663</v>
      </c>
      <c r="AE20" s="71">
        <f>IF($B20="","",IFERROR(INDEX('Pillar-4'!$A$5:$R$217,MATCH($B20,'Pillar-4'!$B$5:$B$217,0),MATCH(AE$1,'Pillar-4'!$A$4:$R$4,0)),""))</f>
        <v>60</v>
      </c>
      <c r="AF20" s="71">
        <f>IF($B20="","",IFERROR(INDEX('Pillar-4'!$A$5:$R$217,MATCH($B20,'Pillar-4'!$B$5:$B$217,0),MATCH(AF$1,'Pillar-4'!$A$4:$R$4,0)),""))</f>
        <v>50</v>
      </c>
      <c r="AG20" s="71">
        <f>IF($B20="","",IFERROR(INDEX('Pillar-5'!$A$5:$Q$216,MATCH($B20,'Pillar-5'!$B$5:$B$216,0),MATCH(AG$1,'Pillar-5'!$A$4:$Q$4,0)),""))</f>
        <v>58.053705403695929</v>
      </c>
      <c r="AH20" s="71">
        <f>IF($B20="","",IFERROR(INDEX('Pillar-5'!$A$5:$Q$216,MATCH($B20,'Pillar-5'!$B$5:$B$216,0),MATCH(AH$1,'Pillar-5'!$A$4:$Q$4,0)),""))</f>
        <v>100</v>
      </c>
      <c r="AI20" s="71">
        <f>IF($B20="","",IFERROR(INDEX('Pillar-5'!$A$5:$Q$216,MATCH($B20,'Pillar-5'!$B$5:$B$216,0),MATCH(AI$1,'Pillar-5'!$A$4:$Q$4,0)),""))</f>
        <v>53.440666666666672</v>
      </c>
      <c r="AJ20" s="71">
        <f>IF($B20="","",IFERROR(INDEX('Pillar-5'!$A$5:$Q$216,MATCH($B20,'Pillar-5'!$B$5:$B$216,0),MATCH(AJ$1,'Pillar-5'!$A$4:$Q$4,0)),""))</f>
        <v>82.480892541424637</v>
      </c>
      <c r="AK20" s="71">
        <f>IF($B20="","",IFERROR(INDEX('Pillar-6'!$A$5:$Q$216,MATCH($B20,'Pillar-6'!$B$5:$B$216,0),MATCH(AK$1,'Pillar-6'!$A$4:$Q$4,0)),""))</f>
        <v>20</v>
      </c>
      <c r="AL20" s="71">
        <f>IF($B20="","",IFERROR(INDEX('Pillar-6'!$A$5:$Q$216,MATCH($B20,'Pillar-6'!$B$5:$B$216,0),MATCH(AL$1,'Pillar-6'!$A$4:$Q$4,0)),""))</f>
        <v>47.644999999999996</v>
      </c>
      <c r="AM20" s="71">
        <f>IF($B20="","",IFERROR(INDEX('Pillar-6'!$A$5:$Q$216,MATCH($B20,'Pillar-6'!$B$5:$B$216,0),MATCH(AM$1,'Pillar-6'!$A$4:$Q$4,0)),""))</f>
        <v>100</v>
      </c>
    </row>
    <row r="21" spans="1:39" s="35" customFormat="1" ht="20" customHeight="1">
      <c r="A21" s="35" t="str">
        <v>Mexico</v>
      </c>
      <c r="B21" s="89" t="str">
        <v>MEX</v>
      </c>
      <c r="C21" s="89" t="str">
        <f>IF($B21="","",IFERROR(INDEX(Screening!$A$2:$R$219,MATCH($B21,Screening!$B$2:$B$219,0),MATCH("Include in final index",Screening!$A$1:$R$1,0)),""))</f>
        <v>Yes</v>
      </c>
      <c r="D21" s="89">
        <f>IF($B21="","",IFERROR(INDEX('INDEX ranked'!$A$3:$J$200,MATCH($B21,'INDEX ranked'!$B$3:$B$200,0),MATCH("Rank",'INDEX ranked'!$A$2:$J$2,0)),""))</f>
        <v>17</v>
      </c>
      <c r="E21" s="71">
        <f>IF($B21="","",IFERROR(INDEX('INDEX ranked'!$A$3:$J$200,MATCH($B21,'INDEX ranked'!$B$3:$B$200,0),MATCH("Overall index score",'INDEX ranked'!$A$2:$J$2,0)),""))</f>
        <v>53.653541112442582</v>
      </c>
      <c r="F21" s="71">
        <f>IF($B21="","",IFERROR(INDEX('INDEX ranked'!$A$3:$J$200,MATCH($B21,'INDEX ranked'!$B$3:$B$200,0),MATCH(F$1,'INDEX ranked'!$A$2:$J$2,0)),""))</f>
        <v>34.1408156380717</v>
      </c>
      <c r="G21" s="71">
        <f>IF($B21="","",IFERROR(INDEX('INDEX ranked'!$A$3:$J$200,MATCH($B21,'INDEX ranked'!$B$3:$B$200,0),MATCH(G$1,'INDEX ranked'!$A$2:$J$2,0)),""))</f>
        <v>56.35709507472945</v>
      </c>
      <c r="H21" s="71">
        <f>IF($B21="","",IFERROR(INDEX('INDEX ranked'!$A$3:$J$200,MATCH($B21,'INDEX ranked'!$B$3:$B$200,0),MATCH(H$1,'INDEX ranked'!$A$2:$J$2,0)),""))</f>
        <v>43.258499999999998</v>
      </c>
      <c r="I21" s="71">
        <f>IF($B21="","",IFERROR(INDEX('INDEX ranked'!$A$3:$J$200,MATCH($B21,'INDEX ranked'!$B$3:$B$200,0),MATCH(I$1,'INDEX ranked'!$A$2:$J$2,0)),""))</f>
        <v>69.12992762112188</v>
      </c>
      <c r="J21" s="71">
        <f>IF($B21="","",IFERROR(INDEX('INDEX ranked'!$A$3:$J$200,MATCH($B21,'INDEX ranked'!$B$3:$B$200,0),MATCH(J$1,'INDEX ranked'!$A$2:$J$2,0)),""))</f>
        <v>56.05415630438651</v>
      </c>
      <c r="K21" s="71">
        <f>IF($B21="","",IFERROR(INDEX('INDEX ranked'!$A$3:$J$200,MATCH($B21,'INDEX ranked'!$B$3:$B$200,0),MATCH(K$1,'INDEX ranked'!$A$2:$J$2,0)),""))</f>
        <v>68.310750000000013</v>
      </c>
      <c r="L21" s="71">
        <f>IF($B21="","",IFERROR(INDEX('Pillar-1'!$A$5:$M$216,MATCH($B21,'Pillar-1'!$B$5:$B$216,0),MATCH(L$1,'Pillar-1'!$A$4:$M$4,0)),""))</f>
        <v>23.270367365859315</v>
      </c>
      <c r="M21" s="71">
        <f>IF($B21="","",IFERROR(INDEX('Pillar-1'!$A$5:$M$216,MATCH($B21,'Pillar-1'!$B$5:$B$216,0),MATCH(M$1,'Pillar-1'!$A$4:$M$4,0)),""))</f>
        <v>29.148396030463886</v>
      </c>
      <c r="N21" s="71">
        <f>IF($B21="","",IFERROR(INDEX('Pillar-1'!$A$5:$M$216,MATCH($B21,'Pillar-1'!$B$5:$B$216,0),MATCH(N$1,'Pillar-1'!$A$4:$M$4,0)),""))</f>
        <v>49.290480716805071</v>
      </c>
      <c r="O21" s="71">
        <f>IF($B21="","",IFERROR(INDEX('Pillar-2'!$A$5:$S$216,MATCH($B21,'Pillar-2'!$B$5:$B$216,0),MATCH(O$1,'Pillar-2'!$A$4:$S$4,0)),""))</f>
        <v>74.962962962962905</v>
      </c>
      <c r="P21" s="71">
        <f>IF($B21="","",IFERROR(INDEX('Pillar-2'!$A$5:$S$216,MATCH($B21,'Pillar-2'!$B$5:$B$216,0),MATCH(P$1,'Pillar-2'!$A$4:$S$4,0)),""))</f>
        <v>100</v>
      </c>
      <c r="Q21" s="71">
        <f>IF($B21="","",IFERROR(INDEX('Pillar-2'!$A$5:$S$216,MATCH($B21,'Pillar-2'!$B$5:$B$216,0),MATCH(Q$1,'Pillar-2'!$A$4:$S$4,0)),""))</f>
        <v>100</v>
      </c>
      <c r="R21" s="71">
        <f>IF($B21="","",IFERROR(INDEX('Pillar-2'!$A$5:$S$216,MATCH($B21,'Pillar-2'!$B$5:$B$216,0),MATCH(R$1,'Pillar-2'!$A$4:$S$4,0)),""))</f>
        <v>56.791278025250413</v>
      </c>
      <c r="S21" s="71">
        <f>IF($B21="","",IFERROR(INDEX('Pillar-2'!$A$5:$S$216,MATCH($B21,'Pillar-2'!$B$5:$B$216,0),MATCH(S$1,'Pillar-2'!$A$4:$S$4,0)),""))</f>
        <v>19.11903196574211</v>
      </c>
      <c r="T21" s="71">
        <f>IF($B21="","",IFERROR(INDEX('Pillar-2'!$A$5:$S$216,MATCH($B21,'Pillar-2'!$B$5:$B$216,0),MATCH(T$1,'Pillar-2'!$A$4:$S$4,0)),""))</f>
        <v>28.153779003185026</v>
      </c>
      <c r="U21" s="71">
        <f>IF($B21="","",IFERROR(INDEX('Pillar-2'!$A$5:$S$216,MATCH($B21,'Pillar-2'!$B$5:$B$216,0),MATCH(U$1,'Pillar-2'!$A$4:$S$4,0)),""))</f>
        <v>100</v>
      </c>
      <c r="V21" s="71">
        <f>IF($B21="","",IFERROR(INDEX('Pillar-2'!$A$5:$S$216,MATCH($B21,'Pillar-2'!$B$5:$B$216,0),MATCH(V$1,'Pillar-2'!$A$4:$S$4,0)),""))</f>
        <v>0</v>
      </c>
      <c r="W21" s="71">
        <f>IF($B21="","",IFERROR(INDEX('Pillar-3'!$A$5:$M$217,MATCH($B21,'Pillar-3'!$B$5:$B$217,0),MATCH(W$1,'Pillar-3'!$A$4:$M$4,0)),""))</f>
        <v>53.67</v>
      </c>
      <c r="X21" s="71">
        <f>IF($B21="","",IFERROR(INDEX('Pillar-3'!$A$5:$M$217,MATCH($B21,'Pillar-3'!$B$5:$B$217,0),MATCH(X$1,'Pillar-3'!$A$4:$M$4,0)),""))</f>
        <v>47.06</v>
      </c>
      <c r="Y21" s="71">
        <f>IF($B21="","",IFERROR(INDEX('Pillar-3'!$A$5:$M$217,MATCH($B21,'Pillar-3'!$B$5:$B$217,0),MATCH(Y$1,'Pillar-3'!$A$4:$M$4,0)),""))</f>
        <v>51.77</v>
      </c>
      <c r="Z21" s="71">
        <f>IF($B21="","",IFERROR(INDEX('Pillar-3'!$A$5:$M$217,MATCH($B21,'Pillar-3'!$B$5:$B$217,0),MATCH(Z$1,'Pillar-3'!$A$4:$M$4,0)),""))</f>
        <v>37.11</v>
      </c>
      <c r="AA21" s="71">
        <f>IF($B21="","",IFERROR(INDEX('Pillar-3'!$A$5:$M$217,MATCH($B21,'Pillar-3'!$B$5:$B$217,0),MATCH(AA$1,'Pillar-3'!$A$4:$M$4,0)),""))</f>
        <v>28.81</v>
      </c>
      <c r="AB21" s="71">
        <f>IF($B21="","",IFERROR(INDEX('Pillar-4'!$A$5:$R$217,MATCH($B21,'Pillar-4'!$B$5:$B$217,0),MATCH(AB$1,'Pillar-4'!$A$4:$R$4,0)),""))</f>
        <v>80.314168694001765</v>
      </c>
      <c r="AC21" s="71">
        <f>IF($B21="","",IFERROR(INDEX('Pillar-4'!$A$5:$R$217,MATCH($B21,'Pillar-4'!$B$5:$B$217,0),MATCH(AC$1,'Pillar-4'!$A$4:$R$4,0)),""))</f>
        <v>83.261212833364908</v>
      </c>
      <c r="AD21" s="71">
        <f>IF($B21="","",IFERROR(INDEX('Pillar-4'!$A$5:$R$217,MATCH($B21,'Pillar-4'!$B$5:$B$217,0),MATCH(AD$1,'Pillar-4'!$A$4:$R$4,0)),""))</f>
        <v>79.43234210432361</v>
      </c>
      <c r="AE21" s="71">
        <f>IF($B21="","",IFERROR(INDEX('Pillar-4'!$A$5:$R$217,MATCH($B21,'Pillar-4'!$B$5:$B$217,0),MATCH(AE$1,'Pillar-4'!$A$4:$R$4,0)),""))</f>
        <v>60</v>
      </c>
      <c r="AF21" s="71">
        <f>IF($B21="","",IFERROR(INDEX('Pillar-4'!$A$5:$R$217,MATCH($B21,'Pillar-4'!$B$5:$B$217,0),MATCH(AF$1,'Pillar-4'!$A$4:$R$4,0)),""))</f>
        <v>50</v>
      </c>
      <c r="AG21" s="71">
        <f>IF($B21="","",IFERROR(INDEX('Pillar-5'!$A$5:$Q$216,MATCH($B21,'Pillar-5'!$B$5:$B$216,0),MATCH(AG$1,'Pillar-5'!$A$4:$Q$4,0)),""))</f>
        <v>17.292952005505054</v>
      </c>
      <c r="AH21" s="71">
        <f>IF($B21="","",IFERROR(INDEX('Pillar-5'!$A$5:$Q$216,MATCH($B21,'Pillar-5'!$B$5:$B$216,0),MATCH(AH$1,'Pillar-5'!$A$4:$Q$4,0)),""))</f>
        <v>100</v>
      </c>
      <c r="AI21" s="71">
        <f>IF($B21="","",IFERROR(INDEX('Pillar-5'!$A$5:$Q$216,MATCH($B21,'Pillar-5'!$B$5:$B$216,0),MATCH(AI$1,'Pillar-5'!$A$4:$Q$4,0)),""))</f>
        <v>60.576666666666668</v>
      </c>
      <c r="AJ21" s="71">
        <f>IF($B21="","",IFERROR(INDEX('Pillar-5'!$A$5:$Q$216,MATCH($B21,'Pillar-5'!$B$5:$B$216,0),MATCH(AJ$1,'Pillar-5'!$A$4:$Q$4,0)),""))</f>
        <v>55.003749477606647</v>
      </c>
      <c r="AK21" s="71">
        <f>IF($B21="","",IFERROR(INDEX('Pillar-6'!$A$5:$Q$216,MATCH($B21,'Pillar-6'!$B$5:$B$216,0),MATCH(AK$1,'Pillar-6'!$A$4:$Q$4,0)),""))</f>
        <v>35</v>
      </c>
      <c r="AL21" s="71">
        <f>IF($B21="","",IFERROR(INDEX('Pillar-6'!$A$5:$Q$216,MATCH($B21,'Pillar-6'!$B$5:$B$216,0),MATCH(AL$1,'Pillar-6'!$A$4:$Q$4,0)),""))</f>
        <v>80.135000000000005</v>
      </c>
      <c r="AM21" s="71">
        <f>IF($B21="","",IFERROR(INDEX('Pillar-6'!$A$5:$Q$216,MATCH($B21,'Pillar-6'!$B$5:$B$216,0),MATCH(AM$1,'Pillar-6'!$A$4:$Q$4,0)),""))</f>
        <v>100</v>
      </c>
    </row>
    <row r="22" spans="1:39" s="35" customFormat="1" ht="20" customHeight="1">
      <c r="A22" s="35" t="str">
        <v>Mongolia</v>
      </c>
      <c r="B22" s="89" t="str">
        <v>MNG</v>
      </c>
      <c r="C22" s="89" t="str">
        <f>IF($B22="","",IFERROR(INDEX(Screening!$A$2:$R$219,MATCH($B22,Screening!$B$2:$B$219,0),MATCH("Include in final index",Screening!$A$1:$R$1,0)),""))</f>
        <v>Yes</v>
      </c>
      <c r="D22" s="89">
        <f>IF($B22="","",IFERROR(INDEX('INDEX ranked'!$A$3:$J$200,MATCH($B22,'INDEX ranked'!$B$3:$B$200,0),MATCH("Rank",'INDEX ranked'!$A$2:$J$2,0)),""))</f>
        <v>33</v>
      </c>
      <c r="E22" s="71">
        <f>IF($B22="","",IFERROR(INDEX('INDEX ranked'!$A$3:$J$200,MATCH($B22,'INDEX ranked'!$B$3:$B$200,0),MATCH("Overall index score",'INDEX ranked'!$A$2:$J$2,0)),""))</f>
        <v>39.448092884826892</v>
      </c>
      <c r="F22" s="71">
        <f>IF($B22="","",IFERROR(INDEX('INDEX ranked'!$A$3:$J$200,MATCH($B22,'INDEX ranked'!$B$3:$B$200,0),MATCH(F$1,'INDEX ranked'!$A$2:$J$2,0)),""))</f>
        <v>8.6957141420909103</v>
      </c>
      <c r="G22" s="71">
        <f>IF($B22="","",IFERROR(INDEX('INDEX ranked'!$A$3:$J$200,MATCH($B22,'INDEX ranked'!$B$3:$B$200,0),MATCH(G$1,'INDEX ranked'!$A$2:$J$2,0)),""))</f>
        <v>6.7133221434189121</v>
      </c>
      <c r="H22" s="71">
        <f>IF($B22="","",IFERROR(INDEX('INDEX ranked'!$A$3:$J$200,MATCH($B22,'INDEX ranked'!$B$3:$B$200,0),MATCH(H$1,'INDEX ranked'!$A$2:$J$2,0)),""))</f>
        <v>50.341999999999999</v>
      </c>
      <c r="I22" s="71">
        <f>IF($B22="","",IFERROR(INDEX('INDEX ranked'!$A$3:$J$200,MATCH($B22,'INDEX ranked'!$B$3:$B$200,0),MATCH(I$1,'INDEX ranked'!$A$2:$J$2,0)),""))</f>
        <v>65.359240420524301</v>
      </c>
      <c r="J22" s="71">
        <f>IF($B22="","",IFERROR(INDEX('INDEX ranked'!$A$3:$J$200,MATCH($B22,'INDEX ranked'!$B$3:$B$200,0),MATCH(J$1,'INDEX ranked'!$A$2:$J$2,0)),""))</f>
        <v>54.878250290800409</v>
      </c>
      <c r="K22" s="71">
        <f>IF($B22="","",IFERROR(INDEX('INDEX ranked'!$A$3:$J$200,MATCH($B22,'INDEX ranked'!$B$3:$B$200,0),MATCH(K$1,'INDEX ranked'!$A$2:$J$2,0)),""))</f>
        <v>75.114000000000004</v>
      </c>
      <c r="L22" s="71">
        <f>IF($B22="","",IFERROR(INDEX('Pillar-1'!$A$5:$M$216,MATCH($B22,'Pillar-1'!$B$5:$B$216,0),MATCH(L$1,'Pillar-1'!$A$4:$M$4,0)),""))</f>
        <v>9.0392861281724421</v>
      </c>
      <c r="M22" s="71">
        <f>IF($B22="","",IFERROR(INDEX('Pillar-1'!$A$5:$M$216,MATCH($B22,'Pillar-1'!$B$5:$B$216,0),MATCH(M$1,'Pillar-1'!$A$4:$M$4,0)),""))</f>
        <v>18.439879990768521</v>
      </c>
      <c r="N22" s="71">
        <f>IF($B22="","",IFERROR(INDEX('Pillar-1'!$A$5:$M$216,MATCH($B22,'Pillar-1'!$B$5:$B$216,0),MATCH(N$1,'Pillar-1'!$A$4:$M$4,0)),""))</f>
        <v>0</v>
      </c>
      <c r="O22" s="71">
        <f>IF($B22="","",IFERROR(INDEX('Pillar-2'!$A$5:$S$216,MATCH($B22,'Pillar-2'!$B$5:$B$216,0),MATCH(O$1,'Pillar-2'!$A$4:$S$4,0)),""))</f>
        <v>9.7777777777777803</v>
      </c>
      <c r="P22" s="71">
        <f>IF($B22="","",IFERROR(INDEX('Pillar-2'!$A$5:$S$216,MATCH($B22,'Pillar-2'!$B$5:$B$216,0),MATCH(P$1,'Pillar-2'!$A$4:$S$4,0)),""))</f>
        <v>0</v>
      </c>
      <c r="Q22" s="71">
        <f>IF($B22="","",IFERROR(INDEX('Pillar-2'!$A$5:$S$216,MATCH($B22,'Pillar-2'!$B$5:$B$216,0),MATCH(Q$1,'Pillar-2'!$A$4:$S$4,0)),""))</f>
        <v>0</v>
      </c>
      <c r="R22" s="71">
        <f>IF($B22="","",IFERROR(INDEX('Pillar-2'!$A$5:$S$216,MATCH($B22,'Pillar-2'!$B$5:$B$216,0),MATCH(R$1,'Pillar-2'!$A$4:$S$4,0)),""))</f>
        <v>39.539290724288151</v>
      </c>
      <c r="S22" s="71">
        <f>IF($B22="","",IFERROR(INDEX('Pillar-2'!$A$5:$S$216,MATCH($B22,'Pillar-2'!$B$5:$B$216,0),MATCH(S$1,'Pillar-2'!$A$4:$S$4,0)),""))</f>
        <v>0</v>
      </c>
      <c r="T22" s="71">
        <f>IF($B22="","",IFERROR(INDEX('Pillar-2'!$A$5:$S$216,MATCH($B22,'Pillar-2'!$B$5:$B$216,0),MATCH(T$1,'Pillar-2'!$A$4:$S$4,0)),""))</f>
        <v>9.9409240396375047</v>
      </c>
      <c r="U22" s="71">
        <f>IF($B22="","",IFERROR(INDEX('Pillar-2'!$A$5:$S$216,MATCH($B22,'Pillar-2'!$B$5:$B$216,0),MATCH(U$1,'Pillar-2'!$A$4:$S$4,0)),""))</f>
        <v>0</v>
      </c>
      <c r="V22" s="71">
        <f>IF($B22="","",IFERROR(INDEX('Pillar-2'!$A$5:$S$216,MATCH($B22,'Pillar-2'!$B$5:$B$216,0),MATCH(V$1,'Pillar-2'!$A$4:$S$4,0)),""))</f>
        <v>0</v>
      </c>
      <c r="W22" s="71">
        <f>IF($B22="","",IFERROR(INDEX('Pillar-3'!$A$5:$M$217,MATCH($B22,'Pillar-3'!$B$5:$B$217,0),MATCH(W$1,'Pillar-3'!$A$4:$M$4,0)),""))</f>
        <v>73.08</v>
      </c>
      <c r="X22" s="71">
        <f>IF($B22="","",IFERROR(INDEX('Pillar-3'!$A$5:$M$217,MATCH($B22,'Pillar-3'!$B$5:$B$217,0),MATCH(X$1,'Pillar-3'!$A$4:$M$4,0)),""))</f>
        <v>43.77</v>
      </c>
      <c r="Y22" s="71">
        <f>IF($B22="","",IFERROR(INDEX('Pillar-3'!$A$5:$M$217,MATCH($B22,'Pillar-3'!$B$5:$B$217,0),MATCH(Y$1,'Pillar-3'!$A$4:$M$4,0)),""))</f>
        <v>53.75</v>
      </c>
      <c r="Z22" s="71">
        <f>IF($B22="","",IFERROR(INDEX('Pillar-3'!$A$5:$M$217,MATCH($B22,'Pillar-3'!$B$5:$B$217,0),MATCH(Z$1,'Pillar-3'!$A$4:$M$4,0)),""))</f>
        <v>55.25</v>
      </c>
      <c r="AA22" s="71">
        <f>IF($B22="","",IFERROR(INDEX('Pillar-3'!$A$5:$M$217,MATCH($B22,'Pillar-3'!$B$5:$B$217,0),MATCH(AA$1,'Pillar-3'!$A$4:$M$4,0)),""))</f>
        <v>38.020000000000003</v>
      </c>
      <c r="AB22" s="71">
        <f>IF($B22="","",IFERROR(INDEX('Pillar-4'!$A$5:$R$217,MATCH($B22,'Pillar-4'!$B$5:$B$217,0),MATCH(AB$1,'Pillar-4'!$A$4:$R$4,0)),""))</f>
        <v>41.486822953073208</v>
      </c>
      <c r="AC22" s="71">
        <f>IF($B22="","",IFERROR(INDEX('Pillar-4'!$A$5:$R$217,MATCH($B22,'Pillar-4'!$B$5:$B$217,0),MATCH(AC$1,'Pillar-4'!$A$4:$R$4,0)),""))</f>
        <v>73.384597481572285</v>
      </c>
      <c r="AD22" s="71">
        <f>IF($B22="","",IFERROR(INDEX('Pillar-4'!$A$5:$R$217,MATCH($B22,'Pillar-4'!$B$5:$B$217,0),MATCH(AD$1,'Pillar-4'!$A$4:$R$4,0)),""))</f>
        <v>65.899708890634685</v>
      </c>
      <c r="AE22" s="71">
        <f>IF($B22="","",IFERROR(INDEX('Pillar-4'!$A$5:$R$217,MATCH($B22,'Pillar-4'!$B$5:$B$217,0),MATCH(AE$1,'Pillar-4'!$A$4:$R$4,0)),""))</f>
        <v>100</v>
      </c>
      <c r="AF22" s="71">
        <f>IF($B22="","",IFERROR(INDEX('Pillar-4'!$A$5:$R$217,MATCH($B22,'Pillar-4'!$B$5:$B$217,0),MATCH(AF$1,'Pillar-4'!$A$4:$R$4,0)),""))</f>
        <v>50</v>
      </c>
      <c r="AG22" s="71">
        <f>IF($B22="","",IFERROR(INDEX('Pillar-5'!$A$5:$Q$216,MATCH($B22,'Pillar-5'!$B$5:$B$216,0),MATCH(AG$1,'Pillar-5'!$A$4:$Q$4,0)),""))</f>
        <v>22.452941775452757</v>
      </c>
      <c r="AH22" s="71">
        <f>IF($B22="","",IFERROR(INDEX('Pillar-5'!$A$5:$Q$216,MATCH($B22,'Pillar-5'!$B$5:$B$216,0),MATCH(AH$1,'Pillar-5'!$A$4:$Q$4,0)),""))</f>
        <v>75</v>
      </c>
      <c r="AI22" s="71">
        <f>IF($B22="","",IFERROR(INDEX('Pillar-5'!$A$5:$Q$216,MATCH($B22,'Pillar-5'!$B$5:$B$216,0),MATCH(AI$1,'Pillar-5'!$A$4:$Q$4,0)),""))</f>
        <v>70.605999999999995</v>
      </c>
      <c r="AJ22" s="71">
        <f>IF($B22="","",IFERROR(INDEX('Pillar-5'!$A$5:$Q$216,MATCH($B22,'Pillar-5'!$B$5:$B$216,0),MATCH(AJ$1,'Pillar-5'!$A$4:$Q$4,0)),""))</f>
        <v>61.084671032658314</v>
      </c>
      <c r="AK22" s="71">
        <f>IF($B22="","",IFERROR(INDEX('Pillar-6'!$A$5:$Q$216,MATCH($B22,'Pillar-6'!$B$5:$B$216,0),MATCH(AK$1,'Pillar-6'!$A$4:$Q$4,0)),""))</f>
        <v>60</v>
      </c>
      <c r="AL22" s="71">
        <f>IF($B22="","",IFERROR(INDEX('Pillar-6'!$A$5:$Q$216,MATCH($B22,'Pillar-6'!$B$5:$B$216,0),MATCH(AL$1,'Pillar-6'!$A$4:$Q$4,0)),""))</f>
        <v>86.92</v>
      </c>
      <c r="AM22" s="71">
        <f>IF($B22="","",IFERROR(INDEX('Pillar-6'!$A$5:$Q$216,MATCH($B22,'Pillar-6'!$B$5:$B$216,0),MATCH(AM$1,'Pillar-6'!$A$4:$Q$4,0)),""))</f>
        <v>75</v>
      </c>
    </row>
    <row r="23" spans="1:39" s="35" customFormat="1" ht="20" customHeight="1">
      <c r="A23" s="35" t="str">
        <v>Morocco</v>
      </c>
      <c r="B23" s="89" t="str">
        <v>MAR</v>
      </c>
      <c r="C23" s="89" t="str">
        <f>IF($B23="","",IFERROR(INDEX(Screening!$A$2:$R$219,MATCH($B23,Screening!$B$2:$B$219,0),MATCH("Include in final index",Screening!$A$1:$R$1,0)),""))</f>
        <v>Yes</v>
      </c>
      <c r="D23" s="89">
        <f>IF($B23="","",IFERROR(INDEX('INDEX ranked'!$A$3:$J$200,MATCH($B23,'INDEX ranked'!$B$3:$B$200,0),MATCH("Rank",'INDEX ranked'!$A$2:$J$2,0)),""))</f>
        <v>18</v>
      </c>
      <c r="E23" s="71">
        <f>IF($B23="","",IFERROR(INDEX('INDEX ranked'!$A$3:$J$200,MATCH($B23,'INDEX ranked'!$B$3:$B$200,0),MATCH("Overall index score",'INDEX ranked'!$A$2:$J$2,0)),""))</f>
        <v>51.315625558755357</v>
      </c>
      <c r="F23" s="71">
        <f>IF($B23="","",IFERROR(INDEX('INDEX ranked'!$A$3:$J$200,MATCH($B23,'INDEX ranked'!$B$3:$B$200,0),MATCH(F$1,'INDEX ranked'!$A$2:$J$2,0)),""))</f>
        <v>34.574537515189846</v>
      </c>
      <c r="G23" s="71">
        <f>IF($B23="","",IFERROR(INDEX('INDEX ranked'!$A$3:$J$200,MATCH($B23,'INDEX ranked'!$B$3:$B$200,0),MATCH(G$1,'INDEX ranked'!$A$2:$J$2,0)),""))</f>
        <v>52.779743295437697</v>
      </c>
      <c r="H23" s="71">
        <f>IF($B23="","",IFERROR(INDEX('INDEX ranked'!$A$3:$J$200,MATCH($B23,'INDEX ranked'!$B$3:$B$200,0),MATCH(H$1,'INDEX ranked'!$A$2:$J$2,0)),""))</f>
        <v>50.736499999999999</v>
      </c>
      <c r="I23" s="71">
        <f>IF($B23="","",IFERROR(INDEX('INDEX ranked'!$A$3:$J$200,MATCH($B23,'INDEX ranked'!$B$3:$B$200,0),MATCH(I$1,'INDEX ranked'!$A$2:$J$2,0)),""))</f>
        <v>55.525137109025877</v>
      </c>
      <c r="J23" s="71">
        <f>IF($B23="","",IFERROR(INDEX('INDEX ranked'!$A$3:$J$200,MATCH($B23,'INDEX ranked'!$B$3:$B$200,0),MATCH(J$1,'INDEX ranked'!$A$2:$J$2,0)),""))</f>
        <v>65.409279832164515</v>
      </c>
      <c r="K23" s="71">
        <f>IF($B23="","",IFERROR(INDEX('INDEX ranked'!$A$3:$J$200,MATCH($B23,'INDEX ranked'!$B$3:$B$200,0),MATCH(K$1,'INDEX ranked'!$A$2:$J$2,0)),""))</f>
        <v>53.178750000000001</v>
      </c>
      <c r="L23" s="71">
        <f>IF($B23="","",IFERROR(INDEX('Pillar-1'!$A$5:$M$216,MATCH($B23,'Pillar-1'!$B$5:$B$216,0),MATCH(L$1,'Pillar-1'!$A$4:$M$4,0)),""))</f>
        <v>27.071503071039523</v>
      </c>
      <c r="M23" s="71">
        <f>IF($B23="","",IFERROR(INDEX('Pillar-1'!$A$5:$M$216,MATCH($B23,'Pillar-1'!$B$5:$B$216,0),MATCH(M$1,'Pillar-1'!$A$4:$M$4,0)),""))</f>
        <v>51.303946457419791</v>
      </c>
      <c r="N23" s="71">
        <f>IF($B23="","",IFERROR(INDEX('Pillar-1'!$A$5:$M$216,MATCH($B23,'Pillar-1'!$B$5:$B$216,0),MATCH(N$1,'Pillar-1'!$A$4:$M$4,0)),""))</f>
        <v>27.73807858028594</v>
      </c>
      <c r="O23" s="71">
        <f>IF($B23="","",IFERROR(INDEX('Pillar-2'!$A$5:$S$216,MATCH($B23,'Pillar-2'!$B$5:$B$216,0),MATCH(O$1,'Pillar-2'!$A$4:$S$4,0)),""))</f>
        <v>41.1719576719576</v>
      </c>
      <c r="P23" s="71">
        <f>IF($B23="","",IFERROR(INDEX('Pillar-2'!$A$5:$S$216,MATCH($B23,'Pillar-2'!$B$5:$B$216,0),MATCH(P$1,'Pillar-2'!$A$4:$S$4,0)),""))</f>
        <v>100</v>
      </c>
      <c r="Q23" s="71">
        <f>IF($B23="","",IFERROR(INDEX('Pillar-2'!$A$5:$S$216,MATCH($B23,'Pillar-2'!$B$5:$B$216,0),MATCH(Q$1,'Pillar-2'!$A$4:$S$4,0)),""))</f>
        <v>100</v>
      </c>
      <c r="R23" s="71">
        <f>IF($B23="","",IFERROR(INDEX('Pillar-2'!$A$5:$S$216,MATCH($B23,'Pillar-2'!$B$5:$B$216,0),MATCH(R$1,'Pillar-2'!$A$4:$S$4,0)),""))</f>
        <v>61.546034011763837</v>
      </c>
      <c r="S23" s="71">
        <f>IF($B23="","",IFERROR(INDEX('Pillar-2'!$A$5:$S$216,MATCH($B23,'Pillar-2'!$B$5:$B$216,0),MATCH(S$1,'Pillar-2'!$A$4:$S$4,0)),""))</f>
        <v>26.553421347216538</v>
      </c>
      <c r="T23" s="71">
        <f>IF($B23="","",IFERROR(INDEX('Pillar-2'!$A$5:$S$216,MATCH($B23,'Pillar-2'!$B$5:$B$216,0),MATCH(T$1,'Pillar-2'!$A$4:$S$4,0)),""))</f>
        <v>33.339671646564163</v>
      </c>
      <c r="U23" s="71">
        <f>IF($B23="","",IFERROR(INDEX('Pillar-2'!$A$5:$S$216,MATCH($B23,'Pillar-2'!$B$5:$B$216,0),MATCH(U$1,'Pillar-2'!$A$4:$S$4,0)),""))</f>
        <v>20</v>
      </c>
      <c r="V23" s="71">
        <f>IF($B23="","",IFERROR(INDEX('Pillar-2'!$A$5:$S$216,MATCH($B23,'Pillar-2'!$B$5:$B$216,0),MATCH(V$1,'Pillar-2'!$A$4:$S$4,0)),""))</f>
        <v>25</v>
      </c>
      <c r="W23" s="71">
        <f>IF($B23="","",IFERROR(INDEX('Pillar-3'!$A$5:$M$217,MATCH($B23,'Pillar-3'!$B$5:$B$217,0),MATCH(W$1,'Pillar-3'!$A$4:$M$4,0)),""))</f>
        <v>58.36</v>
      </c>
      <c r="X23" s="71">
        <f>IF($B23="","",IFERROR(INDEX('Pillar-3'!$A$5:$M$217,MATCH($B23,'Pillar-3'!$B$5:$B$217,0),MATCH(X$1,'Pillar-3'!$A$4:$M$4,0)),""))</f>
        <v>54.77</v>
      </c>
      <c r="Y23" s="71">
        <f>IF($B23="","",IFERROR(INDEX('Pillar-3'!$A$5:$M$217,MATCH($B23,'Pillar-3'!$B$5:$B$217,0),MATCH(Y$1,'Pillar-3'!$A$4:$M$4,0)),""))</f>
        <v>54.44</v>
      </c>
      <c r="Z23" s="71">
        <f>IF($B23="","",IFERROR(INDEX('Pillar-3'!$A$5:$M$217,MATCH($B23,'Pillar-3'!$B$5:$B$217,0),MATCH(Z$1,'Pillar-3'!$A$4:$M$4,0)),""))</f>
        <v>50.63</v>
      </c>
      <c r="AA23" s="71">
        <f>IF($B23="","",IFERROR(INDEX('Pillar-3'!$A$5:$M$217,MATCH($B23,'Pillar-3'!$B$5:$B$217,0),MATCH(AA$1,'Pillar-3'!$A$4:$M$4,0)),""))</f>
        <v>37.36</v>
      </c>
      <c r="AB23" s="71">
        <f>IF($B23="","",IFERROR(INDEX('Pillar-4'!$A$5:$R$217,MATCH($B23,'Pillar-4'!$B$5:$B$217,0),MATCH(AB$1,'Pillar-4'!$A$4:$R$4,0)),""))</f>
        <v>36.346443291032401</v>
      </c>
      <c r="AC23" s="71">
        <f>IF($B23="","",IFERROR(INDEX('Pillar-4'!$A$5:$R$217,MATCH($B23,'Pillar-4'!$B$5:$B$217,0),MATCH(AC$1,'Pillar-4'!$A$4:$R$4,0)),""))</f>
        <v>69.954975725945843</v>
      </c>
      <c r="AD23" s="71">
        <f>IF($B23="","",IFERROR(INDEX('Pillar-4'!$A$5:$R$217,MATCH($B23,'Pillar-4'!$B$5:$B$217,0),MATCH(AD$1,'Pillar-4'!$A$4:$R$4,0)),""))</f>
        <v>65.099022037534866</v>
      </c>
      <c r="AE23" s="71">
        <f>IF($B23="","",IFERROR(INDEX('Pillar-4'!$A$5:$R$217,MATCH($B23,'Pillar-4'!$B$5:$B$217,0),MATCH(AE$1,'Pillar-4'!$A$4:$R$4,0)),""))</f>
        <v>60</v>
      </c>
      <c r="AF23" s="71">
        <f>IF($B23="","",IFERROR(INDEX('Pillar-4'!$A$5:$R$217,MATCH($B23,'Pillar-4'!$B$5:$B$217,0),MATCH(AF$1,'Pillar-4'!$A$4:$R$4,0)),""))</f>
        <v>50</v>
      </c>
      <c r="AG23" s="71">
        <f>IF($B23="","",IFERROR(INDEX('Pillar-5'!$A$5:$Q$216,MATCH($B23,'Pillar-5'!$B$5:$B$216,0),MATCH(AG$1,'Pillar-5'!$A$4:$Q$4,0)),""))</f>
        <v>38.881776690873558</v>
      </c>
      <c r="AH23" s="71">
        <f>IF($B23="","",IFERROR(INDEX('Pillar-5'!$A$5:$Q$216,MATCH($B23,'Pillar-5'!$B$5:$B$216,0),MATCH(AH$1,'Pillar-5'!$A$4:$Q$4,0)),""))</f>
        <v>100</v>
      </c>
      <c r="AI23" s="71">
        <f>IF($B23="","",IFERROR(INDEX('Pillar-5'!$A$5:$Q$216,MATCH($B23,'Pillar-5'!$B$5:$B$216,0),MATCH(AI$1,'Pillar-5'!$A$4:$Q$4,0)),""))</f>
        <v>54.843333333333334</v>
      </c>
      <c r="AJ23" s="71">
        <f>IF($B23="","",IFERROR(INDEX('Pillar-5'!$A$5:$Q$216,MATCH($B23,'Pillar-5'!$B$5:$B$216,0),MATCH(AJ$1,'Pillar-5'!$A$4:$Q$4,0)),""))</f>
        <v>71.104320632943114</v>
      </c>
      <c r="AK23" s="71">
        <f>IF($B23="","",IFERROR(INDEX('Pillar-6'!$A$5:$Q$216,MATCH($B23,'Pillar-6'!$B$5:$B$216,0),MATCH(AK$1,'Pillar-6'!$A$4:$Q$4,0)),""))</f>
        <v>60</v>
      </c>
      <c r="AL23" s="71">
        <f>IF($B23="","",IFERROR(INDEX('Pillar-6'!$A$5:$Q$216,MATCH($B23,'Pillar-6'!$B$5:$B$216,0),MATCH(AL$1,'Pillar-6'!$A$4:$Q$4,0)),""))</f>
        <v>38.174999999999997</v>
      </c>
      <c r="AM23" s="71">
        <f>IF($B23="","",IFERROR(INDEX('Pillar-6'!$A$5:$Q$216,MATCH($B23,'Pillar-6'!$B$5:$B$216,0),MATCH(AM$1,'Pillar-6'!$A$4:$Q$4,0)),""))</f>
        <v>75</v>
      </c>
    </row>
    <row r="24" spans="1:39" s="35" customFormat="1" ht="20" customHeight="1">
      <c r="A24" s="35" t="str">
        <v>North Korea</v>
      </c>
      <c r="B24" s="89" t="str">
        <v>PRK</v>
      </c>
      <c r="C24" s="89" t="str">
        <f>IF($B24="","",IFERROR(INDEX(Screening!$A$2:$R$219,MATCH($B24,Screening!$B$2:$B$219,0),MATCH("Include in final index",Screening!$A$1:$R$1,0)),""))</f>
        <v>Yes</v>
      </c>
      <c r="D24" s="89">
        <f>IF($B24="","",IFERROR(INDEX('INDEX ranked'!$A$3:$J$200,MATCH($B24,'INDEX ranked'!$B$3:$B$200,0),MATCH("Rank",'INDEX ranked'!$A$2:$J$2,0)),""))</f>
        <v>32</v>
      </c>
      <c r="E24" s="71">
        <f>IF($B24="","",IFERROR(INDEX('INDEX ranked'!$A$3:$J$200,MATCH($B24,'INDEX ranked'!$B$3:$B$200,0),MATCH("Overall index score",'INDEX ranked'!$A$2:$J$2,0)),""))</f>
        <v>42.08874773265952</v>
      </c>
      <c r="F24" s="71">
        <f>IF($B24="","",IFERROR(INDEX('INDEX ranked'!$A$3:$J$200,MATCH($B24,'INDEX ranked'!$B$3:$B$200,0),MATCH(F$1,'INDEX ranked'!$A$2:$J$2,0)),""))</f>
        <v>52.477000392948057</v>
      </c>
      <c r="G24" s="71">
        <f>IF($B24="","",IFERROR(INDEX('INDEX ranked'!$A$3:$J$200,MATCH($B24,'INDEX ranked'!$B$3:$B$200,0),MATCH(G$1,'INDEX ranked'!$A$2:$J$2,0)),""))</f>
        <v>64.09753021904794</v>
      </c>
      <c r="H24" s="71">
        <f>IF($B24="","",IFERROR(INDEX('INDEX ranked'!$A$3:$J$200,MATCH($B24,'INDEX ranked'!$B$3:$B$200,0),MATCH(H$1,'INDEX ranked'!$A$2:$J$2,0)),""))</f>
        <v>29.527999999999999</v>
      </c>
      <c r="I24" s="71">
        <f>IF($B24="","",IFERROR(INDEX('INDEX ranked'!$A$3:$J$200,MATCH($B24,'INDEX ranked'!$B$3:$B$200,0),MATCH(I$1,'INDEX ranked'!$A$2:$J$2,0)),""))</f>
        <v>6.25</v>
      </c>
      <c r="J24" s="71">
        <f>IF($B24="","",IFERROR(INDEX('INDEX ranked'!$A$3:$J$200,MATCH($B24,'INDEX ranked'!$B$3:$B$200,0),MATCH(J$1,'INDEX ranked'!$A$2:$J$2,0)),""))</f>
        <v>56.549277401735431</v>
      </c>
      <c r="K24" s="71">
        <f>IF($B24="","",IFERROR(INDEX('INDEX ranked'!$A$3:$J$200,MATCH($B24,'INDEX ranked'!$B$3:$B$200,0),MATCH(K$1,'INDEX ranked'!$A$2:$J$2,0)),""))</f>
        <v>46.122500000000002</v>
      </c>
      <c r="L24" s="71">
        <f>IF($B24="","",IFERROR(INDEX('Pillar-1'!$A$5:$M$216,MATCH($B24,'Pillar-1'!$B$5:$B$216,0),MATCH(L$1,'Pillar-1'!$A$4:$M$4,0)),""))</f>
        <v>72.221578398423929</v>
      </c>
      <c r="M24" s="71">
        <f>IF($B24="","",IFERROR(INDEX('Pillar-1'!$A$5:$M$216,MATCH($B24,'Pillar-1'!$B$5:$B$216,0),MATCH(M$1,'Pillar-1'!$A$4:$M$4,0)),""))</f>
        <v>1.061620124624971</v>
      </c>
      <c r="N24" s="71">
        <f>IF($B24="","",IFERROR(INDEX('Pillar-1'!$A$5:$M$216,MATCH($B24,'Pillar-1'!$B$5:$B$216,0),MATCH(N$1,'Pillar-1'!$A$4:$M$4,0)),""))</f>
        <v>76.802748331749129</v>
      </c>
      <c r="O24" s="71">
        <f>IF($B24="","",IFERROR(INDEX('Pillar-2'!$A$5:$S$216,MATCH($B24,'Pillar-2'!$B$5:$B$216,0),MATCH(O$1,'Pillar-2'!$A$4:$S$4,0)),""))</f>
        <v>59.83</v>
      </c>
      <c r="P24" s="71">
        <f>IF($B24="","",IFERROR(INDEX('Pillar-2'!$A$5:$S$216,MATCH($B24,'Pillar-2'!$B$5:$B$216,0),MATCH(P$1,'Pillar-2'!$A$4:$S$4,0)),""))</f>
        <v>100</v>
      </c>
      <c r="Q24" s="71">
        <f>IF($B24="","",IFERROR(INDEX('Pillar-2'!$A$5:$S$216,MATCH($B24,'Pillar-2'!$B$5:$B$216,0),MATCH(Q$1,'Pillar-2'!$A$4:$S$4,0)),""))</f>
        <v>100</v>
      </c>
      <c r="R24" s="71">
        <f>IF($B24="","",IFERROR(INDEX('Pillar-2'!$A$5:$S$216,MATCH($B24,'Pillar-2'!$B$5:$B$216,0),MATCH(R$1,'Pillar-2'!$A$4:$S$4,0)),""))</f>
        <v>92.087711958260542</v>
      </c>
      <c r="S24" s="71">
        <f>IF($B24="","",IFERROR(INDEX('Pillar-2'!$A$5:$S$216,MATCH($B24,'Pillar-2'!$B$5:$B$216,0),MATCH(S$1,'Pillar-2'!$A$4:$S$4,0)),""))</f>
        <v>85.559444908402753</v>
      </c>
      <c r="T24" s="71">
        <f>IF($B24="","",IFERROR(INDEX('Pillar-2'!$A$5:$S$216,MATCH($B24,'Pillar-2'!$B$5:$B$216,0),MATCH(T$1,'Pillar-2'!$A$4:$S$4,0)),""))</f>
        <v>95.003392438104228</v>
      </c>
      <c r="U24" s="71">
        <f>IF($B24="","",IFERROR(INDEX('Pillar-2'!$A$5:$S$216,MATCH($B24,'Pillar-2'!$B$5:$B$216,0),MATCH(U$1,'Pillar-2'!$A$4:$S$4,0)),""))</f>
        <v>0</v>
      </c>
      <c r="V24" s="71">
        <f>IF($B24="","",IFERROR(INDEX('Pillar-2'!$A$5:$S$216,MATCH($B24,'Pillar-2'!$B$5:$B$216,0),MATCH(V$1,'Pillar-2'!$A$4:$S$4,0)),""))</f>
        <v>0</v>
      </c>
      <c r="W24" s="71">
        <f>IF($B24="","",IFERROR(INDEX('Pillar-3'!$A$5:$M$217,MATCH($B24,'Pillar-3'!$B$5:$B$217,0),MATCH(W$1,'Pillar-3'!$A$4:$M$4,0)),""))</f>
        <v>71.400000000000006</v>
      </c>
      <c r="X24" s="71">
        <f>IF($B24="","",IFERROR(INDEX('Pillar-3'!$A$5:$M$217,MATCH($B24,'Pillar-3'!$B$5:$B$217,0),MATCH(X$1,'Pillar-3'!$A$4:$M$4,0)),""))</f>
        <v>26.62</v>
      </c>
      <c r="Y24" s="71">
        <f>IF($B24="","",IFERROR(INDEX('Pillar-3'!$A$5:$M$217,MATCH($B24,'Pillar-3'!$B$5:$B$217,0),MATCH(Y$1,'Pillar-3'!$A$4:$M$4,0)),""))</f>
        <v>25.3</v>
      </c>
      <c r="Z24" s="71">
        <f>IF($B24="","",IFERROR(INDEX('Pillar-3'!$A$5:$M$217,MATCH($B24,'Pillar-3'!$B$5:$B$217,0),MATCH(Z$1,'Pillar-3'!$A$4:$M$4,0)),""))</f>
        <v>30.71</v>
      </c>
      <c r="AA24" s="71">
        <f>IF($B24="","",IFERROR(INDEX('Pillar-3'!$A$5:$M$217,MATCH($B24,'Pillar-3'!$B$5:$B$217,0),MATCH(AA$1,'Pillar-3'!$A$4:$M$4,0)),""))</f>
        <v>16.329999999999998</v>
      </c>
      <c r="AB24" s="71">
        <f>IF($B24="","",IFERROR(INDEX('Pillar-4'!$A$5:$R$217,MATCH($B24,'Pillar-4'!$B$5:$B$217,0),MATCH(AB$1,'Pillar-4'!$A$4:$R$4,0)),""))</f>
        <v>0</v>
      </c>
      <c r="AC24" s="71">
        <f>IF($B24="","",IFERROR(INDEX('Pillar-4'!$A$5:$R$217,MATCH($B24,'Pillar-4'!$B$5:$B$217,0),MATCH(AC$1,'Pillar-4'!$A$4:$R$4,0)),""))</f>
        <v>0</v>
      </c>
      <c r="AD24" s="71">
        <f>IF($B24="","",IFERROR(INDEX('Pillar-4'!$A$5:$R$217,MATCH($B24,'Pillar-4'!$B$5:$B$217,0),MATCH(AD$1,'Pillar-4'!$A$4:$R$4,0)),""))</f>
        <v>0</v>
      </c>
      <c r="AE24" s="71">
        <f>IF($B24="","",IFERROR(INDEX('Pillar-4'!$A$5:$R$217,MATCH($B24,'Pillar-4'!$B$5:$B$217,0),MATCH(AE$1,'Pillar-4'!$A$4:$R$4,0)),""))</f>
        <v>0</v>
      </c>
      <c r="AF24" s="71">
        <f>IF($B24="","",IFERROR(INDEX('Pillar-4'!$A$5:$R$217,MATCH($B24,'Pillar-4'!$B$5:$B$217,0),MATCH(AF$1,'Pillar-4'!$A$4:$R$4,0)),""))</f>
        <v>25</v>
      </c>
      <c r="AG24" s="71">
        <f>IF($B24="","",IFERROR(INDEX('Pillar-5'!$A$5:$Q$216,MATCH($B24,'Pillar-5'!$B$5:$B$216,0),MATCH(AG$1,'Pillar-5'!$A$4:$Q$4,0)),""))</f>
        <v>80.17359133911809</v>
      </c>
      <c r="AH24" s="71">
        <f>IF($B24="","",IFERROR(INDEX('Pillar-5'!$A$5:$Q$216,MATCH($B24,'Pillar-5'!$B$5:$B$216,0),MATCH(AH$1,'Pillar-5'!$A$4:$Q$4,0)),""))</f>
        <v>75</v>
      </c>
      <c r="AI24" s="71">
        <f>IF($B24="","",IFERROR(INDEX('Pillar-5'!$A$5:$Q$216,MATCH($B24,'Pillar-5'!$B$5:$B$216,0),MATCH(AI$1,'Pillar-5'!$A$4:$Q$4,0)),""))</f>
        <v>68.73599999999999</v>
      </c>
      <c r="AJ24" s="71">
        <f>IF($B24="","",IFERROR(INDEX('Pillar-5'!$A$5:$Q$216,MATCH($B24,'Pillar-5'!$B$5:$B$216,0),MATCH(AJ$1,'Pillar-5'!$A$4:$Q$4,0)),""))</f>
        <v>0</v>
      </c>
      <c r="AK24" s="71">
        <f>IF($B24="","",IFERROR(INDEX('Pillar-6'!$A$5:$Q$216,MATCH($B24,'Pillar-6'!$B$5:$B$216,0),MATCH(AK$1,'Pillar-6'!$A$4:$Q$4,0)),""))</f>
        <v>0</v>
      </c>
      <c r="AL24" s="71">
        <f>IF($B24="","",IFERROR(INDEX('Pillar-6'!$A$5:$Q$216,MATCH($B24,'Pillar-6'!$B$5:$B$216,0),MATCH(AL$1,'Pillar-6'!$A$4:$Q$4,0)),""))</f>
        <v>58.05</v>
      </c>
      <c r="AM24" s="71">
        <f>IF($B24="","",IFERROR(INDEX('Pillar-6'!$A$5:$Q$216,MATCH($B24,'Pillar-6'!$B$5:$B$216,0),MATCH(AM$1,'Pillar-6'!$A$4:$Q$4,0)),""))</f>
        <v>100</v>
      </c>
    </row>
    <row r="25" spans="1:39" s="35" customFormat="1" ht="20" customHeight="1">
      <c r="A25" s="35" t="str">
        <v>Pakistan</v>
      </c>
      <c r="B25" s="89" t="str">
        <v>PAK</v>
      </c>
      <c r="C25" s="89" t="str">
        <f>IF($B25="","",IFERROR(INDEX(Screening!$A$2:$R$219,MATCH($B25,Screening!$B$2:$B$219,0),MATCH("Include in final index",Screening!$A$1:$R$1,0)),""))</f>
        <v>Yes</v>
      </c>
      <c r="D25" s="89">
        <f>IF($B25="","",IFERROR(INDEX('INDEX ranked'!$A$3:$J$200,MATCH($B25,'INDEX ranked'!$B$3:$B$200,0),MATCH("Rank",'INDEX ranked'!$A$2:$J$2,0)),""))</f>
        <v>29</v>
      </c>
      <c r="E25" s="71">
        <f>IF($B25="","",IFERROR(INDEX('INDEX ranked'!$A$3:$J$200,MATCH($B25,'INDEX ranked'!$B$3:$B$200,0),MATCH("Overall index score",'INDEX ranked'!$A$2:$J$2,0)),""))</f>
        <v>43.023238216984879</v>
      </c>
      <c r="F25" s="71">
        <f>IF($B25="","",IFERROR(INDEX('INDEX ranked'!$A$3:$J$200,MATCH($B25,'INDEX ranked'!$B$3:$B$200,0),MATCH(F$1,'INDEX ranked'!$A$2:$J$2,0)),""))</f>
        <v>44.812241969264583</v>
      </c>
      <c r="G25" s="71">
        <f>IF($B25="","",IFERROR(INDEX('INDEX ranked'!$A$3:$J$200,MATCH($B25,'INDEX ranked'!$B$3:$B$200,0),MATCH(G$1,'INDEX ranked'!$A$2:$J$2,0)),""))</f>
        <v>42.605452708108047</v>
      </c>
      <c r="H25" s="71">
        <f>IF($B25="","",IFERROR(INDEX('INDEX ranked'!$A$3:$J$200,MATCH($B25,'INDEX ranked'!$B$3:$B$200,0),MATCH(H$1,'INDEX ranked'!$A$2:$J$2,0)),""))</f>
        <v>36.720500000000001</v>
      </c>
      <c r="I25" s="71">
        <f>IF($B25="","",IFERROR(INDEX('INDEX ranked'!$A$3:$J$200,MATCH($B25,'INDEX ranked'!$B$3:$B$200,0),MATCH(I$1,'INDEX ranked'!$A$2:$J$2,0)),""))</f>
        <v>60.674729846294255</v>
      </c>
      <c r="J25" s="71">
        <f>IF($B25="","",IFERROR(INDEX('INDEX ranked'!$A$3:$J$200,MATCH($B25,'INDEX ranked'!$B$3:$B$200,0),MATCH(J$1,'INDEX ranked'!$A$2:$J$2,0)),""))</f>
        <v>28.326855415010037</v>
      </c>
      <c r="K25" s="71">
        <f>IF($B25="","",IFERROR(INDEX('INDEX ranked'!$A$3:$J$200,MATCH($B25,'INDEX ranked'!$B$3:$B$200,0),MATCH(K$1,'INDEX ranked'!$A$2:$J$2,0)),""))</f>
        <v>36.476500000000001</v>
      </c>
      <c r="L25" s="71">
        <f>IF($B25="","",IFERROR(INDEX('Pillar-1'!$A$5:$M$216,MATCH($B25,'Pillar-1'!$B$5:$B$216,0),MATCH(L$1,'Pillar-1'!$A$4:$M$4,0)),""))</f>
        <v>46.459612933132469</v>
      </c>
      <c r="M25" s="71">
        <f>IF($B25="","",IFERROR(INDEX('Pillar-1'!$A$5:$M$216,MATCH($B25,'Pillar-1'!$B$5:$B$216,0),MATCH(M$1,'Pillar-1'!$A$4:$M$4,0)),""))</f>
        <v>34.479575351950146</v>
      </c>
      <c r="N25" s="71">
        <f>IF($B25="","",IFERROR(INDEX('Pillar-1'!$A$5:$M$216,MATCH($B25,'Pillar-1'!$B$5:$B$216,0),MATCH(N$1,'Pillar-1'!$A$4:$M$4,0)),""))</f>
        <v>52.021442391666227</v>
      </c>
      <c r="O25" s="71">
        <f>IF($B25="","",IFERROR(INDEX('Pillar-2'!$A$5:$S$216,MATCH($B25,'Pillar-2'!$B$5:$B$216,0),MATCH(O$1,'Pillar-2'!$A$4:$S$4,0)),""))</f>
        <v>23.031746031746</v>
      </c>
      <c r="P25" s="71">
        <f>IF($B25="","",IFERROR(INDEX('Pillar-2'!$A$5:$S$216,MATCH($B25,'Pillar-2'!$B$5:$B$216,0),MATCH(P$1,'Pillar-2'!$A$4:$S$4,0)),""))</f>
        <v>66.646832960356576</v>
      </c>
      <c r="Q25" s="71">
        <f>IF($B25="","",IFERROR(INDEX('Pillar-2'!$A$5:$S$216,MATCH($B25,'Pillar-2'!$B$5:$B$216,0),MATCH(Q$1,'Pillar-2'!$A$4:$S$4,0)),""))</f>
        <v>96.70614282699141</v>
      </c>
      <c r="R25" s="71">
        <f>IF($B25="","",IFERROR(INDEX('Pillar-2'!$A$5:$S$216,MATCH($B25,'Pillar-2'!$B$5:$B$216,0),MATCH(R$1,'Pillar-2'!$A$4:$S$4,0)),""))</f>
        <v>60.802795757143215</v>
      </c>
      <c r="S25" s="71">
        <f>IF($B25="","",IFERROR(INDEX('Pillar-2'!$A$5:$S$216,MATCH($B25,'Pillar-2'!$B$5:$B$216,0),MATCH(S$1,'Pillar-2'!$A$4:$S$4,0)),""))</f>
        <v>59.695445903445332</v>
      </c>
      <c r="T25" s="71">
        <f>IF($B25="","",IFERROR(INDEX('Pillar-2'!$A$5:$S$216,MATCH($B25,'Pillar-2'!$B$5:$B$216,0),MATCH(T$1,'Pillar-2'!$A$4:$S$4,0)),""))</f>
        <v>18.920297151648455</v>
      </c>
      <c r="U25" s="71">
        <f>IF($B25="","",IFERROR(INDEX('Pillar-2'!$A$5:$S$216,MATCH($B25,'Pillar-2'!$B$5:$B$216,0),MATCH(U$1,'Pillar-2'!$A$4:$S$4,0)),""))</f>
        <v>20</v>
      </c>
      <c r="V25" s="71">
        <f>IF($B25="","",IFERROR(INDEX('Pillar-2'!$A$5:$S$216,MATCH($B25,'Pillar-2'!$B$5:$B$216,0),MATCH(V$1,'Pillar-2'!$A$4:$S$4,0)),""))</f>
        <v>0</v>
      </c>
      <c r="W25" s="71">
        <f>IF($B25="","",IFERROR(INDEX('Pillar-3'!$A$5:$M$217,MATCH($B25,'Pillar-3'!$B$5:$B$217,0),MATCH(W$1,'Pillar-3'!$A$4:$M$4,0)),""))</f>
        <v>30.65</v>
      </c>
      <c r="X25" s="71">
        <f>IF($B25="","",IFERROR(INDEX('Pillar-3'!$A$5:$M$217,MATCH($B25,'Pillar-3'!$B$5:$B$217,0),MATCH(X$1,'Pillar-3'!$A$4:$M$4,0)),""))</f>
        <v>39.67</v>
      </c>
      <c r="Y25" s="71">
        <f>IF($B25="","",IFERROR(INDEX('Pillar-3'!$A$5:$M$217,MATCH($B25,'Pillar-3'!$B$5:$B$217,0),MATCH(Y$1,'Pillar-3'!$A$4:$M$4,0)),""))</f>
        <v>42.36</v>
      </c>
      <c r="Z25" s="71">
        <f>IF($B25="","",IFERROR(INDEX('Pillar-3'!$A$5:$M$217,MATCH($B25,'Pillar-3'!$B$5:$B$217,0),MATCH(Z$1,'Pillar-3'!$A$4:$M$4,0)),""))</f>
        <v>39.46</v>
      </c>
      <c r="AA25" s="71">
        <f>IF($B25="","",IFERROR(INDEX('Pillar-3'!$A$5:$M$217,MATCH($B25,'Pillar-3'!$B$5:$B$217,0),MATCH(AA$1,'Pillar-3'!$A$4:$M$4,0)),""))</f>
        <v>26.28</v>
      </c>
      <c r="AB25" s="71">
        <f>IF($B25="","",IFERROR(INDEX('Pillar-4'!$A$5:$R$217,MATCH($B25,'Pillar-4'!$B$5:$B$217,0),MATCH(AB$1,'Pillar-4'!$A$4:$R$4,0)),""))</f>
        <v>44.723610446331691</v>
      </c>
      <c r="AC25" s="71">
        <f>IF($B25="","",IFERROR(INDEX('Pillar-4'!$A$5:$R$217,MATCH($B25,'Pillar-4'!$B$5:$B$217,0),MATCH(AC$1,'Pillar-4'!$A$4:$R$4,0)),""))</f>
        <v>78.781357247085566</v>
      </c>
      <c r="AD25" s="71">
        <f>IF($B25="","",IFERROR(INDEX('Pillar-4'!$A$5:$R$217,MATCH($B25,'Pillar-4'!$B$5:$B$217,0),MATCH(AD$1,'Pillar-4'!$A$4:$R$4,0)),""))</f>
        <v>76.491575384072036</v>
      </c>
      <c r="AE25" s="71">
        <f>IF($B25="","",IFERROR(INDEX('Pillar-4'!$A$5:$R$217,MATCH($B25,'Pillar-4'!$B$5:$B$217,0),MATCH(AE$1,'Pillar-4'!$A$4:$R$4,0)),""))</f>
        <v>60</v>
      </c>
      <c r="AF25" s="71">
        <f>IF($B25="","",IFERROR(INDEX('Pillar-4'!$A$5:$R$217,MATCH($B25,'Pillar-4'!$B$5:$B$217,0),MATCH(AF$1,'Pillar-4'!$A$4:$R$4,0)),""))</f>
        <v>50</v>
      </c>
      <c r="AG25" s="71">
        <f>IF($B25="","",IFERROR(INDEX('Pillar-5'!$A$5:$Q$216,MATCH($B25,'Pillar-5'!$B$5:$B$216,0),MATCH(AG$1,'Pillar-5'!$A$4:$Q$4,0)),""))</f>
        <v>5.7330408068213368</v>
      </c>
      <c r="AH25" s="71">
        <f>IF($B25="","",IFERROR(INDEX('Pillar-5'!$A$5:$Q$216,MATCH($B25,'Pillar-5'!$B$5:$B$216,0),MATCH(AH$1,'Pillar-5'!$A$4:$Q$4,0)),""))</f>
        <v>50</v>
      </c>
      <c r="AI25" s="71">
        <f>IF($B25="","",IFERROR(INDEX('Pillar-5'!$A$5:$Q$216,MATCH($B25,'Pillar-5'!$B$5:$B$216,0),MATCH(AI$1,'Pillar-5'!$A$4:$Q$4,0)),""))</f>
        <v>53.186666666666667</v>
      </c>
      <c r="AJ25" s="71">
        <f>IF($B25="","",IFERROR(INDEX('Pillar-5'!$A$5:$Q$216,MATCH($B25,'Pillar-5'!$B$5:$B$216,0),MATCH(AJ$1,'Pillar-5'!$A$4:$Q$4,0)),""))</f>
        <v>13.878439358521211</v>
      </c>
      <c r="AK25" s="71">
        <f>IF($B25="","",IFERROR(INDEX('Pillar-6'!$A$5:$Q$216,MATCH($B25,'Pillar-6'!$B$5:$B$216,0),MATCH(AK$1,'Pillar-6'!$A$4:$Q$4,0)),""))</f>
        <v>20</v>
      </c>
      <c r="AL25" s="71">
        <f>IF($B25="","",IFERROR(INDEX('Pillar-6'!$A$5:$Q$216,MATCH($B25,'Pillar-6'!$B$5:$B$216,0),MATCH(AL$1,'Pillar-6'!$A$4:$Q$4,0)),""))</f>
        <v>32.17</v>
      </c>
      <c r="AM25" s="71">
        <f>IF($B25="","",IFERROR(INDEX('Pillar-6'!$A$5:$Q$216,MATCH($B25,'Pillar-6'!$B$5:$B$216,0),MATCH(AM$1,'Pillar-6'!$A$4:$Q$4,0)),""))</f>
        <v>75</v>
      </c>
    </row>
    <row r="26" spans="1:39" s="35" customFormat="1" ht="20" customHeight="1">
      <c r="A26" s="35" t="str">
        <v>Philippines</v>
      </c>
      <c r="B26" s="89" t="str">
        <v>PHL</v>
      </c>
      <c r="C26" s="89" t="str">
        <f>IF($B26="","",IFERROR(INDEX(Screening!$A$2:$R$219,MATCH($B26,Screening!$B$2:$B$219,0),MATCH("Include in final index",Screening!$A$1:$R$1,0)),""))</f>
        <v>Yes</v>
      </c>
      <c r="D26" s="89">
        <f>IF($B26="","",IFERROR(INDEX('INDEX ranked'!$A$3:$J$200,MATCH($B26,'INDEX ranked'!$B$3:$B$200,0),MATCH("Rank",'INDEX ranked'!$A$2:$J$2,0)),""))</f>
        <v>30</v>
      </c>
      <c r="E26" s="71">
        <f>IF($B26="","",IFERROR(INDEX('INDEX ranked'!$A$3:$J$200,MATCH($B26,'INDEX ranked'!$B$3:$B$200,0),MATCH("Overall index score",'INDEX ranked'!$A$2:$J$2,0)),""))</f>
        <v>42.809849137002836</v>
      </c>
      <c r="F26" s="71">
        <f>IF($B26="","",IFERROR(INDEX('INDEX ranked'!$A$3:$J$200,MATCH($B26,'INDEX ranked'!$B$3:$B$200,0),MATCH(F$1,'INDEX ranked'!$A$2:$J$2,0)),""))</f>
        <v>17.658134338076483</v>
      </c>
      <c r="G26" s="71">
        <f>IF($B26="","",IFERROR(INDEX('INDEX ranked'!$A$3:$J$200,MATCH($B26,'INDEX ranked'!$B$3:$B$200,0),MATCH(G$1,'INDEX ranked'!$A$2:$J$2,0)),""))</f>
        <v>26.595277220058321</v>
      </c>
      <c r="H26" s="71">
        <f>IF($B26="","",IFERROR(INDEX('INDEX ranked'!$A$3:$J$200,MATCH($B26,'INDEX ranked'!$B$3:$B$200,0),MATCH(H$1,'INDEX ranked'!$A$2:$J$2,0)),""))</f>
        <v>49.486000000000004</v>
      </c>
      <c r="I26" s="71">
        <f>IF($B26="","",IFERROR(INDEX('INDEX ranked'!$A$3:$J$200,MATCH($B26,'INDEX ranked'!$B$3:$B$200,0),MATCH(I$1,'INDEX ranked'!$A$2:$J$2,0)),""))</f>
        <v>61.112347289841203</v>
      </c>
      <c r="J26" s="71">
        <f>IF($B26="","",IFERROR(INDEX('INDEX ranked'!$A$3:$J$200,MATCH($B26,'INDEX ranked'!$B$3:$B$200,0),MATCH(J$1,'INDEX ranked'!$A$2:$J$2,0)),""))</f>
        <v>63.059815782717557</v>
      </c>
      <c r="K26" s="71">
        <f>IF($B26="","",IFERROR(INDEX('INDEX ranked'!$A$3:$J$200,MATCH($B26,'INDEX ranked'!$B$3:$B$200,0),MATCH(K$1,'INDEX ranked'!$A$2:$J$2,0)),""))</f>
        <v>48.548249999999996</v>
      </c>
      <c r="L26" s="71">
        <f>IF($B26="","",IFERROR(INDEX('Pillar-1'!$A$5:$M$216,MATCH($B26,'Pillar-1'!$B$5:$B$216,0),MATCH(L$1,'Pillar-1'!$A$4:$M$4,0)),""))</f>
        <v>22.528682350214396</v>
      </c>
      <c r="M26" s="71">
        <f>IF($B26="","",IFERROR(INDEX('Pillar-1'!$A$5:$M$216,MATCH($B26,'Pillar-1'!$B$5:$B$216,0),MATCH(M$1,'Pillar-1'!$A$4:$M$4,0)),""))</f>
        <v>6.2774059543041787</v>
      </c>
      <c r="N26" s="71">
        <f>IF($B26="","",IFERROR(INDEX('Pillar-1'!$A$5:$M$216,MATCH($B26,'Pillar-1'!$B$5:$B$216,0),MATCH(N$1,'Pillar-1'!$A$4:$M$4,0)),""))</f>
        <v>22.542496369171971</v>
      </c>
      <c r="O26" s="71">
        <f>IF($B26="","",IFERROR(INDEX('Pillar-2'!$A$5:$S$216,MATCH($B26,'Pillar-2'!$B$5:$B$216,0),MATCH(O$1,'Pillar-2'!$A$4:$S$4,0)),""))</f>
        <v>39.341269841269799</v>
      </c>
      <c r="P26" s="71">
        <f>IF($B26="","",IFERROR(INDEX('Pillar-2'!$A$5:$S$216,MATCH($B26,'Pillar-2'!$B$5:$B$216,0),MATCH(P$1,'Pillar-2'!$A$4:$S$4,0)),""))</f>
        <v>72.582113043434831</v>
      </c>
      <c r="Q26" s="71">
        <f>IF($B26="","",IFERROR(INDEX('Pillar-2'!$A$5:$S$216,MATCH($B26,'Pillar-2'!$B$5:$B$216,0),MATCH(Q$1,'Pillar-2'!$A$4:$S$4,0)),""))</f>
        <v>57.898661926694736</v>
      </c>
      <c r="R26" s="71">
        <f>IF($B26="","",IFERROR(INDEX('Pillar-2'!$A$5:$S$216,MATCH($B26,'Pillar-2'!$B$5:$B$216,0),MATCH(R$1,'Pillar-2'!$A$4:$S$4,0)),""))</f>
        <v>8.9828464548519804</v>
      </c>
      <c r="S26" s="71">
        <f>IF($B26="","",IFERROR(INDEX('Pillar-2'!$A$5:$S$216,MATCH($B26,'Pillar-2'!$B$5:$B$216,0),MATCH(S$1,'Pillar-2'!$A$4:$S$4,0)),""))</f>
        <v>5.2950478864229993</v>
      </c>
      <c r="T26" s="71">
        <f>IF($B26="","",IFERROR(INDEX('Pillar-2'!$A$5:$S$216,MATCH($B26,'Pillar-2'!$B$5:$B$216,0),MATCH(T$1,'Pillar-2'!$A$4:$S$4,0)),""))</f>
        <v>0</v>
      </c>
      <c r="U26" s="71">
        <f>IF($B26="","",IFERROR(INDEX('Pillar-2'!$A$5:$S$216,MATCH($B26,'Pillar-2'!$B$5:$B$216,0),MATCH(U$1,'Pillar-2'!$A$4:$S$4,0)),""))</f>
        <v>20</v>
      </c>
      <c r="V26" s="71">
        <f>IF($B26="","",IFERROR(INDEX('Pillar-2'!$A$5:$S$216,MATCH($B26,'Pillar-2'!$B$5:$B$216,0),MATCH(V$1,'Pillar-2'!$A$4:$S$4,0)),""))</f>
        <v>0</v>
      </c>
      <c r="W26" s="71">
        <f>IF($B26="","",IFERROR(INDEX('Pillar-3'!$A$5:$M$217,MATCH($B26,'Pillar-3'!$B$5:$B$217,0),MATCH(W$1,'Pillar-3'!$A$4:$M$4,0)),""))</f>
        <v>52.67</v>
      </c>
      <c r="X26" s="71">
        <f>IF($B26="","",IFERROR(INDEX('Pillar-3'!$A$5:$M$217,MATCH($B26,'Pillar-3'!$B$5:$B$217,0),MATCH(X$1,'Pillar-3'!$A$4:$M$4,0)),""))</f>
        <v>54.15</v>
      </c>
      <c r="Y26" s="71">
        <f>IF($B26="","",IFERROR(INDEX('Pillar-3'!$A$5:$M$217,MATCH($B26,'Pillar-3'!$B$5:$B$217,0),MATCH(Y$1,'Pillar-3'!$A$4:$M$4,0)),""))</f>
        <v>56.11</v>
      </c>
      <c r="Z26" s="71">
        <f>IF($B26="","",IFERROR(INDEX('Pillar-3'!$A$5:$M$217,MATCH($B26,'Pillar-3'!$B$5:$B$217,0),MATCH(Z$1,'Pillar-3'!$A$4:$M$4,0)),""))</f>
        <v>47.09</v>
      </c>
      <c r="AA26" s="71">
        <f>IF($B26="","",IFERROR(INDEX('Pillar-3'!$A$5:$M$217,MATCH($B26,'Pillar-3'!$B$5:$B$217,0),MATCH(AA$1,'Pillar-3'!$A$4:$M$4,0)),""))</f>
        <v>36.18</v>
      </c>
      <c r="AB26" s="71">
        <f>IF($B26="","",IFERROR(INDEX('Pillar-4'!$A$5:$R$217,MATCH($B26,'Pillar-4'!$B$5:$B$217,0),MATCH(AB$1,'Pillar-4'!$A$4:$R$4,0)),""))</f>
        <v>43.202554953312493</v>
      </c>
      <c r="AC26" s="71">
        <f>IF($B26="","",IFERROR(INDEX('Pillar-4'!$A$5:$R$217,MATCH($B26,'Pillar-4'!$B$5:$B$217,0),MATCH(AC$1,'Pillar-4'!$A$4:$R$4,0)),""))</f>
        <v>68.942154948680084</v>
      </c>
      <c r="AD26" s="71">
        <f>IF($B26="","",IFERROR(INDEX('Pillar-4'!$A$5:$R$217,MATCH($B26,'Pillar-4'!$B$5:$B$217,0),MATCH(AD$1,'Pillar-4'!$A$4:$R$4,0)),""))</f>
        <v>67.889368729617914</v>
      </c>
      <c r="AE26" s="71">
        <f>IF($B26="","",IFERROR(INDEX('Pillar-4'!$A$5:$R$217,MATCH($B26,'Pillar-4'!$B$5:$B$217,0),MATCH(AE$1,'Pillar-4'!$A$4:$R$4,0)),""))</f>
        <v>80</v>
      </c>
      <c r="AF26" s="71">
        <f>IF($B26="","",IFERROR(INDEX('Pillar-4'!$A$5:$R$217,MATCH($B26,'Pillar-4'!$B$5:$B$217,0),MATCH(AF$1,'Pillar-4'!$A$4:$R$4,0)),""))</f>
        <v>50</v>
      </c>
      <c r="AG26" s="71">
        <f>IF($B26="","",IFERROR(INDEX('Pillar-5'!$A$5:$Q$216,MATCH($B26,'Pillar-5'!$B$5:$B$216,0),MATCH(AG$1,'Pillar-5'!$A$4:$Q$4,0)),""))</f>
        <v>24.925395321228478</v>
      </c>
      <c r="AH26" s="71">
        <f>IF($B26="","",IFERROR(INDEX('Pillar-5'!$A$5:$Q$216,MATCH($B26,'Pillar-5'!$B$5:$B$216,0),MATCH(AH$1,'Pillar-5'!$A$4:$Q$4,0)),""))</f>
        <v>100</v>
      </c>
      <c r="AI26" s="71">
        <f>IF($B26="","",IFERROR(INDEX('Pillar-5'!$A$5:$Q$216,MATCH($B26,'Pillar-5'!$B$5:$B$216,0),MATCH(AI$1,'Pillar-5'!$A$4:$Q$4,0)),""))</f>
        <v>62.248666666666665</v>
      </c>
      <c r="AJ26" s="71">
        <f>IF($B26="","",IFERROR(INDEX('Pillar-5'!$A$5:$Q$216,MATCH($B26,'Pillar-5'!$B$5:$B$216,0),MATCH(AJ$1,'Pillar-5'!$A$4:$Q$4,0)),""))</f>
        <v>72.529855412062716</v>
      </c>
      <c r="AK26" s="71">
        <f>IF($B26="","",IFERROR(INDEX('Pillar-6'!$A$5:$Q$216,MATCH($B26,'Pillar-6'!$B$5:$B$216,0),MATCH(AK$1,'Pillar-6'!$A$4:$Q$4,0)),""))</f>
        <v>20</v>
      </c>
      <c r="AL26" s="71">
        <f>IF($B26="","",IFERROR(INDEX('Pillar-6'!$A$5:$Q$216,MATCH($B26,'Pillar-6'!$B$5:$B$216,0),MATCH(AL$1,'Pillar-6'!$A$4:$Q$4,0)),""))</f>
        <v>47.884999999999998</v>
      </c>
      <c r="AM26" s="71">
        <f>IF($B26="","",IFERROR(INDEX('Pillar-6'!$A$5:$Q$216,MATCH($B26,'Pillar-6'!$B$5:$B$216,0),MATCH(AM$1,'Pillar-6'!$A$4:$Q$4,0)),""))</f>
        <v>100</v>
      </c>
    </row>
    <row r="27" spans="1:39" s="35" customFormat="1" ht="20" customHeight="1">
      <c r="A27" s="35" t="str">
        <v>Poland</v>
      </c>
      <c r="B27" s="89" t="str">
        <v>POL</v>
      </c>
      <c r="C27" s="89" t="str">
        <f>IF($B27="","",IFERROR(INDEX(Screening!$A$2:$R$219,MATCH($B27,Screening!$B$2:$B$219,0),MATCH("Include in final index",Screening!$A$1:$R$1,0)),""))</f>
        <v>Yes</v>
      </c>
      <c r="D27" s="89">
        <f>IF($B27="","",IFERROR(INDEX('INDEX ranked'!$A$3:$J$200,MATCH($B27,'INDEX ranked'!$B$3:$B$200,0),MATCH("Rank",'INDEX ranked'!$A$2:$J$2,0)),""))</f>
        <v>16</v>
      </c>
      <c r="E27" s="71">
        <f>IF($B27="","",IFERROR(INDEX('INDEX ranked'!$A$3:$J$200,MATCH($B27,'INDEX ranked'!$B$3:$B$200,0),MATCH("Overall index score",'INDEX ranked'!$A$2:$J$2,0)),""))</f>
        <v>53.974034839230896</v>
      </c>
      <c r="F27" s="71">
        <f>IF($B27="","",IFERROR(INDEX('INDEX ranked'!$A$3:$J$200,MATCH($B27,'INDEX ranked'!$B$3:$B$200,0),MATCH(F$1,'INDEX ranked'!$A$2:$J$2,0)),""))</f>
        <v>38.417097613960763</v>
      </c>
      <c r="G27" s="71">
        <f>IF($B27="","",IFERROR(INDEX('INDEX ranked'!$A$3:$J$200,MATCH($B27,'INDEX ranked'!$B$3:$B$200,0),MATCH(G$1,'INDEX ranked'!$A$2:$J$2,0)),""))</f>
        <v>88.374338950789735</v>
      </c>
      <c r="H27" s="71">
        <f>IF($B27="","",IFERROR(INDEX('INDEX ranked'!$A$3:$J$200,MATCH($B27,'INDEX ranked'!$B$3:$B$200,0),MATCH(H$1,'INDEX ranked'!$A$2:$J$2,0)),""))</f>
        <v>66.132500000000007</v>
      </c>
      <c r="I27" s="71">
        <f>IF($B27="","",IFERROR(INDEX('INDEX ranked'!$A$3:$J$200,MATCH($B27,'INDEX ranked'!$B$3:$B$200,0),MATCH(I$1,'INDEX ranked'!$A$2:$J$2,0)),""))</f>
        <v>9.9712655334538489</v>
      </c>
      <c r="J27" s="71">
        <f>IF($B27="","",IFERROR(INDEX('INDEX ranked'!$A$3:$J$200,MATCH($B27,'INDEX ranked'!$B$3:$B$200,0),MATCH(J$1,'INDEX ranked'!$A$2:$J$2,0)),""))</f>
        <v>58.078796130600125</v>
      </c>
      <c r="K27" s="71">
        <f>IF($B27="","",IFERROR(INDEX('INDEX ranked'!$A$3:$J$200,MATCH($B27,'INDEX ranked'!$B$3:$B$200,0),MATCH(K$1,'INDEX ranked'!$A$2:$J$2,0)),""))</f>
        <v>79.897999999999996</v>
      </c>
      <c r="L27" s="71">
        <f>IF($B27="","",IFERROR(INDEX('Pillar-1'!$A$5:$M$216,MATCH($B27,'Pillar-1'!$B$5:$B$216,0),MATCH(L$1,'Pillar-1'!$A$4:$M$4,0)),""))</f>
        <v>34.893962220419517</v>
      </c>
      <c r="M27" s="71">
        <f>IF($B27="","",IFERROR(INDEX('Pillar-1'!$A$5:$M$216,MATCH($B27,'Pillar-1'!$B$5:$B$216,0),MATCH(M$1,'Pillar-1'!$A$4:$M$4,0)),""))</f>
        <v>57.996768982229405</v>
      </c>
      <c r="N27" s="71">
        <f>IF($B27="","",IFERROR(INDEX('Pillar-1'!$A$5:$M$216,MATCH($B27,'Pillar-1'!$B$5:$B$216,0),MATCH(N$1,'Pillar-1'!$A$4:$M$4,0)),""))</f>
        <v>25.15765754898603</v>
      </c>
      <c r="O27" s="71">
        <f>IF($B27="","",IFERROR(INDEX('Pillar-2'!$A$5:$S$216,MATCH($B27,'Pillar-2'!$B$5:$B$216,0),MATCH(O$1,'Pillar-2'!$A$4:$S$4,0)),""))</f>
        <v>62.886243386243301</v>
      </c>
      <c r="P27" s="71">
        <f>IF($B27="","",IFERROR(INDEX('Pillar-2'!$A$5:$S$216,MATCH($B27,'Pillar-2'!$B$5:$B$216,0),MATCH(P$1,'Pillar-2'!$A$4:$S$4,0)),""))</f>
        <v>100</v>
      </c>
      <c r="Q27" s="71">
        <f>IF($B27="","",IFERROR(INDEX('Pillar-2'!$A$5:$S$216,MATCH($B27,'Pillar-2'!$B$5:$B$216,0),MATCH(Q$1,'Pillar-2'!$A$4:$S$4,0)),""))</f>
        <v>97.987221530146357</v>
      </c>
      <c r="R27" s="71">
        <f>IF($B27="","",IFERROR(INDEX('Pillar-2'!$A$5:$S$216,MATCH($B27,'Pillar-2'!$B$5:$B$216,0),MATCH(R$1,'Pillar-2'!$A$4:$S$4,0)),""))</f>
        <v>99.106637462161302</v>
      </c>
      <c r="S27" s="71">
        <f>IF($B27="","",IFERROR(INDEX('Pillar-2'!$A$5:$S$216,MATCH($B27,'Pillar-2'!$B$5:$B$216,0),MATCH(S$1,'Pillar-2'!$A$4:$S$4,0)),""))</f>
        <v>84.806055544696946</v>
      </c>
      <c r="T27" s="71">
        <f>IF($B27="","",IFERROR(INDEX('Pillar-2'!$A$5:$S$216,MATCH($B27,'Pillar-2'!$B$5:$B$216,0),MATCH(T$1,'Pillar-2'!$A$4:$S$4,0)),""))</f>
        <v>100</v>
      </c>
      <c r="U27" s="71">
        <f>IF($B27="","",IFERROR(INDEX('Pillar-2'!$A$5:$S$216,MATCH($B27,'Pillar-2'!$B$5:$B$216,0),MATCH(U$1,'Pillar-2'!$A$4:$S$4,0)),""))</f>
        <v>100</v>
      </c>
      <c r="V27" s="71">
        <f>IF($B27="","",IFERROR(INDEX('Pillar-2'!$A$5:$S$216,MATCH($B27,'Pillar-2'!$B$5:$B$216,0),MATCH(V$1,'Pillar-2'!$A$4:$S$4,0)),""))</f>
        <v>75</v>
      </c>
      <c r="W27" s="71">
        <f>IF($B27="","",IFERROR(INDEX('Pillar-3'!$A$5:$M$217,MATCH($B27,'Pillar-3'!$B$5:$B$217,0),MATCH(W$1,'Pillar-3'!$A$4:$M$4,0)),""))</f>
        <v>74.41</v>
      </c>
      <c r="X27" s="71">
        <f>IF($B27="","",IFERROR(INDEX('Pillar-3'!$A$5:$M$217,MATCH($B27,'Pillar-3'!$B$5:$B$217,0),MATCH(X$1,'Pillar-3'!$A$4:$M$4,0)),""))</f>
        <v>64.430000000000007</v>
      </c>
      <c r="Y27" s="71">
        <f>IF($B27="","",IFERROR(INDEX('Pillar-3'!$A$5:$M$217,MATCH($B27,'Pillar-3'!$B$5:$B$217,0),MATCH(Y$1,'Pillar-3'!$A$4:$M$4,0)),""))</f>
        <v>65.680000000000007</v>
      </c>
      <c r="Z27" s="71">
        <f>IF($B27="","",IFERROR(INDEX('Pillar-3'!$A$5:$M$217,MATCH($B27,'Pillar-3'!$B$5:$B$217,0),MATCH(Z$1,'Pillar-3'!$A$4:$M$4,0)),""))</f>
        <v>66.89</v>
      </c>
      <c r="AA27" s="71">
        <f>IF($B27="","",IFERROR(INDEX('Pillar-3'!$A$5:$M$217,MATCH($B27,'Pillar-3'!$B$5:$B$217,0),MATCH(AA$1,'Pillar-3'!$A$4:$M$4,0)),""))</f>
        <v>63.93</v>
      </c>
      <c r="AB27" s="71">
        <f>IF($B27="","",IFERROR(INDEX('Pillar-4'!$A$5:$R$217,MATCH($B27,'Pillar-4'!$B$5:$B$217,0),MATCH(AB$1,'Pillar-4'!$A$4:$R$4,0)),""))</f>
        <v>18.606327667269245</v>
      </c>
      <c r="AC27" s="71">
        <f>IF($B27="","",IFERROR(INDEX('Pillar-4'!$A$5:$R$217,MATCH($B27,'Pillar-4'!$B$5:$B$217,0),MATCH(AC$1,'Pillar-4'!$A$4:$R$4,0)),""))</f>
        <v>0</v>
      </c>
      <c r="AD27" s="71">
        <f>IF($B27="","",IFERROR(INDEX('Pillar-4'!$A$5:$R$217,MATCH($B27,'Pillar-4'!$B$5:$B$217,0),MATCH(AD$1,'Pillar-4'!$A$4:$R$4,0)),""))</f>
        <v>0</v>
      </c>
      <c r="AE27" s="71">
        <f>IF($B27="","",IFERROR(INDEX('Pillar-4'!$A$5:$R$217,MATCH($B27,'Pillar-4'!$B$5:$B$217,0),MATCH(AE$1,'Pillar-4'!$A$4:$R$4,0)),""))</f>
        <v>0</v>
      </c>
      <c r="AF27" s="71">
        <f>IF($B27="","",IFERROR(INDEX('Pillar-4'!$A$5:$R$217,MATCH($B27,'Pillar-4'!$B$5:$B$217,0),MATCH(AF$1,'Pillar-4'!$A$4:$R$4,0)),""))</f>
        <v>25</v>
      </c>
      <c r="AG27" s="71">
        <f>IF($B27="","",IFERROR(INDEX('Pillar-5'!$A$5:$Q$216,MATCH($B27,'Pillar-5'!$B$5:$B$216,0),MATCH(AG$1,'Pillar-5'!$A$4:$Q$4,0)),""))</f>
        <v>16.792895009404855</v>
      </c>
      <c r="AH27" s="71">
        <f>IF($B27="","",IFERROR(INDEX('Pillar-5'!$A$5:$Q$216,MATCH($B27,'Pillar-5'!$B$5:$B$216,0),MATCH(AH$1,'Pillar-5'!$A$4:$Q$4,0)),""))</f>
        <v>100</v>
      </c>
      <c r="AI27" s="71">
        <f>IF($B27="","",IFERROR(INDEX('Pillar-5'!$A$5:$Q$216,MATCH($B27,'Pillar-5'!$B$5:$B$216,0),MATCH(AI$1,'Pillar-5'!$A$4:$Q$4,0)),""))</f>
        <v>63.274000000000001</v>
      </c>
      <c r="AJ27" s="71">
        <f>IF($B27="","",IFERROR(INDEX('Pillar-5'!$A$5:$Q$216,MATCH($B27,'Pillar-5'!$B$5:$B$216,0),MATCH(AJ$1,'Pillar-5'!$A$4:$Q$4,0)),""))</f>
        <v>61.544510511114645</v>
      </c>
      <c r="AK27" s="71">
        <f>IF($B27="","",IFERROR(INDEX('Pillar-6'!$A$5:$Q$216,MATCH($B27,'Pillar-6'!$B$5:$B$216,0),MATCH(AK$1,'Pillar-6'!$A$4:$Q$4,0)),""))</f>
        <v>60</v>
      </c>
      <c r="AL27" s="71">
        <f>IF($B27="","",IFERROR(INDEX('Pillar-6'!$A$5:$Q$216,MATCH($B27,'Pillar-6'!$B$5:$B$216,0),MATCH(AL$1,'Pillar-6'!$A$4:$Q$4,0)),""))</f>
        <v>86.44</v>
      </c>
      <c r="AM27" s="71">
        <f>IF($B27="","",IFERROR(INDEX('Pillar-6'!$A$5:$Q$216,MATCH($B27,'Pillar-6'!$B$5:$B$216,0),MATCH(AM$1,'Pillar-6'!$A$4:$Q$4,0)),""))</f>
        <v>100</v>
      </c>
    </row>
    <row r="28" spans="1:39" s="35" customFormat="1" ht="20" customHeight="1">
      <c r="A28" s="35" t="str">
        <v>Russia</v>
      </c>
      <c r="B28" s="89" t="str">
        <v>RUS</v>
      </c>
      <c r="C28" s="89" t="str">
        <f>IF($B28="","",IFERROR(INDEX(Screening!$A$2:$R$219,MATCH($B28,Screening!$B$2:$B$219,0),MATCH("Include in final index",Screening!$A$1:$R$1,0)),""))</f>
        <v>Yes</v>
      </c>
      <c r="D28" s="89">
        <f>IF($B28="","",IFERROR(INDEX('INDEX ranked'!$A$3:$J$200,MATCH($B28,'INDEX ranked'!$B$3:$B$200,0),MATCH("Rank",'INDEX ranked'!$A$2:$J$2,0)),""))</f>
        <v>34</v>
      </c>
      <c r="E28" s="71">
        <f>IF($B28="","",IFERROR(INDEX('INDEX ranked'!$A$3:$J$200,MATCH($B28,'INDEX ranked'!$B$3:$B$200,0),MATCH("Overall index score",'INDEX ranked'!$A$2:$J$2,0)),""))</f>
        <v>39.304260662594956</v>
      </c>
      <c r="F28" s="71">
        <f>IF($B28="","",IFERROR(INDEX('INDEX ranked'!$A$3:$J$200,MATCH($B28,'INDEX ranked'!$B$3:$B$200,0),MATCH(F$1,'INDEX ranked'!$A$2:$J$2,0)),""))</f>
        <v>26.99308882913186</v>
      </c>
      <c r="G28" s="71">
        <f>IF($B28="","",IFERROR(INDEX('INDEX ranked'!$A$3:$J$200,MATCH($B28,'INDEX ranked'!$B$3:$B$200,0),MATCH(G$1,'INDEX ranked'!$A$2:$J$2,0)),""))</f>
        <v>32.003318388686843</v>
      </c>
      <c r="H28" s="71">
        <f>IF($B28="","",IFERROR(INDEX('INDEX ranked'!$A$3:$J$200,MATCH($B28,'INDEX ranked'!$B$3:$B$200,0),MATCH(H$1,'INDEX ranked'!$A$2:$J$2,0)),""))</f>
        <v>39.196999999999996</v>
      </c>
      <c r="I28" s="71">
        <f>IF($B28="","",IFERROR(INDEX('INDEX ranked'!$A$3:$J$200,MATCH($B28,'INDEX ranked'!$B$3:$B$200,0),MATCH(I$1,'INDEX ranked'!$A$2:$J$2,0)),""))</f>
        <v>36.105099123509248</v>
      </c>
      <c r="J28" s="71">
        <f>IF($B28="","",IFERROR(INDEX('INDEX ranked'!$A$3:$J$200,MATCH($B28,'INDEX ranked'!$B$3:$B$200,0),MATCH(J$1,'INDEX ranked'!$A$2:$J$2,0)),""))</f>
        <v>51.85706262886243</v>
      </c>
      <c r="K28" s="71">
        <f>IF($B28="","",IFERROR(INDEX('INDEX ranked'!$A$3:$J$200,MATCH($B28,'INDEX ranked'!$B$3:$B$200,0),MATCH(K$1,'INDEX ranked'!$A$2:$J$2,0)),""))</f>
        <v>66.258499999999998</v>
      </c>
      <c r="L28" s="71">
        <f>IF($B28="","",IFERROR(INDEX('Pillar-1'!$A$5:$M$216,MATCH($B28,'Pillar-1'!$B$5:$B$216,0),MATCH(L$1,'Pillar-1'!$A$4:$M$4,0)),""))</f>
        <v>19.770541198284857</v>
      </c>
      <c r="M28" s="71">
        <f>IF($B28="","",IFERROR(INDEX('Pillar-1'!$A$5:$M$216,MATCH($B28,'Pillar-1'!$B$5:$B$216,0),MATCH(M$1,'Pillar-1'!$A$4:$M$4,0)),""))</f>
        <v>1.0385414262635586</v>
      </c>
      <c r="N28" s="71">
        <f>IF($B28="","",IFERROR(INDEX('Pillar-1'!$A$5:$M$216,MATCH($B28,'Pillar-1'!$B$5:$B$216,0),MATCH(N$1,'Pillar-1'!$A$4:$M$4,0)),""))</f>
        <v>56.462391376723133</v>
      </c>
      <c r="O28" s="71">
        <f>IF($B28="","",IFERROR(INDEX('Pillar-2'!$A$5:$S$216,MATCH($B28,'Pillar-2'!$B$5:$B$216,0),MATCH(O$1,'Pillar-2'!$A$4:$S$4,0)),""))</f>
        <v>29.592592592592599</v>
      </c>
      <c r="P28" s="71">
        <f>IF($B28="","",IFERROR(INDEX('Pillar-2'!$A$5:$S$216,MATCH($B28,'Pillar-2'!$B$5:$B$216,0),MATCH(P$1,'Pillar-2'!$A$4:$S$4,0)),""))</f>
        <v>87.288347513462455</v>
      </c>
      <c r="Q28" s="71">
        <f>IF($B28="","",IFERROR(INDEX('Pillar-2'!$A$5:$S$216,MATCH($B28,'Pillar-2'!$B$5:$B$216,0),MATCH(Q$1,'Pillar-2'!$A$4:$S$4,0)),""))</f>
        <v>80.525495665421474</v>
      </c>
      <c r="R28" s="71">
        <f>IF($B28="","",IFERROR(INDEX('Pillar-2'!$A$5:$S$216,MATCH($B28,'Pillar-2'!$B$5:$B$216,0),MATCH(R$1,'Pillar-2'!$A$4:$S$4,0)),""))</f>
        <v>36.768144119311899</v>
      </c>
      <c r="S28" s="71">
        <f>IF($B28="","",IFERROR(INDEX('Pillar-2'!$A$5:$S$216,MATCH($B28,'Pillar-2'!$B$5:$B$216,0),MATCH(S$1,'Pillar-2'!$A$4:$S$4,0)),""))</f>
        <v>2.1890936228433309</v>
      </c>
      <c r="T28" s="71">
        <f>IF($B28="","",IFERROR(INDEX('Pillar-2'!$A$5:$S$216,MATCH($B28,'Pillar-2'!$B$5:$B$216,0),MATCH(T$1,'Pillar-2'!$A$4:$S$4,0)),""))</f>
        <v>1.8517958314066303</v>
      </c>
      <c r="U28" s="71">
        <f>IF($B28="","",IFERROR(INDEX('Pillar-2'!$A$5:$S$216,MATCH($B28,'Pillar-2'!$B$5:$B$216,0),MATCH(U$1,'Pillar-2'!$A$4:$S$4,0)),""))</f>
        <v>0</v>
      </c>
      <c r="V28" s="71">
        <f>IF($B28="","",IFERROR(INDEX('Pillar-2'!$A$5:$S$216,MATCH($B28,'Pillar-2'!$B$5:$B$216,0),MATCH(V$1,'Pillar-2'!$A$4:$S$4,0)),""))</f>
        <v>0</v>
      </c>
      <c r="W28" s="71">
        <f>IF($B28="","",IFERROR(INDEX('Pillar-3'!$A$5:$M$217,MATCH($B28,'Pillar-3'!$B$5:$B$217,0),MATCH(W$1,'Pillar-3'!$A$4:$M$4,0)),""))</f>
        <v>50.46</v>
      </c>
      <c r="X28" s="71">
        <f>IF($B28="","",IFERROR(INDEX('Pillar-3'!$A$5:$M$217,MATCH($B28,'Pillar-3'!$B$5:$B$217,0),MATCH(X$1,'Pillar-3'!$A$4:$M$4,0)),""))</f>
        <v>45.09</v>
      </c>
      <c r="Y28" s="71">
        <f>IF($B28="","",IFERROR(INDEX('Pillar-3'!$A$5:$M$217,MATCH($B28,'Pillar-3'!$B$5:$B$217,0),MATCH(Y$1,'Pillar-3'!$A$4:$M$4,0)),""))</f>
        <v>38.01</v>
      </c>
      <c r="Z28" s="71">
        <f>IF($B28="","",IFERROR(INDEX('Pillar-3'!$A$5:$M$217,MATCH($B28,'Pillar-3'!$B$5:$B$217,0),MATCH(Z$1,'Pillar-3'!$A$4:$M$4,0)),""))</f>
        <v>37.06</v>
      </c>
      <c r="AA28" s="71">
        <f>IF($B28="","",IFERROR(INDEX('Pillar-3'!$A$5:$M$217,MATCH($B28,'Pillar-3'!$B$5:$B$217,0),MATCH(AA$1,'Pillar-3'!$A$4:$M$4,0)),""))</f>
        <v>29.82</v>
      </c>
      <c r="AB28" s="71">
        <f>IF($B28="","",IFERROR(INDEX('Pillar-4'!$A$5:$R$217,MATCH($B28,'Pillar-4'!$B$5:$B$217,0),MATCH(AB$1,'Pillar-4'!$A$4:$R$4,0)),""))</f>
        <v>27.909491500903865</v>
      </c>
      <c r="AC28" s="71">
        <f>IF($B28="","",IFERROR(INDEX('Pillar-4'!$A$5:$R$217,MATCH($B28,'Pillar-4'!$B$5:$B$217,0),MATCH(AC$1,'Pillar-4'!$A$4:$R$4,0)),""))</f>
        <v>70.367559715509614</v>
      </c>
      <c r="AD28" s="71">
        <f>IF($B28="","",IFERROR(INDEX('Pillar-4'!$A$5:$R$217,MATCH($B28,'Pillar-4'!$B$5:$B$217,0),MATCH(AD$1,'Pillar-4'!$A$4:$R$4,0)),""))</f>
        <v>67.997925868177006</v>
      </c>
      <c r="AE28" s="71">
        <f>IF($B28="","",IFERROR(INDEX('Pillar-4'!$A$5:$R$217,MATCH($B28,'Pillar-4'!$B$5:$B$217,0),MATCH(AE$1,'Pillar-4'!$A$4:$R$4,0)),""))</f>
        <v>0</v>
      </c>
      <c r="AF28" s="71">
        <f>IF($B28="","",IFERROR(INDEX('Pillar-4'!$A$5:$R$217,MATCH($B28,'Pillar-4'!$B$5:$B$217,0),MATCH(AF$1,'Pillar-4'!$A$4:$R$4,0)),""))</f>
        <v>25</v>
      </c>
      <c r="AG28" s="71">
        <f>IF($B28="","",IFERROR(INDEX('Pillar-5'!$A$5:$Q$216,MATCH($B28,'Pillar-5'!$B$5:$B$216,0),MATCH(AG$1,'Pillar-5'!$A$4:$Q$4,0)),""))</f>
        <v>24.073688125567905</v>
      </c>
      <c r="AH28" s="71">
        <f>IF($B28="","",IFERROR(INDEX('Pillar-5'!$A$5:$Q$216,MATCH($B28,'Pillar-5'!$B$5:$B$216,0),MATCH(AH$1,'Pillar-5'!$A$4:$Q$4,0)),""))</f>
        <v>75</v>
      </c>
      <c r="AI28" s="71">
        <f>IF($B28="","",IFERROR(INDEX('Pillar-5'!$A$5:$Q$216,MATCH($B28,'Pillar-5'!$B$5:$B$216,0),MATCH(AI$1,'Pillar-5'!$A$4:$Q$4,0)),""))</f>
        <v>90.161333333333332</v>
      </c>
      <c r="AJ28" s="71">
        <f>IF($B28="","",IFERROR(INDEX('Pillar-5'!$A$5:$Q$216,MATCH($B28,'Pillar-5'!$B$5:$B$216,0),MATCH(AJ$1,'Pillar-5'!$A$4:$Q$4,0)),""))</f>
        <v>31.410758098101578</v>
      </c>
      <c r="AK28" s="71">
        <f>IF($B28="","",IFERROR(INDEX('Pillar-6'!$A$5:$Q$216,MATCH($B28,'Pillar-6'!$B$5:$B$216,0),MATCH(AK$1,'Pillar-6'!$A$4:$Q$4,0)),""))</f>
        <v>15</v>
      </c>
      <c r="AL28" s="71">
        <f>IF($B28="","",IFERROR(INDEX('Pillar-6'!$A$5:$Q$216,MATCH($B28,'Pillar-6'!$B$5:$B$216,0),MATCH(AL$1,'Pillar-6'!$A$4:$Q$4,0)),""))</f>
        <v>91.13</v>
      </c>
      <c r="AM28" s="71">
        <f>IF($B28="","",IFERROR(INDEX('Pillar-6'!$A$5:$Q$216,MATCH($B28,'Pillar-6'!$B$5:$B$216,0),MATCH(AM$1,'Pillar-6'!$A$4:$Q$4,0)),""))</f>
        <v>100</v>
      </c>
    </row>
    <row r="29" spans="1:39" s="35" customFormat="1" ht="20" customHeight="1">
      <c r="A29" s="35" t="str">
        <v>Serbia</v>
      </c>
      <c r="B29" s="89" t="str">
        <v>SRB</v>
      </c>
      <c r="C29" s="89" t="str">
        <f>IF($B29="","",IFERROR(INDEX(Screening!$A$2:$R$219,MATCH($B29,Screening!$B$2:$B$219,0),MATCH("Include in final index",Screening!$A$1:$R$1,0)),""))</f>
        <v>Yes</v>
      </c>
      <c r="D29" s="89">
        <f>IF($B29="","",IFERROR(INDEX('INDEX ranked'!$A$3:$J$200,MATCH($B29,'INDEX ranked'!$B$3:$B$200,0),MATCH("Rank",'INDEX ranked'!$A$2:$J$2,0)),""))</f>
        <v>31</v>
      </c>
      <c r="E29" s="71">
        <f>IF($B29="","",IFERROR(INDEX('INDEX ranked'!$A$3:$J$200,MATCH($B29,'INDEX ranked'!$B$3:$B$200,0),MATCH("Overall index score",'INDEX ranked'!$A$2:$J$2,0)),""))</f>
        <v>42.714682275110107</v>
      </c>
      <c r="F29" s="71">
        <f>IF($B29="","",IFERROR(INDEX('INDEX ranked'!$A$3:$J$200,MATCH($B29,'INDEX ranked'!$B$3:$B$200,0),MATCH(F$1,'INDEX ranked'!$A$2:$J$2,0)),""))</f>
        <v>19.974587151300067</v>
      </c>
      <c r="G29" s="71">
        <f>IF($B29="","",IFERROR(INDEX('INDEX ranked'!$A$3:$J$200,MATCH($B29,'INDEX ranked'!$B$3:$B$200,0),MATCH(G$1,'INDEX ranked'!$A$2:$J$2,0)),""))</f>
        <v>73.984764796010836</v>
      </c>
      <c r="H29" s="71">
        <f>IF($B29="","",IFERROR(INDEX('INDEX ranked'!$A$3:$J$200,MATCH($B29,'INDEX ranked'!$B$3:$B$200,0),MATCH(H$1,'INDEX ranked'!$A$2:$J$2,0)),""))</f>
        <v>51.66</v>
      </c>
      <c r="I29" s="71">
        <f>IF($B29="","",IFERROR(INDEX('INDEX ranked'!$A$3:$J$200,MATCH($B29,'INDEX ranked'!$B$3:$B$200,0),MATCH(I$1,'INDEX ranked'!$A$2:$J$2,0)),""))</f>
        <v>3.7212655334538489</v>
      </c>
      <c r="J29" s="71">
        <f>IF($B29="","",IFERROR(INDEX('INDEX ranked'!$A$3:$J$200,MATCH($B29,'INDEX ranked'!$B$3:$B$200,0),MATCH(J$1,'INDEX ranked'!$A$2:$J$2,0)),""))</f>
        <v>62.030891859714337</v>
      </c>
      <c r="K29" s="71">
        <f>IF($B29="","",IFERROR(INDEX('INDEX ranked'!$A$3:$J$200,MATCH($B29,'INDEX ranked'!$B$3:$B$200,0),MATCH(K$1,'INDEX ranked'!$A$2:$J$2,0)),""))</f>
        <v>61.249250000000004</v>
      </c>
      <c r="L29" s="71">
        <f>IF($B29="","",IFERROR(INDEX('Pillar-1'!$A$5:$M$216,MATCH($B29,'Pillar-1'!$B$5:$B$216,0),MATCH(L$1,'Pillar-1'!$A$4:$M$4,0)),""))</f>
        <v>35.948545602039637</v>
      </c>
      <c r="M29" s="71">
        <f>IF($B29="","",IFERROR(INDEX('Pillar-1'!$A$5:$M$216,MATCH($B29,'Pillar-1'!$B$5:$B$216,0),MATCH(M$1,'Pillar-1'!$A$4:$M$4,0)),""))</f>
        <v>8.4006462035541194</v>
      </c>
      <c r="N29" s="71">
        <f>IF($B29="","",IFERROR(INDEX('Pillar-1'!$A$5:$M$216,MATCH($B29,'Pillar-1'!$B$5:$B$216,0),MATCH(N$1,'Pillar-1'!$A$4:$M$4,0)),""))</f>
        <v>13.92114951291417</v>
      </c>
      <c r="O29" s="71">
        <f>IF($B29="","",IFERROR(INDEX('Pillar-2'!$A$5:$S$216,MATCH($B29,'Pillar-2'!$B$5:$B$216,0),MATCH(O$1,'Pillar-2'!$A$4:$S$4,0)),""))</f>
        <v>50.711640211640201</v>
      </c>
      <c r="P29" s="71">
        <f>IF($B29="","",IFERROR(INDEX('Pillar-2'!$A$5:$S$216,MATCH($B29,'Pillar-2'!$B$5:$B$216,0),MATCH(P$1,'Pillar-2'!$A$4:$S$4,0)),""))</f>
        <v>100</v>
      </c>
      <c r="Q29" s="71">
        <f>IF($B29="","",IFERROR(INDEX('Pillar-2'!$A$5:$S$216,MATCH($B29,'Pillar-2'!$B$5:$B$216,0),MATCH(Q$1,'Pillar-2'!$A$4:$S$4,0)),""))</f>
        <v>100</v>
      </c>
      <c r="R29" s="71">
        <f>IF($B29="","",IFERROR(INDEX('Pillar-2'!$A$5:$S$216,MATCH($B29,'Pillar-2'!$B$5:$B$216,0),MATCH(R$1,'Pillar-2'!$A$4:$S$4,0)),""))</f>
        <v>71.87261585410873</v>
      </c>
      <c r="S29" s="71">
        <f>IF($B29="","",IFERROR(INDEX('Pillar-2'!$A$5:$S$216,MATCH($B29,'Pillar-2'!$B$5:$B$216,0),MATCH(S$1,'Pillar-2'!$A$4:$S$4,0)),""))</f>
        <v>31.038220295314417</v>
      </c>
      <c r="T29" s="71">
        <f>IF($B29="","",IFERROR(INDEX('Pillar-2'!$A$5:$S$216,MATCH($B29,'Pillar-2'!$B$5:$B$216,0),MATCH(T$1,'Pillar-2'!$A$4:$S$4,0)),""))</f>
        <v>56.875845408540307</v>
      </c>
      <c r="U29" s="71">
        <f>IF($B29="","",IFERROR(INDEX('Pillar-2'!$A$5:$S$216,MATCH($B29,'Pillar-2'!$B$5:$B$216,0),MATCH(U$1,'Pillar-2'!$A$4:$S$4,0)),""))</f>
        <v>100</v>
      </c>
      <c r="V29" s="71">
        <f>IF($B29="","",IFERROR(INDEX('Pillar-2'!$A$5:$S$216,MATCH($B29,'Pillar-2'!$B$5:$B$216,0),MATCH(V$1,'Pillar-2'!$A$4:$S$4,0)),""))</f>
        <v>75</v>
      </c>
      <c r="W29" s="71">
        <f>IF($B29="","",IFERROR(INDEX('Pillar-3'!$A$5:$M$217,MATCH($B29,'Pillar-3'!$B$5:$B$217,0),MATCH(W$1,'Pillar-3'!$A$4:$M$4,0)),""))</f>
        <v>63.01</v>
      </c>
      <c r="X29" s="71">
        <f>IF($B29="","",IFERROR(INDEX('Pillar-3'!$A$5:$M$217,MATCH($B29,'Pillar-3'!$B$5:$B$217,0),MATCH(X$1,'Pillar-3'!$A$4:$M$4,0)),""))</f>
        <v>53.32</v>
      </c>
      <c r="Y29" s="71">
        <f>IF($B29="","",IFERROR(INDEX('Pillar-3'!$A$5:$M$217,MATCH($B29,'Pillar-3'!$B$5:$B$217,0),MATCH(Y$1,'Pillar-3'!$A$4:$M$4,0)),""))</f>
        <v>56.1</v>
      </c>
      <c r="Z29" s="71">
        <f>IF($B29="","",IFERROR(INDEX('Pillar-3'!$A$5:$M$217,MATCH($B29,'Pillar-3'!$B$5:$B$217,0),MATCH(Z$1,'Pillar-3'!$A$4:$M$4,0)),""))</f>
        <v>53.52</v>
      </c>
      <c r="AA29" s="71">
        <f>IF($B29="","",IFERROR(INDEX('Pillar-3'!$A$5:$M$217,MATCH($B29,'Pillar-3'!$B$5:$B$217,0),MATCH(AA$1,'Pillar-3'!$A$4:$M$4,0)),""))</f>
        <v>36.5</v>
      </c>
      <c r="AB29" s="71">
        <f>IF($B29="","",IFERROR(INDEX('Pillar-4'!$A$5:$R$217,MATCH($B29,'Pillar-4'!$B$5:$B$217,0),MATCH(AB$1,'Pillar-4'!$A$4:$R$4,0)),""))</f>
        <v>18.606327667269245</v>
      </c>
      <c r="AC29" s="71">
        <f>IF($B29="","",IFERROR(INDEX('Pillar-4'!$A$5:$R$217,MATCH($B29,'Pillar-4'!$B$5:$B$217,0),MATCH(AC$1,'Pillar-4'!$A$4:$R$4,0)),""))</f>
        <v>0</v>
      </c>
      <c r="AD29" s="71">
        <f>IF($B29="","",IFERROR(INDEX('Pillar-4'!$A$5:$R$217,MATCH($B29,'Pillar-4'!$B$5:$B$217,0),MATCH(AD$1,'Pillar-4'!$A$4:$R$4,0)),""))</f>
        <v>0</v>
      </c>
      <c r="AE29" s="71">
        <f>IF($B29="","",IFERROR(INDEX('Pillar-4'!$A$5:$R$217,MATCH($B29,'Pillar-4'!$B$5:$B$217,0),MATCH(AE$1,'Pillar-4'!$A$4:$R$4,0)),""))</f>
        <v>0</v>
      </c>
      <c r="AF29" s="71">
        <f>IF($B29="","",IFERROR(INDEX('Pillar-4'!$A$5:$R$217,MATCH($B29,'Pillar-4'!$B$5:$B$217,0),MATCH(AF$1,'Pillar-4'!$A$4:$R$4,0)),""))</f>
        <v>0</v>
      </c>
      <c r="AG29" s="71">
        <f>IF($B29="","",IFERROR(INDEX('Pillar-5'!$A$5:$Q$216,MATCH($B29,'Pillar-5'!$B$5:$B$216,0),MATCH(AG$1,'Pillar-5'!$A$4:$Q$4,0)),""))</f>
        <v>16.318262245133074</v>
      </c>
      <c r="AH29" s="71">
        <f>IF($B29="","",IFERROR(INDEX('Pillar-5'!$A$5:$Q$216,MATCH($B29,'Pillar-5'!$B$5:$B$216,0),MATCH(AH$1,'Pillar-5'!$A$4:$Q$4,0)),""))</f>
        <v>100</v>
      </c>
      <c r="AI29" s="71">
        <f>IF($B29="","",IFERROR(INDEX('Pillar-5'!$A$5:$Q$216,MATCH($B29,'Pillar-5'!$B$5:$B$216,0),MATCH(AI$1,'Pillar-5'!$A$4:$Q$4,0)),""))</f>
        <v>70.623999999999995</v>
      </c>
      <c r="AJ29" s="71">
        <f>IF($B29="","",IFERROR(INDEX('Pillar-5'!$A$5:$Q$216,MATCH($B29,'Pillar-5'!$B$5:$B$216,0),MATCH(AJ$1,'Pillar-5'!$A$4:$Q$4,0)),""))</f>
        <v>72.04245274469767</v>
      </c>
      <c r="AK29" s="71">
        <f>IF($B29="","",IFERROR(INDEX('Pillar-6'!$A$5:$Q$216,MATCH($B29,'Pillar-6'!$B$5:$B$216,0),MATCH(AK$1,'Pillar-6'!$A$4:$Q$4,0)),""))</f>
        <v>40</v>
      </c>
      <c r="AL29" s="71">
        <f>IF($B29="","",IFERROR(INDEX('Pillar-6'!$A$5:$Q$216,MATCH($B29,'Pillar-6'!$B$5:$B$216,0),MATCH(AL$1,'Pillar-6'!$A$4:$Q$4,0)),""))</f>
        <v>71.665000000000006</v>
      </c>
      <c r="AM29" s="71">
        <f>IF($B29="","",IFERROR(INDEX('Pillar-6'!$A$5:$Q$216,MATCH($B29,'Pillar-6'!$B$5:$B$216,0),MATCH(AM$1,'Pillar-6'!$A$4:$Q$4,0)),""))</f>
        <v>75</v>
      </c>
    </row>
    <row r="30" spans="1:39" s="35" customFormat="1" ht="20" customHeight="1">
      <c r="A30" s="35" t="str">
        <v>South Africa</v>
      </c>
      <c r="B30" s="89" t="str">
        <v>ZAF</v>
      </c>
      <c r="C30" s="89" t="str">
        <f>IF($B30="","",IFERROR(INDEX(Screening!$A$2:$R$219,MATCH($B30,Screening!$B$2:$B$219,0),MATCH("Include in final index",Screening!$A$1:$R$1,0)),""))</f>
        <v>Yes</v>
      </c>
      <c r="D30" s="89">
        <f>IF($B30="","",IFERROR(INDEX('INDEX ranked'!$A$3:$J$200,MATCH($B30,'INDEX ranked'!$B$3:$B$200,0),MATCH("Rank",'INDEX ranked'!$A$2:$J$2,0)),""))</f>
        <v>24</v>
      </c>
      <c r="E30" s="71">
        <f>IF($B30="","",IFERROR(INDEX('INDEX ranked'!$A$3:$J$200,MATCH($B30,'INDEX ranked'!$B$3:$B$200,0),MATCH("Overall index score",'INDEX ranked'!$A$2:$J$2,0)),""))</f>
        <v>47.932745548006302</v>
      </c>
      <c r="F30" s="71">
        <f>IF($B30="","",IFERROR(INDEX('INDEX ranked'!$A$3:$J$200,MATCH($B30,'INDEX ranked'!$B$3:$B$200,0),MATCH(F$1,'INDEX ranked'!$A$2:$J$2,0)),""))</f>
        <v>14.178941797262238</v>
      </c>
      <c r="G30" s="71">
        <f>IF($B30="","",IFERROR(INDEX('INDEX ranked'!$A$3:$J$200,MATCH($B30,'INDEX ranked'!$B$3:$B$200,0),MATCH(G$1,'INDEX ranked'!$A$2:$J$2,0)),""))</f>
        <v>58.737634483183449</v>
      </c>
      <c r="H30" s="71">
        <f>IF($B30="","",IFERROR(INDEX('INDEX ranked'!$A$3:$J$200,MATCH($B30,'INDEX ranked'!$B$3:$B$200,0),MATCH(H$1,'INDEX ranked'!$A$2:$J$2,0)),""))</f>
        <v>50.998000000000005</v>
      </c>
      <c r="I30" s="71">
        <f>IF($B30="","",IFERROR(INDEX('INDEX ranked'!$A$3:$J$200,MATCH($B30,'INDEX ranked'!$B$3:$B$200,0),MATCH(I$1,'INDEX ranked'!$A$2:$J$2,0)),""))</f>
        <v>61.914317026506964</v>
      </c>
      <c r="J30" s="71">
        <f>IF($B30="","",IFERROR(INDEX('INDEX ranked'!$A$3:$J$200,MATCH($B30,'INDEX ranked'!$B$3:$B$200,0),MATCH(J$1,'INDEX ranked'!$A$2:$J$2,0)),""))</f>
        <v>57.385112577438449</v>
      </c>
      <c r="K30" s="71">
        <f>IF($B30="","",IFERROR(INDEX('INDEX ranked'!$A$3:$J$200,MATCH($B30,'INDEX ranked'!$B$3:$B$200,0),MATCH(K$1,'INDEX ranked'!$A$2:$J$2,0)),""))</f>
        <v>47.090999999999994</v>
      </c>
      <c r="L30" s="71">
        <f>IF($B30="","",IFERROR(INDEX('Pillar-1'!$A$5:$M$216,MATCH($B30,'Pillar-1'!$B$5:$B$216,0),MATCH(L$1,'Pillar-1'!$A$4:$M$4,0)),""))</f>
        <v>13.280797311391821</v>
      </c>
      <c r="M30" s="71">
        <f>IF($B30="","",IFERROR(INDEX('Pillar-1'!$A$5:$M$216,MATCH($B30,'Pillar-1'!$B$5:$B$216,0),MATCH(M$1,'Pillar-1'!$A$4:$M$4,0)),""))</f>
        <v>27.002077082852527</v>
      </c>
      <c r="N30" s="71">
        <f>IF($B30="","",IFERROR(INDEX('Pillar-1'!$A$5:$M$216,MATCH($B30,'Pillar-1'!$B$5:$B$216,0),MATCH(N$1,'Pillar-1'!$A$4:$M$4,0)),""))</f>
        <v>4.0858274669124137</v>
      </c>
      <c r="O30" s="71">
        <f>IF($B30="","",IFERROR(INDEX('Pillar-2'!$A$5:$S$216,MATCH($B30,'Pillar-2'!$B$5:$B$216,0),MATCH(O$1,'Pillar-2'!$A$4:$S$4,0)),""))</f>
        <v>54.018518518518498</v>
      </c>
      <c r="P30" s="71">
        <f>IF($B30="","",IFERROR(INDEX('Pillar-2'!$A$5:$S$216,MATCH($B30,'Pillar-2'!$B$5:$B$216,0),MATCH(P$1,'Pillar-2'!$A$4:$S$4,0)),""))</f>
        <v>95.395957195727334</v>
      </c>
      <c r="Q30" s="71">
        <f>IF($B30="","",IFERROR(INDEX('Pillar-2'!$A$5:$S$216,MATCH($B30,'Pillar-2'!$B$5:$B$216,0),MATCH(Q$1,'Pillar-2'!$A$4:$S$4,0)),""))</f>
        <v>100</v>
      </c>
      <c r="R30" s="71">
        <f>IF($B30="","",IFERROR(INDEX('Pillar-2'!$A$5:$S$216,MATCH($B30,'Pillar-2'!$B$5:$B$216,0),MATCH(R$1,'Pillar-2'!$A$4:$S$4,0)),""))</f>
        <v>64.819235596682546</v>
      </c>
      <c r="S30" s="71">
        <f>IF($B30="","",IFERROR(INDEX('Pillar-2'!$A$5:$S$216,MATCH($B30,'Pillar-2'!$B$5:$B$216,0),MATCH(S$1,'Pillar-2'!$A$4:$S$4,0)),""))</f>
        <v>46.290801186943611</v>
      </c>
      <c r="T30" s="71">
        <f>IF($B30="","",IFERROR(INDEX('Pillar-2'!$A$5:$S$216,MATCH($B30,'Pillar-2'!$B$5:$B$216,0),MATCH(T$1,'Pillar-2'!$A$4:$S$4,0)),""))</f>
        <v>45.735683695121374</v>
      </c>
      <c r="U30" s="71">
        <f>IF($B30="","",IFERROR(INDEX('Pillar-2'!$A$5:$S$216,MATCH($B30,'Pillar-2'!$B$5:$B$216,0),MATCH(U$1,'Pillar-2'!$A$4:$S$4,0)),""))</f>
        <v>100</v>
      </c>
      <c r="V30" s="71">
        <f>IF($B30="","",IFERROR(INDEX('Pillar-2'!$A$5:$S$216,MATCH($B30,'Pillar-2'!$B$5:$B$216,0),MATCH(V$1,'Pillar-2'!$A$4:$S$4,0)),""))</f>
        <v>0</v>
      </c>
      <c r="W30" s="71">
        <f>IF($B30="","",IFERROR(INDEX('Pillar-3'!$A$5:$M$217,MATCH($B30,'Pillar-3'!$B$5:$B$217,0),MATCH(W$1,'Pillar-3'!$A$4:$M$4,0)),""))</f>
        <v>55.35</v>
      </c>
      <c r="X30" s="71">
        <f>IF($B30="","",IFERROR(INDEX('Pillar-3'!$A$5:$M$217,MATCH($B30,'Pillar-3'!$B$5:$B$217,0),MATCH(X$1,'Pillar-3'!$A$4:$M$4,0)),""))</f>
        <v>46.95</v>
      </c>
      <c r="Y30" s="71">
        <f>IF($B30="","",IFERROR(INDEX('Pillar-3'!$A$5:$M$217,MATCH($B30,'Pillar-3'!$B$5:$B$217,0),MATCH(Y$1,'Pillar-3'!$A$4:$M$4,0)),""))</f>
        <v>53.91</v>
      </c>
      <c r="Z30" s="71">
        <f>IF($B30="","",IFERROR(INDEX('Pillar-3'!$A$5:$M$217,MATCH($B30,'Pillar-3'!$B$5:$B$217,0),MATCH(Z$1,'Pillar-3'!$A$4:$M$4,0)),""))</f>
        <v>57.27</v>
      </c>
      <c r="AA30" s="71">
        <f>IF($B30="","",IFERROR(INDEX('Pillar-3'!$A$5:$M$217,MATCH($B30,'Pillar-3'!$B$5:$B$217,0),MATCH(AA$1,'Pillar-3'!$A$4:$M$4,0)),""))</f>
        <v>43.97</v>
      </c>
      <c r="AB30" s="71">
        <f>IF($B30="","",IFERROR(INDEX('Pillar-4'!$A$5:$R$217,MATCH($B30,'Pillar-4'!$B$5:$B$217,0),MATCH(AB$1,'Pillar-4'!$A$4:$R$4,0)),""))</f>
        <v>63.567495258980586</v>
      </c>
      <c r="AC30" s="71">
        <f>IF($B30="","",IFERROR(INDEX('Pillar-4'!$A$5:$R$217,MATCH($B30,'Pillar-4'!$B$5:$B$217,0),MATCH(AC$1,'Pillar-4'!$A$4:$R$4,0)),""))</f>
        <v>81.884821634273308</v>
      </c>
      <c r="AD30" s="71">
        <f>IF($B30="","",IFERROR(INDEX('Pillar-4'!$A$5:$R$217,MATCH($B30,'Pillar-4'!$B$5:$B$217,0),MATCH(AD$1,'Pillar-4'!$A$4:$R$4,0)),""))</f>
        <v>82.159024319041237</v>
      </c>
      <c r="AE30" s="71">
        <f>IF($B30="","",IFERROR(INDEX('Pillar-4'!$A$5:$R$217,MATCH($B30,'Pillar-4'!$B$5:$B$217,0),MATCH(AE$1,'Pillar-4'!$A$4:$R$4,0)),""))</f>
        <v>40</v>
      </c>
      <c r="AF30" s="71">
        <f>IF($B30="","",IFERROR(INDEX('Pillar-4'!$A$5:$R$217,MATCH($B30,'Pillar-4'!$B$5:$B$217,0),MATCH(AF$1,'Pillar-4'!$A$4:$R$4,0)),""))</f>
        <v>50</v>
      </c>
      <c r="AG30" s="71">
        <f>IF($B30="","",IFERROR(INDEX('Pillar-5'!$A$5:$Q$216,MATCH($B30,'Pillar-5'!$B$5:$B$216,0),MATCH(AG$1,'Pillar-5'!$A$4:$Q$4,0)),""))</f>
        <v>44.723818008672154</v>
      </c>
      <c r="AH30" s="71">
        <f>IF($B30="","",IFERROR(INDEX('Pillar-5'!$A$5:$Q$216,MATCH($B30,'Pillar-5'!$B$5:$B$216,0),MATCH(AH$1,'Pillar-5'!$A$4:$Q$4,0)),""))</f>
        <v>100</v>
      </c>
      <c r="AI30" s="71">
        <f>IF($B30="","",IFERROR(INDEX('Pillar-5'!$A$5:$Q$216,MATCH($B30,'Pillar-5'!$B$5:$B$216,0),MATCH(AI$1,'Pillar-5'!$A$4:$Q$4,0)),""))</f>
        <v>49.358000000000004</v>
      </c>
      <c r="AJ30" s="71">
        <f>IF($B30="","",IFERROR(INDEX('Pillar-5'!$A$5:$Q$216,MATCH($B30,'Pillar-5'!$B$5:$B$216,0),MATCH(AJ$1,'Pillar-5'!$A$4:$Q$4,0)),""))</f>
        <v>36.385468699347214</v>
      </c>
      <c r="AK30" s="71">
        <f>IF($B30="","",IFERROR(INDEX('Pillar-6'!$A$5:$Q$216,MATCH($B30,'Pillar-6'!$B$5:$B$216,0),MATCH(AK$1,'Pillar-6'!$A$4:$Q$4,0)),""))</f>
        <v>60</v>
      </c>
      <c r="AL30" s="71">
        <f>IF($B30="","",IFERROR(INDEX('Pillar-6'!$A$5:$Q$216,MATCH($B30,'Pillar-6'!$B$5:$B$216,0),MATCH(AL$1,'Pillar-6'!$A$4:$Q$4,0)),""))</f>
        <v>57.98</v>
      </c>
      <c r="AM30" s="71">
        <f>IF($B30="","",IFERROR(INDEX('Pillar-6'!$A$5:$Q$216,MATCH($B30,'Pillar-6'!$B$5:$B$216,0),MATCH(AM$1,'Pillar-6'!$A$4:$Q$4,0)),""))</f>
        <v>0</v>
      </c>
    </row>
    <row r="31" spans="1:39" s="35" customFormat="1" ht="20" customHeight="1">
      <c r="A31" s="35" t="str">
        <v>South Korea</v>
      </c>
      <c r="B31" s="89" t="str">
        <v>KOR</v>
      </c>
      <c r="C31" s="89" t="str">
        <f>IF($B31="","",IFERROR(INDEX(Screening!$A$2:$R$219,MATCH($B31,Screening!$B$2:$B$219,0),MATCH("Include in final index",Screening!$A$1:$R$1,0)),""))</f>
        <v>Yes</v>
      </c>
      <c r="D31" s="89">
        <f>IF($B31="","",IFERROR(INDEX('INDEX ranked'!$A$3:$J$200,MATCH($B31,'INDEX ranked'!$B$3:$B$200,0),MATCH("Rank",'INDEX ranked'!$A$2:$J$2,0)),""))</f>
        <v>7</v>
      </c>
      <c r="E31" s="71">
        <f>IF($B31="","",IFERROR(INDEX('INDEX ranked'!$A$3:$J$200,MATCH($B31,'INDEX ranked'!$B$3:$B$200,0),MATCH("Overall index score",'INDEX ranked'!$A$2:$J$2,0)),""))</f>
        <v>62.724861377605393</v>
      </c>
      <c r="F31" s="71">
        <f>IF($B31="","",IFERROR(INDEX('INDEX ranked'!$A$3:$J$200,MATCH($B31,'INDEX ranked'!$B$3:$B$200,0),MATCH(F$1,'INDEX ranked'!$A$2:$J$2,0)),""))</f>
        <v>29.213945574330502</v>
      </c>
      <c r="G31" s="71">
        <f>IF($B31="","",IFERROR(INDEX('INDEX ranked'!$A$3:$J$200,MATCH($B31,'INDEX ranked'!$B$3:$B$200,0),MATCH(G$1,'INDEX ranked'!$A$2:$J$2,0)),""))</f>
        <v>75.030089147057282</v>
      </c>
      <c r="H31" s="71">
        <f>IF($B31="","",IFERROR(INDEX('INDEX ranked'!$A$3:$J$200,MATCH($B31,'INDEX ranked'!$B$3:$B$200,0),MATCH(H$1,'INDEX ranked'!$A$2:$J$2,0)),""))</f>
        <v>73.706999999999994</v>
      </c>
      <c r="I31" s="71">
        <f>IF($B31="","",IFERROR(INDEX('INDEX ranked'!$A$3:$J$200,MATCH($B31,'INDEX ranked'!$B$3:$B$200,0),MATCH(I$1,'INDEX ranked'!$A$2:$J$2,0)),""))</f>
        <v>61.533748016554775</v>
      </c>
      <c r="J31" s="71">
        <f>IF($B31="","",IFERROR(INDEX('INDEX ranked'!$A$3:$J$200,MATCH($B31,'INDEX ranked'!$B$3:$B$200,0),MATCH(J$1,'INDEX ranked'!$A$2:$J$2,0)),""))</f>
        <v>79.944198866779217</v>
      </c>
      <c r="K31" s="71">
        <f>IF($B31="","",IFERROR(INDEX('INDEX ranked'!$A$3:$J$200,MATCH($B31,'INDEX ranked'!$B$3:$B$200,0),MATCH(K$1,'INDEX ranked'!$A$2:$J$2,0)),""))</f>
        <v>65.216250000000002</v>
      </c>
      <c r="L31" s="71">
        <f>IF($B31="","",IFERROR(INDEX('Pillar-1'!$A$5:$M$216,MATCH($B31,'Pillar-1'!$B$5:$B$216,0),MATCH(L$1,'Pillar-1'!$A$4:$M$4,0)),""))</f>
        <v>10.047514196314754</v>
      </c>
      <c r="M31" s="71">
        <f>IF($B31="","",IFERROR(INDEX('Pillar-1'!$A$5:$M$216,MATCH($B31,'Pillar-1'!$B$5:$B$216,0),MATCH(M$1,'Pillar-1'!$A$4:$M$4,0)),""))</f>
        <v>12.924071082390952</v>
      </c>
      <c r="N31" s="71">
        <f>IF($B31="","",IFERROR(INDEX('Pillar-1'!$A$5:$M$216,MATCH($B31,'Pillar-1'!$B$5:$B$216,0),MATCH(N$1,'Pillar-1'!$A$4:$M$4,0)),""))</f>
        <v>62.343126516865865</v>
      </c>
      <c r="O31" s="71">
        <f>IF($B31="","",IFERROR(INDEX('Pillar-2'!$A$5:$S$216,MATCH($B31,'Pillar-2'!$B$5:$B$216,0),MATCH(O$1,'Pillar-2'!$A$4:$S$4,0)),""))</f>
        <v>61.240740740740698</v>
      </c>
      <c r="P31" s="71">
        <f>IF($B31="","",IFERROR(INDEX('Pillar-2'!$A$5:$S$216,MATCH($B31,'Pillar-2'!$B$5:$B$216,0),MATCH(P$1,'Pillar-2'!$A$4:$S$4,0)),""))</f>
        <v>100</v>
      </c>
      <c r="Q31" s="71">
        <f>IF($B31="","",IFERROR(INDEX('Pillar-2'!$A$5:$S$216,MATCH($B31,'Pillar-2'!$B$5:$B$216,0),MATCH(Q$1,'Pillar-2'!$A$4:$S$4,0)),""))</f>
        <v>100</v>
      </c>
      <c r="R31" s="71">
        <f>IF($B31="","",IFERROR(INDEX('Pillar-2'!$A$5:$S$216,MATCH($B31,'Pillar-2'!$B$5:$B$216,0),MATCH(R$1,'Pillar-2'!$A$4:$S$4,0)),""))</f>
        <v>74.678217212610434</v>
      </c>
      <c r="S31" s="71">
        <f>IF($B31="","",IFERROR(INDEX('Pillar-2'!$A$5:$S$216,MATCH($B31,'Pillar-2'!$B$5:$B$216,0),MATCH(S$1,'Pillar-2'!$A$4:$S$4,0)),""))</f>
        <v>26.553421347216542</v>
      </c>
      <c r="T31" s="71">
        <f>IF($B31="","",IFERROR(INDEX('Pillar-2'!$A$5:$S$216,MATCH($B31,'Pillar-2'!$B$5:$B$216,0),MATCH(T$1,'Pillar-2'!$A$4:$S$4,0)),""))</f>
        <v>56.667545387364584</v>
      </c>
      <c r="U31" s="71">
        <f>IF($B31="","",IFERROR(INDEX('Pillar-2'!$A$5:$S$216,MATCH($B31,'Pillar-2'!$B$5:$B$216,0),MATCH(U$1,'Pillar-2'!$A$4:$S$4,0)),""))</f>
        <v>100</v>
      </c>
      <c r="V31" s="71">
        <f>IF($B31="","",IFERROR(INDEX('Pillar-2'!$A$5:$S$216,MATCH($B31,'Pillar-2'!$B$5:$B$216,0),MATCH(V$1,'Pillar-2'!$A$4:$S$4,0)),""))</f>
        <v>75</v>
      </c>
      <c r="W31" s="71">
        <f>IF($B31="","",IFERROR(INDEX('Pillar-3'!$A$5:$M$217,MATCH($B31,'Pillar-3'!$B$5:$B$217,0),MATCH(W$1,'Pillar-3'!$A$4:$M$4,0)),""))</f>
        <v>76.819999999999993</v>
      </c>
      <c r="X31" s="71">
        <f>IF($B31="","",IFERROR(INDEX('Pillar-3'!$A$5:$M$217,MATCH($B31,'Pillar-3'!$B$5:$B$217,0),MATCH(X$1,'Pillar-3'!$A$4:$M$4,0)),""))</f>
        <v>80.25</v>
      </c>
      <c r="Y31" s="71">
        <f>IF($B31="","",IFERROR(INDEX('Pillar-3'!$A$5:$M$217,MATCH($B31,'Pillar-3'!$B$5:$B$217,0),MATCH(Y$1,'Pillar-3'!$A$4:$M$4,0)),""))</f>
        <v>70.849999999999994</v>
      </c>
      <c r="Z31" s="71">
        <f>IF($B31="","",IFERROR(INDEX('Pillar-3'!$A$5:$M$217,MATCH($B31,'Pillar-3'!$B$5:$B$217,0),MATCH(Z$1,'Pillar-3'!$A$4:$M$4,0)),""))</f>
        <v>76.2</v>
      </c>
      <c r="AA31" s="71">
        <f>IF($B31="","",IFERROR(INDEX('Pillar-3'!$A$5:$M$217,MATCH($B31,'Pillar-3'!$B$5:$B$217,0),MATCH(AA$1,'Pillar-3'!$A$4:$M$4,0)),""))</f>
        <v>65.05</v>
      </c>
      <c r="AB31" s="71">
        <f>IF($B31="","",IFERROR(INDEX('Pillar-4'!$A$5:$R$217,MATCH($B31,'Pillar-4'!$B$5:$B$217,0),MATCH(AB$1,'Pillar-4'!$A$4:$R$4,0)),""))</f>
        <v>37.212655334538489</v>
      </c>
      <c r="AC31" s="71">
        <f>IF($B31="","",IFERROR(INDEX('Pillar-4'!$A$5:$R$217,MATCH($B31,'Pillar-4'!$B$5:$B$217,0),MATCH(AC$1,'Pillar-4'!$A$4:$R$4,0)),""))</f>
        <v>84.525950047088486</v>
      </c>
      <c r="AD31" s="71">
        <f>IF($B31="","",IFERROR(INDEX('Pillar-4'!$A$5:$R$217,MATCH($B31,'Pillar-4'!$B$5:$B$217,0),MATCH(AD$1,'Pillar-4'!$A$4:$R$4,0)),""))</f>
        <v>84.573512934862521</v>
      </c>
      <c r="AE31" s="71">
        <f>IF($B31="","",IFERROR(INDEX('Pillar-4'!$A$5:$R$217,MATCH($B31,'Pillar-4'!$B$5:$B$217,0),MATCH(AE$1,'Pillar-4'!$A$4:$R$4,0)),""))</f>
        <v>60</v>
      </c>
      <c r="AF31" s="71">
        <f>IF($B31="","",IFERROR(INDEX('Pillar-4'!$A$5:$R$217,MATCH($B31,'Pillar-4'!$B$5:$B$217,0),MATCH(AF$1,'Pillar-4'!$A$4:$R$4,0)),""))</f>
        <v>50</v>
      </c>
      <c r="AG31" s="71">
        <f>IF($B31="","",IFERROR(INDEX('Pillar-5'!$A$5:$Q$216,MATCH($B31,'Pillar-5'!$B$5:$B$216,0),MATCH(AG$1,'Pillar-5'!$A$4:$Q$4,0)),""))</f>
        <v>80.17359133911809</v>
      </c>
      <c r="AH31" s="71">
        <f>IF($B31="","",IFERROR(INDEX('Pillar-5'!$A$5:$Q$216,MATCH($B31,'Pillar-5'!$B$5:$B$216,0),MATCH(AH$1,'Pillar-5'!$A$4:$Q$4,0)),""))</f>
        <v>100</v>
      </c>
      <c r="AI31" s="71">
        <f>IF($B31="","",IFERROR(INDEX('Pillar-5'!$A$5:$Q$216,MATCH($B31,'Pillar-5'!$B$5:$B$216,0),MATCH(AI$1,'Pillar-5'!$A$4:$Q$4,0)),""))</f>
        <v>66.866</v>
      </c>
      <c r="AJ31" s="71">
        <f>IF($B31="","",IFERROR(INDEX('Pillar-5'!$A$5:$Q$216,MATCH($B31,'Pillar-5'!$B$5:$B$216,0),MATCH(AJ$1,'Pillar-5'!$A$4:$Q$4,0)),""))</f>
        <v>70.07568586017517</v>
      </c>
      <c r="AK31" s="71">
        <f>IF($B31="","",IFERROR(INDEX('Pillar-6'!$A$5:$Q$216,MATCH($B31,'Pillar-6'!$B$5:$B$216,0),MATCH(AK$1,'Pillar-6'!$A$4:$Q$4,0)),""))</f>
        <v>20</v>
      </c>
      <c r="AL31" s="71">
        <f>IF($B31="","",IFERROR(INDEX('Pillar-6'!$A$5:$Q$216,MATCH($B31,'Pillar-6'!$B$5:$B$216,0),MATCH(AL$1,'Pillar-6'!$A$4:$Q$4,0)),""))</f>
        <v>84.925000000000011</v>
      </c>
      <c r="AM31" s="71">
        <f>IF($B31="","",IFERROR(INDEX('Pillar-6'!$A$5:$Q$216,MATCH($B31,'Pillar-6'!$B$5:$B$216,0),MATCH(AM$1,'Pillar-6'!$A$4:$Q$4,0)),""))</f>
        <v>100</v>
      </c>
    </row>
    <row r="32" spans="1:39" s="35" customFormat="1" ht="20" customHeight="1">
      <c r="A32" s="35" t="str">
        <v>Sri Lanka</v>
      </c>
      <c r="B32" s="89" t="str">
        <v>LKA</v>
      </c>
      <c r="C32" s="89" t="str">
        <f>IF($B32="","",IFERROR(INDEX(Screening!$A$2:$R$219,MATCH($B32,Screening!$B$2:$B$219,0),MATCH("Include in final index",Screening!$A$1:$R$1,0)),""))</f>
        <v>Yes</v>
      </c>
      <c r="D32" s="89">
        <f>IF($B32="","",IFERROR(INDEX('INDEX ranked'!$A$3:$J$200,MATCH($B32,'INDEX ranked'!$B$3:$B$200,0),MATCH("Rank",'INDEX ranked'!$A$2:$J$2,0)),""))</f>
        <v>9</v>
      </c>
      <c r="E32" s="71">
        <f>IF($B32="","",IFERROR(INDEX('INDEX ranked'!$A$3:$J$200,MATCH($B32,'INDEX ranked'!$B$3:$B$200,0),MATCH("Overall index score",'INDEX ranked'!$A$2:$J$2,0)),""))</f>
        <v>58.39363438583743</v>
      </c>
      <c r="F32" s="71">
        <f>IF($B32="","",IFERROR(INDEX('INDEX ranked'!$A$3:$J$200,MATCH($B32,'INDEX ranked'!$B$3:$B$200,0),MATCH(F$1,'INDEX ranked'!$A$2:$J$2,0)),""))</f>
        <v>55.03193888334846</v>
      </c>
      <c r="G32" s="71">
        <f>IF($B32="","",IFERROR(INDEX('INDEX ranked'!$A$3:$J$200,MATCH($B32,'INDEX ranked'!$B$3:$B$200,0),MATCH(G$1,'INDEX ranked'!$A$2:$J$2,0)),""))</f>
        <v>79.768238504064328</v>
      </c>
      <c r="H32" s="71">
        <f>IF($B32="","",IFERROR(INDEX('INDEX ranked'!$A$3:$J$200,MATCH($B32,'INDEX ranked'!$B$3:$B$200,0),MATCH(H$1,'INDEX ranked'!$A$2:$J$2,0)),""))</f>
        <v>48.545999999999999</v>
      </c>
      <c r="I32" s="71">
        <f>IF($B32="","",IFERROR(INDEX('INDEX ranked'!$A$3:$J$200,MATCH($B32,'INDEX ranked'!$B$3:$B$200,0),MATCH(I$1,'INDEX ranked'!$A$2:$J$2,0)),""))</f>
        <v>62.709379457076686</v>
      </c>
      <c r="J32" s="71">
        <f>IF($B32="","",IFERROR(INDEX('INDEX ranked'!$A$3:$J$200,MATCH($B32,'INDEX ranked'!$B$3:$B$200,0),MATCH(J$1,'INDEX ranked'!$A$2:$J$2,0)),""))</f>
        <v>38.530653446263599</v>
      </c>
      <c r="K32" s="71">
        <f>IF($B32="","",IFERROR(INDEX('INDEX ranked'!$A$3:$J$200,MATCH($B32,'INDEX ranked'!$B$3:$B$200,0),MATCH(K$1,'INDEX ranked'!$A$2:$J$2,0)),""))</f>
        <v>58.302250000000001</v>
      </c>
      <c r="L32" s="71">
        <f>IF($B32="","",IFERROR(INDEX('Pillar-1'!$A$5:$M$216,MATCH($B32,'Pillar-1'!$B$5:$B$216,0),MATCH(L$1,'Pillar-1'!$A$4:$M$4,0)),""))</f>
        <v>62.811449762429028</v>
      </c>
      <c r="M32" s="71">
        <f>IF($B32="","",IFERROR(INDEX('Pillar-1'!$A$5:$M$216,MATCH($B32,'Pillar-1'!$B$5:$B$216,0),MATCH(M$1,'Pillar-1'!$A$4:$M$4,0)),""))</f>
        <v>29.079159935379646</v>
      </c>
      <c r="N32" s="71">
        <f>IF($B32="","",IFERROR(INDEX('Pillar-1'!$A$5:$M$216,MATCH($B32,'Pillar-1'!$B$5:$B$216,0),MATCH(N$1,'Pillar-1'!$A$4:$M$4,0)),""))</f>
        <v>69.497667102526876</v>
      </c>
      <c r="O32" s="71">
        <f>IF($B32="","",IFERROR(INDEX('Pillar-2'!$A$5:$S$216,MATCH($B32,'Pillar-2'!$B$5:$B$216,0),MATCH(O$1,'Pillar-2'!$A$4:$S$4,0)),""))</f>
        <v>41.089947089947003</v>
      </c>
      <c r="P32" s="71">
        <f>IF($B32="","",IFERROR(INDEX('Pillar-2'!$A$5:$S$216,MATCH($B32,'Pillar-2'!$B$5:$B$216,0),MATCH(P$1,'Pillar-2'!$A$4:$S$4,0)),""))</f>
        <v>100</v>
      </c>
      <c r="Q32" s="71">
        <f>IF($B32="","",IFERROR(INDEX('Pillar-2'!$A$5:$S$216,MATCH($B32,'Pillar-2'!$B$5:$B$216,0),MATCH(Q$1,'Pillar-2'!$A$4:$S$4,0)),""))</f>
        <v>100</v>
      </c>
      <c r="R32" s="71">
        <f>IF($B32="","",IFERROR(INDEX('Pillar-2'!$A$5:$S$216,MATCH($B32,'Pillar-2'!$B$5:$B$216,0),MATCH(R$1,'Pillar-2'!$A$4:$S$4,0)),""))</f>
        <v>58.573080993281309</v>
      </c>
      <c r="S32" s="71">
        <f>IF($B32="","",IFERROR(INDEX('Pillar-2'!$A$5:$S$216,MATCH($B32,'Pillar-2'!$B$5:$B$216,0),MATCH(S$1,'Pillar-2'!$A$4:$S$4,0)),""))</f>
        <v>100</v>
      </c>
      <c r="T32" s="71">
        <f>IF($B32="","",IFERROR(INDEX('Pillar-2'!$A$5:$S$216,MATCH($B32,'Pillar-2'!$B$5:$B$216,0),MATCH(T$1,'Pillar-2'!$A$4:$S$4,0)),""))</f>
        <v>97.608439175961649</v>
      </c>
      <c r="U32" s="71">
        <f>IF($B32="","",IFERROR(INDEX('Pillar-2'!$A$5:$S$216,MATCH($B32,'Pillar-2'!$B$5:$B$216,0),MATCH(U$1,'Pillar-2'!$A$4:$S$4,0)),""))</f>
        <v>0</v>
      </c>
      <c r="V32" s="71">
        <f>IF($B32="","",IFERROR(INDEX('Pillar-2'!$A$5:$S$216,MATCH($B32,'Pillar-2'!$B$5:$B$216,0),MATCH(V$1,'Pillar-2'!$A$4:$S$4,0)),""))</f>
        <v>100</v>
      </c>
      <c r="W32" s="71">
        <f>IF($B32="","",IFERROR(INDEX('Pillar-3'!$A$5:$M$217,MATCH($B32,'Pillar-3'!$B$5:$B$217,0),MATCH(W$1,'Pillar-3'!$A$4:$M$4,0)),""))</f>
        <v>59.91</v>
      </c>
      <c r="X32" s="71">
        <f>IF($B32="","",IFERROR(INDEX('Pillar-3'!$A$5:$M$217,MATCH($B32,'Pillar-3'!$B$5:$B$217,0),MATCH(X$1,'Pillar-3'!$A$4:$M$4,0)),""))</f>
        <v>46</v>
      </c>
      <c r="Y32" s="71">
        <f>IF($B32="","",IFERROR(INDEX('Pillar-3'!$A$5:$M$217,MATCH($B32,'Pillar-3'!$B$5:$B$217,0),MATCH(Y$1,'Pillar-3'!$A$4:$M$4,0)),""))</f>
        <v>50.14</v>
      </c>
      <c r="Z32" s="71">
        <f>IF($B32="","",IFERROR(INDEX('Pillar-3'!$A$5:$M$217,MATCH($B32,'Pillar-3'!$B$5:$B$217,0),MATCH(Z$1,'Pillar-3'!$A$4:$M$4,0)),""))</f>
        <v>52.53</v>
      </c>
      <c r="AA32" s="71">
        <f>IF($B32="","",IFERROR(INDEX('Pillar-3'!$A$5:$M$217,MATCH($B32,'Pillar-3'!$B$5:$B$217,0),MATCH(AA$1,'Pillar-3'!$A$4:$M$4,0)),""))</f>
        <v>40.07</v>
      </c>
      <c r="AB32" s="71">
        <f>IF($B32="","",IFERROR(INDEX('Pillar-4'!$A$5:$R$217,MATCH($B32,'Pillar-4'!$B$5:$B$217,0),MATCH(AB$1,'Pillar-4'!$A$4:$R$4,0)),""))</f>
        <v>40.207605143925491</v>
      </c>
      <c r="AC32" s="71">
        <f>IF($B32="","",IFERROR(INDEX('Pillar-4'!$A$5:$R$217,MATCH($B32,'Pillar-4'!$B$5:$B$217,0),MATCH(AC$1,'Pillar-4'!$A$4:$R$4,0)),""))</f>
        <v>64.548694978848289</v>
      </c>
      <c r="AD32" s="71">
        <f>IF($B32="","",IFERROR(INDEX('Pillar-4'!$A$5:$R$217,MATCH($B32,'Pillar-4'!$B$5:$B$217,0),MATCH(AD$1,'Pillar-4'!$A$4:$R$4,0)),""))</f>
        <v>61.720796216812879</v>
      </c>
      <c r="AE32" s="71">
        <f>IF($B32="","",IFERROR(INDEX('Pillar-4'!$A$5:$R$217,MATCH($B32,'Pillar-4'!$B$5:$B$217,0),MATCH(AE$1,'Pillar-4'!$A$4:$R$4,0)),""))</f>
        <v>100</v>
      </c>
      <c r="AF32" s="71">
        <f>IF($B32="","",IFERROR(INDEX('Pillar-4'!$A$5:$R$217,MATCH($B32,'Pillar-4'!$B$5:$B$217,0),MATCH(AF$1,'Pillar-4'!$A$4:$R$4,0)),""))</f>
        <v>50</v>
      </c>
      <c r="AG32" s="71">
        <f>IF($B32="","",IFERROR(INDEX('Pillar-5'!$A$5:$Q$216,MATCH($B32,'Pillar-5'!$B$5:$B$216,0),MATCH(AG$1,'Pillar-5'!$A$4:$Q$4,0)),""))</f>
        <v>17.905585789398135</v>
      </c>
      <c r="AH32" s="71">
        <f>IF($B32="","",IFERROR(INDEX('Pillar-5'!$A$5:$Q$216,MATCH($B32,'Pillar-5'!$B$5:$B$216,0),MATCH(AH$1,'Pillar-5'!$A$4:$Q$4,0)),""))</f>
        <v>100</v>
      </c>
      <c r="AI32" s="71">
        <f>IF($B32="","",IFERROR(INDEX('Pillar-5'!$A$5:$Q$216,MATCH($B32,'Pillar-5'!$B$5:$B$216,0),MATCH(AI$1,'Pillar-5'!$A$4:$Q$4,0)),""))</f>
        <v>32.773333333333326</v>
      </c>
      <c r="AJ32" s="71">
        <f>IF($B32="","",IFERROR(INDEX('Pillar-5'!$A$5:$Q$216,MATCH($B32,'Pillar-5'!$B$5:$B$216,0),MATCH(AJ$1,'Pillar-5'!$A$4:$Q$4,0)),""))</f>
        <v>6.4172441711099708</v>
      </c>
      <c r="AK32" s="71">
        <f>IF($B32="","",IFERROR(INDEX('Pillar-6'!$A$5:$Q$216,MATCH($B32,'Pillar-6'!$B$5:$B$216,0),MATCH(AK$1,'Pillar-6'!$A$4:$Q$4,0)),""))</f>
        <v>40</v>
      </c>
      <c r="AL32" s="71">
        <f>IF($B32="","",IFERROR(INDEX('Pillar-6'!$A$5:$Q$216,MATCH($B32,'Pillar-6'!$B$5:$B$216,0),MATCH(AL$1,'Pillar-6'!$A$4:$Q$4,0)),""))</f>
        <v>54.004999999999995</v>
      </c>
      <c r="AM32" s="71">
        <f>IF($B32="","",IFERROR(INDEX('Pillar-6'!$A$5:$Q$216,MATCH($B32,'Pillar-6'!$B$5:$B$216,0),MATCH(AM$1,'Pillar-6'!$A$4:$Q$4,0)),""))</f>
        <v>100</v>
      </c>
    </row>
    <row r="33" spans="1:39" s="35" customFormat="1" ht="20" customHeight="1">
      <c r="A33" s="35" t="str">
        <v>Taiwan, China</v>
      </c>
      <c r="B33" s="89" t="str">
        <v>TWN</v>
      </c>
      <c r="C33" s="89" t="str">
        <f>IF($B33="","",IFERROR(INDEX(Screening!$A$2:$R$219,MATCH($B33,Screening!$B$2:$B$219,0),MATCH("Include in final index",Screening!$A$1:$R$1,0)),""))</f>
        <v>Yes</v>
      </c>
      <c r="D33" s="89">
        <f>IF($B33="","",IFERROR(INDEX('INDEX ranked'!$A$3:$J$200,MATCH($B33,'INDEX ranked'!$B$3:$B$200,0),MATCH("Rank",'INDEX ranked'!$A$2:$J$2,0)),""))</f>
        <v>14</v>
      </c>
      <c r="E33" s="71">
        <f>IF($B33="","",IFERROR(INDEX('INDEX ranked'!$A$3:$J$200,MATCH($B33,'INDEX ranked'!$B$3:$B$200,0),MATCH("Overall index score",'INDEX ranked'!$A$2:$J$2,0)),""))</f>
        <v>55.345146101392736</v>
      </c>
      <c r="F33" s="71">
        <f>IF($B33="","",IFERROR(INDEX('INDEX ranked'!$A$3:$J$200,MATCH($B33,'INDEX ranked'!$B$3:$B$200,0),MATCH(F$1,'INDEX ranked'!$A$2:$J$2,0)),""))</f>
        <v>16.921597041140828</v>
      </c>
      <c r="G33" s="71">
        <f>IF($B33="","",IFERROR(INDEX('INDEX ranked'!$A$3:$J$200,MATCH($B33,'INDEX ranked'!$B$3:$B$200,0),MATCH(G$1,'INDEX ranked'!$A$2:$J$2,0)),""))</f>
        <v>56.955632481765271</v>
      </c>
      <c r="H33" s="71">
        <f>IF($B33="","",IFERROR(INDEX('INDEX ranked'!$A$3:$J$200,MATCH($B33,'INDEX ranked'!$B$3:$B$200,0),MATCH(H$1,'INDEX ranked'!$A$2:$J$2,0)),""))</f>
        <v>77.265999999999991</v>
      </c>
      <c r="I33" s="71">
        <f>IF($B33="","",IFERROR(INDEX('INDEX ranked'!$A$3:$J$200,MATCH($B33,'INDEX ranked'!$B$3:$B$200,0),MATCH(I$1,'INDEX ranked'!$A$2:$J$2,0)),""))</f>
        <v>34.014834479191371</v>
      </c>
      <c r="J33" s="71">
        <f>IF($B33="","",IFERROR(INDEX('INDEX ranked'!$A$3:$J$200,MATCH($B33,'INDEX ranked'!$B$3:$B$200,0),MATCH(J$1,'INDEX ranked'!$A$2:$J$2,0)),""))</f>
        <v>87.552555339821595</v>
      </c>
      <c r="K33" s="71">
        <f>IF($B33="","",IFERROR(INDEX('INDEX ranked'!$A$3:$J$200,MATCH($B33,'INDEX ranked'!$B$3:$B$200,0),MATCH(K$1,'INDEX ranked'!$A$2:$J$2,0)),""))</f>
        <v>90.43950000000001</v>
      </c>
      <c r="L33" s="71">
        <f>IF($B33="","",IFERROR(INDEX('Pillar-1'!$A$5:$M$216,MATCH($B33,'Pillar-1'!$B$5:$B$216,0),MATCH(L$1,'Pillar-1'!$A$4:$M$4,0)),""))</f>
        <v>11.449762429018426</v>
      </c>
      <c r="M33" s="71">
        <f>IF($B33="","",IFERROR(INDEX('Pillar-1'!$A$5:$M$216,MATCH($B33,'Pillar-1'!$B$5:$B$216,0),MATCH(M$1,'Pillar-1'!$A$4:$M$4,0)),""))</f>
        <v>19.778444495730444</v>
      </c>
      <c r="N33" s="71">
        <f>IF($B33="","",IFERROR(INDEX('Pillar-1'!$A$5:$M$216,MATCH($B33,'Pillar-1'!$B$5:$B$216,0),MATCH(N$1,'Pillar-1'!$A$4:$M$4,0)),""))</f>
        <v>19.944705263614988</v>
      </c>
      <c r="O33" s="71">
        <f>IF($B33="","",IFERROR(INDEX('Pillar-2'!$A$5:$S$216,MATCH($B33,'Pillar-2'!$B$5:$B$216,0),MATCH(O$1,'Pillar-2'!$A$4:$S$4,0)),""))</f>
        <v>59.825396825396794</v>
      </c>
      <c r="P33" s="71">
        <f>IF($B33="","",IFERROR(INDEX('Pillar-2'!$A$5:$S$216,MATCH($B33,'Pillar-2'!$B$5:$B$216,0),MATCH(P$1,'Pillar-2'!$A$4:$S$4,0)),""))</f>
        <v>100</v>
      </c>
      <c r="Q33" s="71">
        <f>IF($B33="","",IFERROR(INDEX('Pillar-2'!$A$5:$S$216,MATCH($B33,'Pillar-2'!$B$5:$B$216,0),MATCH(Q$1,'Pillar-2'!$A$4:$S$4,0)),""))</f>
        <v>100</v>
      </c>
      <c r="R33" s="71">
        <f>IF($B33="","",IFERROR(INDEX('Pillar-2'!$A$5:$S$216,MATCH($B33,'Pillar-2'!$B$5:$B$216,0),MATCH(R$1,'Pillar-2'!$A$4:$S$4,0)),""))</f>
        <v>63.938178327960038</v>
      </c>
      <c r="S33" s="71">
        <f>IF($B33="","",IFERROR(INDEX('Pillar-2'!$A$5:$S$216,MATCH($B33,'Pillar-2'!$B$5:$B$216,0),MATCH(S$1,'Pillar-2'!$A$4:$S$4,0)),""))</f>
        <v>37.626823504326659</v>
      </c>
      <c r="T33" s="71">
        <f>IF($B33="","",IFERROR(INDEX('Pillar-2'!$A$5:$S$216,MATCH($B33,'Pillar-2'!$B$5:$B$216,0),MATCH(T$1,'Pillar-2'!$A$4:$S$4,0)),""))</f>
        <v>19.85980803554061</v>
      </c>
      <c r="U33" s="71">
        <f>IF($B33="","",IFERROR(INDEX('Pillar-2'!$A$5:$S$216,MATCH($B33,'Pillar-2'!$B$5:$B$216,0),MATCH(U$1,'Pillar-2'!$A$4:$S$4,0)),""))</f>
        <v>100</v>
      </c>
      <c r="V33" s="71">
        <f>IF($B33="","",IFERROR(INDEX('Pillar-2'!$A$5:$S$216,MATCH($B33,'Pillar-2'!$B$5:$B$216,0),MATCH(V$1,'Pillar-2'!$A$4:$S$4,0)),""))</f>
        <v>0</v>
      </c>
      <c r="W33" s="71">
        <f>IF($B33="","",IFERROR(INDEX('Pillar-3'!$A$5:$M$217,MATCH($B33,'Pillar-3'!$B$5:$B$217,0),MATCH(W$1,'Pillar-3'!$A$4:$M$4,0)),""))</f>
        <v>81.55</v>
      </c>
      <c r="X33" s="71">
        <f>IF($B33="","",IFERROR(INDEX('Pillar-3'!$A$5:$M$217,MATCH($B33,'Pillar-3'!$B$5:$B$217,0),MATCH(X$1,'Pillar-3'!$A$4:$M$4,0)),""))</f>
        <v>80.41</v>
      </c>
      <c r="Y33" s="71">
        <f>IF($B33="","",IFERROR(INDEX('Pillar-3'!$A$5:$M$217,MATCH($B33,'Pillar-3'!$B$5:$B$217,0),MATCH(Y$1,'Pillar-3'!$A$4:$M$4,0)),""))</f>
        <v>75.290000000000006</v>
      </c>
      <c r="Z33" s="71">
        <f>IF($B33="","",IFERROR(INDEX('Pillar-3'!$A$5:$M$217,MATCH($B33,'Pillar-3'!$B$5:$B$217,0),MATCH(Z$1,'Pillar-3'!$A$4:$M$4,0)),""))</f>
        <v>79.13</v>
      </c>
      <c r="AA33" s="71">
        <f>IF($B33="","",IFERROR(INDEX('Pillar-3'!$A$5:$M$217,MATCH($B33,'Pillar-3'!$B$5:$B$217,0),MATCH(AA$1,'Pillar-3'!$A$4:$M$4,0)),""))</f>
        <v>71.8</v>
      </c>
      <c r="AB33" s="71">
        <f>IF($B33="","",IFERROR(INDEX('Pillar-4'!$A$5:$R$217,MATCH($B33,'Pillar-4'!$B$5:$B$217,0),MATCH(AB$1,'Pillar-4'!$A$4:$R$4,0)),""))</f>
        <v>33.351493481645392</v>
      </c>
      <c r="AC33" s="71">
        <f>IF($B33="","",IFERROR(INDEX('Pillar-4'!$A$5:$R$217,MATCH($B33,'Pillar-4'!$B$5:$B$217,0),MATCH(AC$1,'Pillar-4'!$A$4:$R$4,0)),""))</f>
        <v>77.738510214980465</v>
      </c>
      <c r="AD33" s="71">
        <f>IF($B33="","",IFERROR(INDEX('Pillar-4'!$A$5:$R$217,MATCH($B33,'Pillar-4'!$B$5:$B$217,0),MATCH(AD$1,'Pillar-4'!$A$4:$R$4,0)),""))</f>
        <v>78.645558265774696</v>
      </c>
      <c r="AE33" s="71">
        <f>IF($B33="","",IFERROR(INDEX('Pillar-4'!$A$5:$R$217,MATCH($B33,'Pillar-4'!$B$5:$B$217,0),MATCH(AE$1,'Pillar-4'!$A$4:$R$4,0)),""))</f>
        <v>0</v>
      </c>
      <c r="AF33" s="71">
        <f>IF($B33="","",IFERROR(INDEX('Pillar-4'!$A$5:$R$217,MATCH($B33,'Pillar-4'!$B$5:$B$217,0),MATCH(AF$1,'Pillar-4'!$A$4:$R$4,0)),""))</f>
        <v>0</v>
      </c>
      <c r="AG33" s="71">
        <f>IF($B33="","",IFERROR(INDEX('Pillar-5'!$A$5:$Q$216,MATCH($B33,'Pillar-5'!$B$5:$B$216,0),MATCH(AG$1,'Pillar-5'!$A$4:$Q$4,0)),""))</f>
        <v>97.082998422405296</v>
      </c>
      <c r="AH33" s="71">
        <f>IF($B33="","",IFERROR(INDEX('Pillar-5'!$A$5:$Q$216,MATCH($B33,'Pillar-5'!$B$5:$B$216,0),MATCH(AH$1,'Pillar-5'!$A$4:$Q$4,0)),""))</f>
        <v>100</v>
      </c>
      <c r="AI33" s="71">
        <f>IF($B33="","",IFERROR(INDEX('Pillar-5'!$A$5:$Q$216,MATCH($B33,'Pillar-5'!$B$5:$B$216,0),MATCH(AI$1,'Pillar-5'!$A$4:$Q$4,0)),""))</f>
        <v>82.145333333333326</v>
      </c>
      <c r="AJ33" s="71">
        <f>IF($B33="","",IFERROR(INDEX('Pillar-5'!$A$5:$Q$216,MATCH($B33,'Pillar-5'!$B$5:$B$216,0),MATCH(AJ$1,'Pillar-5'!$A$4:$Q$4,0)),""))</f>
        <v>67.994356585733343</v>
      </c>
      <c r="AK33" s="71">
        <f>IF($B33="","",IFERROR(INDEX('Pillar-6'!$A$5:$Q$216,MATCH($B33,'Pillar-6'!$B$5:$B$216,0),MATCH(AK$1,'Pillar-6'!$A$4:$Q$4,0)),""))</f>
        <v>80</v>
      </c>
      <c r="AL33" s="71">
        <f>IF($B33="","",IFERROR(INDEX('Pillar-6'!$A$5:$Q$216,MATCH($B33,'Pillar-6'!$B$5:$B$216,0),MATCH(AL$1,'Pillar-6'!$A$4:$Q$4,0)),""))</f>
        <v>94.31</v>
      </c>
      <c r="AM33" s="71">
        <f>IF($B33="","",IFERROR(INDEX('Pillar-6'!$A$5:$Q$216,MATCH($B33,'Pillar-6'!$B$5:$B$216,0),MATCH(AM$1,'Pillar-6'!$A$4:$Q$4,0)),""))</f>
        <v>100</v>
      </c>
    </row>
    <row r="34" spans="1:39" s="35" customFormat="1" ht="20" customHeight="1">
      <c r="A34" s="35" t="str">
        <v>Thailand</v>
      </c>
      <c r="B34" s="89" t="str">
        <v>THA</v>
      </c>
      <c r="C34" s="89" t="str">
        <f>IF($B34="","",IFERROR(INDEX(Screening!$A$2:$R$219,MATCH($B34,Screening!$B$2:$B$219,0),MATCH("Include in final index",Screening!$A$1:$R$1,0)),""))</f>
        <v>Yes</v>
      </c>
      <c r="D34" s="89">
        <f>IF($B34="","",IFERROR(INDEX('INDEX ranked'!$A$3:$J$200,MATCH($B34,'INDEX ranked'!$B$3:$B$200,0),MATCH("Rank",'INDEX ranked'!$A$2:$J$2,0)),""))</f>
        <v>12</v>
      </c>
      <c r="E34" s="71">
        <f>IF($B34="","",IFERROR(INDEX('INDEX ranked'!$A$3:$J$200,MATCH($B34,'INDEX ranked'!$B$3:$B$200,0),MATCH("Overall index score",'INDEX ranked'!$A$2:$J$2,0)),""))</f>
        <v>56.872104361610496</v>
      </c>
      <c r="F34" s="71">
        <f>IF($B34="","",IFERROR(INDEX('INDEX ranked'!$A$3:$J$200,MATCH($B34,'INDEX ranked'!$B$3:$B$200,0),MATCH(F$1,'INDEX ranked'!$A$2:$J$2,0)),""))</f>
        <v>20.944701521389248</v>
      </c>
      <c r="G34" s="71">
        <f>IF($B34="","",IFERROR(INDEX('INDEX ranked'!$A$3:$J$200,MATCH($B34,'INDEX ranked'!$B$3:$B$200,0),MATCH(G$1,'INDEX ranked'!$A$2:$J$2,0)),""))</f>
        <v>48.962463191820348</v>
      </c>
      <c r="H34" s="71">
        <f>IF($B34="","",IFERROR(INDEX('INDEX ranked'!$A$3:$J$200,MATCH($B34,'INDEX ranked'!$B$3:$B$200,0),MATCH(H$1,'INDEX ranked'!$A$2:$J$2,0)),""))</f>
        <v>51.712499999999999</v>
      </c>
      <c r="I34" s="71">
        <f>IF($B34="","",IFERROR(INDEX('INDEX ranked'!$A$3:$J$200,MATCH($B34,'INDEX ranked'!$B$3:$B$200,0),MATCH(I$1,'INDEX ranked'!$A$2:$J$2,0)),""))</f>
        <v>86.532860671660103</v>
      </c>
      <c r="J34" s="71">
        <f>IF($B34="","",IFERROR(INDEX('INDEX ranked'!$A$3:$J$200,MATCH($B34,'INDEX ranked'!$B$3:$B$200,0),MATCH(J$1,'INDEX ranked'!$A$2:$J$2,0)),""))</f>
        <v>78.799661897577067</v>
      </c>
      <c r="K34" s="71">
        <f>IF($B34="","",IFERROR(INDEX('INDEX ranked'!$A$3:$J$200,MATCH($B34,'INDEX ranked'!$B$3:$B$200,0),MATCH(K$1,'INDEX ranked'!$A$2:$J$2,0)),""))</f>
        <v>60.072750000000006</v>
      </c>
      <c r="L34" s="71">
        <f>IF($B34="","",IFERROR(INDEX('Pillar-1'!$A$5:$M$216,MATCH($B34,'Pillar-1'!$B$5:$B$216,0),MATCH(L$1,'Pillar-1'!$A$4:$M$4,0)),""))</f>
        <v>15.980994321474098</v>
      </c>
      <c r="M34" s="71">
        <f>IF($B34="","",IFERROR(INDEX('Pillar-1'!$A$5:$M$216,MATCH($B34,'Pillar-1'!$B$5:$B$216,0),MATCH(M$1,'Pillar-1'!$A$4:$M$4,0)),""))</f>
        <v>9.7853681052388666</v>
      </c>
      <c r="N34" s="71">
        <f>IF($B34="","",IFERROR(INDEX('Pillar-1'!$A$5:$M$216,MATCH($B34,'Pillar-1'!$B$5:$B$216,0),MATCH(N$1,'Pillar-1'!$A$4:$M$4,0)),""))</f>
        <v>35.473551649433297</v>
      </c>
      <c r="O34" s="71">
        <f>IF($B34="","",IFERROR(INDEX('Pillar-2'!$A$5:$S$216,MATCH($B34,'Pillar-2'!$B$5:$B$216,0),MATCH(O$1,'Pillar-2'!$A$4:$S$4,0)),""))</f>
        <v>49.592592592592602</v>
      </c>
      <c r="P34" s="71">
        <f>IF($B34="","",IFERROR(INDEX('Pillar-2'!$A$5:$S$216,MATCH($B34,'Pillar-2'!$B$5:$B$216,0),MATCH(P$1,'Pillar-2'!$A$4:$S$4,0)),""))</f>
        <v>100</v>
      </c>
      <c r="Q34" s="71">
        <f>IF($B34="","",IFERROR(INDEX('Pillar-2'!$A$5:$S$216,MATCH($B34,'Pillar-2'!$B$5:$B$216,0),MATCH(Q$1,'Pillar-2'!$A$4:$S$4,0)),""))</f>
        <v>100</v>
      </c>
      <c r="R34" s="71">
        <f>IF($B34="","",IFERROR(INDEX('Pillar-2'!$A$5:$S$216,MATCH($B34,'Pillar-2'!$B$5:$B$216,0),MATCH(R$1,'Pillar-2'!$A$4:$S$4,0)),""))</f>
        <v>55.01931927251249</v>
      </c>
      <c r="S34" s="71">
        <f>IF($B34="","",IFERROR(INDEX('Pillar-2'!$A$5:$S$216,MATCH($B34,'Pillar-2'!$B$5:$B$216,0),MATCH(S$1,'Pillar-2'!$A$4:$S$4,0)),""))</f>
        <v>9.3960447058405485</v>
      </c>
      <c r="T34" s="71">
        <f>IF($B34="","",IFERROR(INDEX('Pillar-2'!$A$5:$S$216,MATCH($B34,'Pillar-2'!$B$5:$B$216,0),MATCH(T$1,'Pillar-2'!$A$4:$S$4,0)),""))</f>
        <v>21.018855041335868</v>
      </c>
      <c r="U34" s="71">
        <f>IF($B34="","",IFERROR(INDEX('Pillar-2'!$A$5:$S$216,MATCH($B34,'Pillar-2'!$B$5:$B$216,0),MATCH(U$1,'Pillar-2'!$A$4:$S$4,0)),""))</f>
        <v>70</v>
      </c>
      <c r="V34" s="71">
        <f>IF($B34="","",IFERROR(INDEX('Pillar-2'!$A$5:$S$216,MATCH($B34,'Pillar-2'!$B$5:$B$216,0),MATCH(V$1,'Pillar-2'!$A$4:$S$4,0)),""))</f>
        <v>0</v>
      </c>
      <c r="W34" s="71">
        <f>IF($B34="","",IFERROR(INDEX('Pillar-3'!$A$5:$M$217,MATCH($B34,'Pillar-3'!$B$5:$B$217,0),MATCH(W$1,'Pillar-3'!$A$4:$M$4,0)),""))</f>
        <v>54.22</v>
      </c>
      <c r="X34" s="71">
        <f>IF($B34="","",IFERROR(INDEX('Pillar-3'!$A$5:$M$217,MATCH($B34,'Pillar-3'!$B$5:$B$217,0),MATCH(X$1,'Pillar-3'!$A$4:$M$4,0)),""))</f>
        <v>56.27</v>
      </c>
      <c r="Y34" s="71">
        <f>IF($B34="","",IFERROR(INDEX('Pillar-3'!$A$5:$M$217,MATCH($B34,'Pillar-3'!$B$5:$B$217,0),MATCH(Y$1,'Pillar-3'!$A$4:$M$4,0)),""))</f>
        <v>56.54</v>
      </c>
      <c r="Z34" s="71">
        <f>IF($B34="","",IFERROR(INDEX('Pillar-3'!$A$5:$M$217,MATCH($B34,'Pillar-3'!$B$5:$B$217,0),MATCH(Z$1,'Pillar-3'!$A$4:$M$4,0)),""))</f>
        <v>53.26</v>
      </c>
      <c r="AA34" s="71">
        <f>IF($B34="","",IFERROR(INDEX('Pillar-3'!$A$5:$M$217,MATCH($B34,'Pillar-3'!$B$5:$B$217,0),MATCH(AA$1,'Pillar-3'!$A$4:$M$4,0)),""))</f>
        <v>37.18</v>
      </c>
      <c r="AB34" s="71">
        <f>IF($B34="","",IFERROR(INDEX('Pillar-4'!$A$5:$R$217,MATCH($B34,'Pillar-4'!$B$5:$B$217,0),MATCH(AB$1,'Pillar-4'!$A$4:$R$4,0)),""))</f>
        <v>61.673990748190874</v>
      </c>
      <c r="AC34" s="71">
        <f>IF($B34="","",IFERROR(INDEX('Pillar-4'!$A$5:$R$217,MATCH($B34,'Pillar-4'!$B$5:$B$217,0),MATCH(AC$1,'Pillar-4'!$A$4:$R$4,0)),""))</f>
        <v>83.754142366783441</v>
      </c>
      <c r="AD34" s="71">
        <f>IF($B34="","",IFERROR(INDEX('Pillar-4'!$A$5:$R$217,MATCH($B34,'Pillar-4'!$B$5:$B$217,0),MATCH(AD$1,'Pillar-4'!$A$4:$R$4,0)),""))</f>
        <v>82.981560324434952</v>
      </c>
      <c r="AE34" s="71">
        <f>IF($B34="","",IFERROR(INDEX('Pillar-4'!$A$5:$R$217,MATCH($B34,'Pillar-4'!$B$5:$B$217,0),MATCH(AE$1,'Pillar-4'!$A$4:$R$4,0)),""))</f>
        <v>100</v>
      </c>
      <c r="AF34" s="71">
        <f>IF($B34="","",IFERROR(INDEX('Pillar-4'!$A$5:$R$217,MATCH($B34,'Pillar-4'!$B$5:$B$217,0),MATCH(AF$1,'Pillar-4'!$A$4:$R$4,0)),""))</f>
        <v>100</v>
      </c>
      <c r="AG34" s="71">
        <f>IF($B34="","",IFERROR(INDEX('Pillar-5'!$A$5:$Q$216,MATCH($B34,'Pillar-5'!$B$5:$B$216,0),MATCH(AG$1,'Pillar-5'!$A$4:$Q$4,0)),""))</f>
        <v>73.54596351412593</v>
      </c>
      <c r="AH34" s="71">
        <f>IF($B34="","",IFERROR(INDEX('Pillar-5'!$A$5:$Q$216,MATCH($B34,'Pillar-5'!$B$5:$B$216,0),MATCH(AH$1,'Pillar-5'!$A$4:$Q$4,0)),""))</f>
        <v>100</v>
      </c>
      <c r="AI34" s="71">
        <f>IF($B34="","",IFERROR(INDEX('Pillar-5'!$A$5:$Q$216,MATCH($B34,'Pillar-5'!$B$5:$B$216,0),MATCH(AI$1,'Pillar-5'!$A$4:$Q$4,0)),""))</f>
        <v>58.058000000000007</v>
      </c>
      <c r="AJ34" s="71">
        <f>IF($B34="","",IFERROR(INDEX('Pillar-5'!$A$5:$Q$216,MATCH($B34,'Pillar-5'!$B$5:$B$216,0),MATCH(AJ$1,'Pillar-5'!$A$4:$Q$4,0)),""))</f>
        <v>80.497091373357193</v>
      </c>
      <c r="AK34" s="71">
        <f>IF($B34="","",IFERROR(INDEX('Pillar-6'!$A$5:$Q$216,MATCH($B34,'Pillar-6'!$B$5:$B$216,0),MATCH(AK$1,'Pillar-6'!$A$4:$Q$4,0)),""))</f>
        <v>20</v>
      </c>
      <c r="AL34" s="71">
        <f>IF($B34="","",IFERROR(INDEX('Pillar-6'!$A$5:$Q$216,MATCH($B34,'Pillar-6'!$B$5:$B$216,0),MATCH(AL$1,'Pillar-6'!$A$4:$Q$4,0)),""))</f>
        <v>73.495000000000005</v>
      </c>
      <c r="AM34" s="71">
        <f>IF($B34="","",IFERROR(INDEX('Pillar-6'!$A$5:$Q$216,MATCH($B34,'Pillar-6'!$B$5:$B$216,0),MATCH(AM$1,'Pillar-6'!$A$4:$Q$4,0)),""))</f>
        <v>100</v>
      </c>
    </row>
    <row r="35" spans="1:39" s="35" customFormat="1" ht="20" customHeight="1">
      <c r="A35" s="35" t="str">
        <v>Türkiye</v>
      </c>
      <c r="B35" s="89" t="str">
        <v>TUR</v>
      </c>
      <c r="C35" s="89" t="str">
        <f>IF($B35="","",IFERROR(INDEX(Screening!$A$2:$R$219,MATCH($B35,Screening!$B$2:$B$219,0),MATCH("Include in final index",Screening!$A$1:$R$1,0)),""))</f>
        <v>Yes</v>
      </c>
      <c r="D35" s="89">
        <f>IF($B35="","",IFERROR(INDEX('INDEX ranked'!$A$3:$J$200,MATCH($B35,'INDEX ranked'!$B$3:$B$200,0),MATCH("Rank",'INDEX ranked'!$A$2:$J$2,0)),""))</f>
        <v>25</v>
      </c>
      <c r="E35" s="71">
        <f>IF($B35="","",IFERROR(INDEX('INDEX ranked'!$A$3:$J$200,MATCH($B35,'INDEX ranked'!$B$3:$B$200,0),MATCH("Overall index score",'INDEX ranked'!$A$2:$J$2,0)),""))</f>
        <v>45.944579487915412</v>
      </c>
      <c r="F35" s="71">
        <f>IF($B35="","",IFERROR(INDEX('INDEX ranked'!$A$3:$J$200,MATCH($B35,'INDEX ranked'!$B$3:$B$200,0),MATCH(F$1,'INDEX ranked'!$A$2:$J$2,0)),""))</f>
        <v>48.738873707639719</v>
      </c>
      <c r="G35" s="71">
        <f>IF($B35="","",IFERROR(INDEX('INDEX ranked'!$A$3:$J$200,MATCH($B35,'INDEX ranked'!$B$3:$B$200,0),MATCH(G$1,'INDEX ranked'!$A$2:$J$2,0)),""))</f>
        <v>42.28797476883247</v>
      </c>
      <c r="H35" s="71">
        <f>IF($B35="","",IFERROR(INDEX('INDEX ranked'!$A$3:$J$200,MATCH($B35,'INDEX ranked'!$B$3:$B$200,0),MATCH(H$1,'INDEX ranked'!$A$2:$J$2,0)),""))</f>
        <v>46.085999999999999</v>
      </c>
      <c r="I35" s="71">
        <f>IF($B35="","",IFERROR(INDEX('INDEX ranked'!$A$3:$J$200,MATCH($B35,'INDEX ranked'!$B$3:$B$200,0),MATCH(I$1,'INDEX ranked'!$A$2:$J$2,0)),""))</f>
        <v>59.581774055227015</v>
      </c>
      <c r="J35" s="71">
        <f>IF($B35="","",IFERROR(INDEX('INDEX ranked'!$A$3:$J$200,MATCH($B35,'INDEX ranked'!$B$3:$B$200,0),MATCH(J$1,'INDEX ranked'!$A$2:$J$2,0)),""))</f>
        <v>23.296533210503817</v>
      </c>
      <c r="K35" s="71">
        <f>IF($B35="","",IFERROR(INDEX('INDEX ranked'!$A$3:$J$200,MATCH($B35,'INDEX ranked'!$B$3:$B$200,0),MATCH(K$1,'INDEX ranked'!$A$2:$J$2,0)),""))</f>
        <v>54.15475</v>
      </c>
      <c r="L35" s="71">
        <f>IF($B35="","",IFERROR(INDEX('Pillar-1'!$A$5:$M$216,MATCH($B35,'Pillar-1'!$B$5:$B$216,0),MATCH(L$1,'Pillar-1'!$A$4:$M$4,0)),""))</f>
        <v>51.651408042646892</v>
      </c>
      <c r="M35" s="71">
        <f>IF($B35="","",IFERROR(INDEX('Pillar-1'!$A$5:$M$216,MATCH($B35,'Pillar-1'!$B$5:$B$216,0),MATCH(M$1,'Pillar-1'!$A$4:$M$4,0)),""))</f>
        <v>41.680129240710819</v>
      </c>
      <c r="N35" s="71">
        <f>IF($B35="","",IFERROR(INDEX('Pillar-1'!$A$5:$M$216,MATCH($B35,'Pillar-1'!$B$5:$B$216,0),MATCH(N$1,'Pillar-1'!$A$4:$M$4,0)),""))</f>
        <v>51.876691772857328</v>
      </c>
      <c r="O35" s="71">
        <f>IF($B35="","",IFERROR(INDEX('Pillar-2'!$A$5:$S$216,MATCH($B35,'Pillar-2'!$B$5:$B$216,0),MATCH(O$1,'Pillar-2'!$A$4:$S$4,0)),""))</f>
        <v>54.936507936507901</v>
      </c>
      <c r="P35" s="71">
        <f>IF($B35="","",IFERROR(INDEX('Pillar-2'!$A$5:$S$216,MATCH($B35,'Pillar-2'!$B$5:$B$216,0),MATCH(P$1,'Pillar-2'!$A$4:$S$4,0)),""))</f>
        <v>95.212331093972608</v>
      </c>
      <c r="Q35" s="71">
        <f>IF($B35="","",IFERROR(INDEX('Pillar-2'!$A$5:$S$216,MATCH($B35,'Pillar-2'!$B$5:$B$216,0),MATCH(Q$1,'Pillar-2'!$A$4:$S$4,0)),""))</f>
        <v>100</v>
      </c>
      <c r="R35" s="71">
        <f>IF($B35="","",IFERROR(INDEX('Pillar-2'!$A$5:$S$216,MATCH($B35,'Pillar-2'!$B$5:$B$216,0),MATCH(R$1,'Pillar-2'!$A$4:$S$4,0)),""))</f>
        <v>41.882213964019407</v>
      </c>
      <c r="S35" s="71">
        <f>IF($B35="","",IFERROR(INDEX('Pillar-2'!$A$5:$S$216,MATCH($B35,'Pillar-2'!$B$5:$B$216,0),MATCH(S$1,'Pillar-2'!$A$4:$S$4,0)),""))</f>
        <v>16.631425576147411</v>
      </c>
      <c r="T35" s="71">
        <f>IF($B35="","",IFERROR(INDEX('Pillar-2'!$A$5:$S$216,MATCH($B35,'Pillar-2'!$B$5:$B$216,0),MATCH(T$1,'Pillar-2'!$A$4:$S$4,0)),""))</f>
        <v>17.999801207448666</v>
      </c>
      <c r="U35" s="71">
        <f>IF($B35="","",IFERROR(INDEX('Pillar-2'!$A$5:$S$216,MATCH($B35,'Pillar-2'!$B$5:$B$216,0),MATCH(U$1,'Pillar-2'!$A$4:$S$4,0)),""))</f>
        <v>0</v>
      </c>
      <c r="V35" s="71">
        <f>IF($B35="","",IFERROR(INDEX('Pillar-2'!$A$5:$S$216,MATCH($B35,'Pillar-2'!$B$5:$B$216,0),MATCH(V$1,'Pillar-2'!$A$4:$S$4,0)),""))</f>
        <v>0</v>
      </c>
      <c r="W35" s="71">
        <f>IF($B35="","",IFERROR(INDEX('Pillar-3'!$A$5:$M$217,MATCH($B35,'Pillar-3'!$B$5:$B$217,0),MATCH(W$1,'Pillar-3'!$A$4:$M$4,0)),""))</f>
        <v>49.31</v>
      </c>
      <c r="X35" s="71">
        <f>IF($B35="","",IFERROR(INDEX('Pillar-3'!$A$5:$M$217,MATCH($B35,'Pillar-3'!$B$5:$B$217,0),MATCH(X$1,'Pillar-3'!$A$4:$M$4,0)),""))</f>
        <v>49.97</v>
      </c>
      <c r="Y35" s="71">
        <f>IF($B35="","",IFERROR(INDEX('Pillar-3'!$A$5:$M$217,MATCH($B35,'Pillar-3'!$B$5:$B$217,0),MATCH(Y$1,'Pillar-3'!$A$4:$M$4,0)),""))</f>
        <v>51.53</v>
      </c>
      <c r="Z35" s="71">
        <f>IF($B35="","",IFERROR(INDEX('Pillar-3'!$A$5:$M$217,MATCH($B35,'Pillar-3'!$B$5:$B$217,0),MATCH(Z$1,'Pillar-3'!$A$4:$M$4,0)),""))</f>
        <v>42.45</v>
      </c>
      <c r="AA35" s="71">
        <f>IF($B35="","",IFERROR(INDEX('Pillar-3'!$A$5:$M$217,MATCH($B35,'Pillar-3'!$B$5:$B$217,0),MATCH(AA$1,'Pillar-3'!$A$4:$M$4,0)),""))</f>
        <v>36.450000000000003</v>
      </c>
      <c r="AB35" s="71">
        <f>IF($B35="","",IFERROR(INDEX('Pillar-4'!$A$5:$R$217,MATCH($B35,'Pillar-4'!$B$5:$B$217,0),MATCH(AB$1,'Pillar-4'!$A$4:$R$4,0)),""))</f>
        <v>84.738095304075102</v>
      </c>
      <c r="AC35" s="71">
        <f>IF($B35="","",IFERROR(INDEX('Pillar-4'!$A$5:$R$217,MATCH($B35,'Pillar-4'!$B$5:$B$217,0),MATCH(AC$1,'Pillar-4'!$A$4:$R$4,0)),""))</f>
        <v>93.110938586413951</v>
      </c>
      <c r="AD35" s="71">
        <f>IF($B35="","",IFERROR(INDEX('Pillar-4'!$A$5:$R$217,MATCH($B35,'Pillar-4'!$B$5:$B$217,0),MATCH(AD$1,'Pillar-4'!$A$4:$R$4,0)),""))</f>
        <v>91.746448514194682</v>
      </c>
      <c r="AE35" s="71">
        <f>IF($B35="","",IFERROR(INDEX('Pillar-4'!$A$5:$R$217,MATCH($B35,'Pillar-4'!$B$5:$B$217,0),MATCH(AE$1,'Pillar-4'!$A$4:$R$4,0)),""))</f>
        <v>20</v>
      </c>
      <c r="AF35" s="71">
        <f>IF($B35="","",IFERROR(INDEX('Pillar-4'!$A$5:$R$217,MATCH($B35,'Pillar-4'!$B$5:$B$217,0),MATCH(AF$1,'Pillar-4'!$A$4:$R$4,0)),""))</f>
        <v>25</v>
      </c>
      <c r="AG35" s="71">
        <f>IF($B35="","",IFERROR(INDEX('Pillar-5'!$A$5:$Q$216,MATCH($B35,'Pillar-5'!$B$5:$B$216,0),MATCH(AG$1,'Pillar-5'!$A$4:$Q$4,0)),""))</f>
        <v>21.477332923901614</v>
      </c>
      <c r="AH35" s="71">
        <f>IF($B35="","",IFERROR(INDEX('Pillar-5'!$A$5:$Q$216,MATCH($B35,'Pillar-5'!$B$5:$B$216,0),MATCH(AH$1,'Pillar-5'!$A$4:$Q$4,0)),""))</f>
        <v>0</v>
      </c>
      <c r="AI35" s="71">
        <f>IF($B35="","",IFERROR(INDEX('Pillar-5'!$A$5:$Q$216,MATCH($B35,'Pillar-5'!$B$5:$B$216,0),MATCH(AI$1,'Pillar-5'!$A$4:$Q$4,0)),""))</f>
        <v>84.266666666666666</v>
      </c>
      <c r="AJ35" s="71">
        <f>IF($B35="","",IFERROR(INDEX('Pillar-5'!$A$5:$Q$216,MATCH($B35,'Pillar-5'!$B$5:$B$216,0),MATCH(AJ$1,'Pillar-5'!$A$4:$Q$4,0)),""))</f>
        <v>0</v>
      </c>
      <c r="AK35" s="71">
        <f>IF($B35="","",IFERROR(INDEX('Pillar-6'!$A$5:$Q$216,MATCH($B35,'Pillar-6'!$B$5:$B$216,0),MATCH(AK$1,'Pillar-6'!$A$4:$Q$4,0)),""))</f>
        <v>20</v>
      </c>
      <c r="AL35" s="71">
        <f>IF($B35="","",IFERROR(INDEX('Pillar-6'!$A$5:$Q$216,MATCH($B35,'Pillar-6'!$B$5:$B$216,0),MATCH(AL$1,'Pillar-6'!$A$4:$Q$4,0)),""))</f>
        <v>71.454999999999998</v>
      </c>
      <c r="AM35" s="71">
        <f>IF($B35="","",IFERROR(INDEX('Pillar-6'!$A$5:$Q$216,MATCH($B35,'Pillar-6'!$B$5:$B$216,0),MATCH(AM$1,'Pillar-6'!$A$4:$Q$4,0)),""))</f>
        <v>75</v>
      </c>
    </row>
    <row r="36" spans="1:39" s="35" customFormat="1" ht="20" customHeight="1">
      <c r="A36" s="35" t="str">
        <v>United States</v>
      </c>
      <c r="B36" s="89" t="str">
        <v>USA</v>
      </c>
      <c r="C36" s="89" t="str">
        <f>IF($B36="","",IFERROR(INDEX(Screening!$A$2:$R$219,MATCH($B36,Screening!$B$2:$B$219,0),MATCH("Include in final index",Screening!$A$1:$R$1,0)),""))</f>
        <v>Yes</v>
      </c>
      <c r="D36" s="89">
        <f>IF($B36="","",IFERROR(INDEX('INDEX ranked'!$A$3:$J$200,MATCH($B36,'INDEX ranked'!$B$3:$B$200,0),MATCH("Rank",'INDEX ranked'!$A$2:$J$2,0)),""))</f>
        <v>4</v>
      </c>
      <c r="E36" s="71">
        <f>IF($B36="","",IFERROR(INDEX('INDEX ranked'!$A$3:$J$200,MATCH($B36,'INDEX ranked'!$B$3:$B$200,0),MATCH("Overall index score",'INDEX ranked'!$A$2:$J$2,0)),""))</f>
        <v>65.465510500124381</v>
      </c>
      <c r="F36" s="71">
        <f>IF($B36="","",IFERROR(INDEX('INDEX ranked'!$A$3:$J$200,MATCH($B36,'INDEX ranked'!$B$3:$B$200,0),MATCH(F$1,'INDEX ranked'!$A$2:$J$2,0)),""))</f>
        <v>45.102470653363326</v>
      </c>
      <c r="G36" s="71">
        <f>IF($B36="","",IFERROR(INDEX('INDEX ranked'!$A$3:$J$200,MATCH($B36,'INDEX ranked'!$B$3:$B$200,0),MATCH(G$1,'INDEX ranked'!$A$2:$J$2,0)),""))</f>
        <v>67.221979957384974</v>
      </c>
      <c r="H36" s="71">
        <f>IF($B36="","",IFERROR(INDEX('INDEX ranked'!$A$3:$J$200,MATCH($B36,'INDEX ranked'!$B$3:$B$200,0),MATCH(H$1,'INDEX ranked'!$A$2:$J$2,0)),""))</f>
        <v>73.595500000000001</v>
      </c>
      <c r="I36" s="71">
        <f>IF($B36="","",IFERROR(INDEX('INDEX ranked'!$A$3:$J$200,MATCH($B36,'INDEX ranked'!$B$3:$B$200,0),MATCH(I$1,'INDEX ranked'!$A$2:$J$2,0)),""))</f>
        <v>61.122226889873573</v>
      </c>
      <c r="J36" s="71">
        <f>IF($B36="","",IFERROR(INDEX('INDEX ranked'!$A$3:$J$200,MATCH($B36,'INDEX ranked'!$B$3:$B$200,0),MATCH(J$1,'INDEX ranked'!$A$2:$J$2,0)),""))</f>
        <v>83.697333333333333</v>
      </c>
      <c r="K36" s="71">
        <f>IF($B36="","",IFERROR(INDEX('INDEX ranked'!$A$3:$J$200,MATCH($B36,'INDEX ranked'!$B$3:$B$200,0),MATCH(K$1,'INDEX ranked'!$A$2:$J$2,0)),""))</f>
        <v>71.822499999999991</v>
      </c>
      <c r="L36" s="71">
        <f>IF($B36="","",IFERROR(INDEX('Pillar-1'!$A$5:$M$216,MATCH($B36,'Pillar-1'!$B$5:$B$216,0),MATCH(L$1,'Pillar-1'!$A$4:$M$4,0)),""))</f>
        <v>26.689071734847609</v>
      </c>
      <c r="M36" s="71">
        <f>IF($B36="","",IFERROR(INDEX('Pillar-1'!$A$5:$M$216,MATCH($B36,'Pillar-1'!$B$5:$B$216,0),MATCH(M$1,'Pillar-1'!$A$4:$M$4,0)),""))</f>
        <v>39.326102007846757</v>
      </c>
      <c r="N36" s="71">
        <f>IF($B36="","",IFERROR(INDEX('Pillar-1'!$A$5:$M$216,MATCH($B36,'Pillar-1'!$B$5:$B$216,0),MATCH(N$1,'Pillar-1'!$A$4:$M$4,0)),""))</f>
        <v>68.467042696607535</v>
      </c>
      <c r="O36" s="71">
        <f>IF($B36="","",IFERROR(INDEX('Pillar-2'!$A$5:$S$216,MATCH($B36,'Pillar-2'!$B$5:$B$216,0),MATCH(O$1,'Pillar-2'!$A$4:$S$4,0)),""))</f>
        <v>74.796296296296205</v>
      </c>
      <c r="P36" s="71">
        <f>IF($B36="","",IFERROR(INDEX('Pillar-2'!$A$5:$S$216,MATCH($B36,'Pillar-2'!$B$5:$B$216,0),MATCH(P$1,'Pillar-2'!$A$4:$S$4,0)),""))</f>
        <v>99.162910198688849</v>
      </c>
      <c r="Q36" s="71">
        <f>IF($B36="","",IFERROR(INDEX('Pillar-2'!$A$5:$S$216,MATCH($B36,'Pillar-2'!$B$5:$B$216,0),MATCH(Q$1,'Pillar-2'!$A$4:$S$4,0)),""))</f>
        <v>100</v>
      </c>
      <c r="R36" s="71">
        <f>IF($B36="","",IFERROR(INDEX('Pillar-2'!$A$5:$S$216,MATCH($B36,'Pillar-2'!$B$5:$B$216,0),MATCH(R$1,'Pillar-2'!$A$4:$S$4,0)),""))</f>
        <v>67.66913592400266</v>
      </c>
      <c r="S36" s="71">
        <f>IF($B36="","",IFERROR(INDEX('Pillar-2'!$A$5:$S$216,MATCH($B36,'Pillar-2'!$B$5:$B$216,0),MATCH(S$1,'Pillar-2'!$A$4:$S$4,0)),""))</f>
        <v>32.601858597345363</v>
      </c>
      <c r="T36" s="71">
        <f>IF($B36="","",IFERROR(INDEX('Pillar-2'!$A$5:$S$216,MATCH($B36,'Pillar-2'!$B$5:$B$216,0),MATCH(T$1,'Pillar-2'!$A$4:$S$4,0)),""))</f>
        <v>41.847992843468177</v>
      </c>
      <c r="U36" s="71">
        <f>IF($B36="","",IFERROR(INDEX('Pillar-2'!$A$5:$S$216,MATCH($B36,'Pillar-2'!$B$5:$B$216,0),MATCH(U$1,'Pillar-2'!$A$4:$S$4,0)),""))</f>
        <v>0</v>
      </c>
      <c r="V36" s="71">
        <f>IF($B36="","",IFERROR(INDEX('Pillar-2'!$A$5:$S$216,MATCH($B36,'Pillar-2'!$B$5:$B$216,0),MATCH(V$1,'Pillar-2'!$A$4:$S$4,0)),""))</f>
        <v>75</v>
      </c>
      <c r="W36" s="71">
        <f>IF($B36="","",IFERROR(INDEX('Pillar-3'!$A$5:$M$217,MATCH($B36,'Pillar-3'!$B$5:$B$217,0),MATCH(W$1,'Pillar-3'!$A$4:$M$4,0)),""))</f>
        <v>64.27</v>
      </c>
      <c r="X36" s="71">
        <f>IF($B36="","",IFERROR(INDEX('Pillar-3'!$A$5:$M$217,MATCH($B36,'Pillar-3'!$B$5:$B$217,0),MATCH(X$1,'Pillar-3'!$A$4:$M$4,0)),""))</f>
        <v>77.78</v>
      </c>
      <c r="Y36" s="71">
        <f>IF($B36="","",IFERROR(INDEX('Pillar-3'!$A$5:$M$217,MATCH($B36,'Pillar-3'!$B$5:$B$217,0),MATCH(Y$1,'Pillar-3'!$A$4:$M$4,0)),""))</f>
        <v>76.19</v>
      </c>
      <c r="Z36" s="71">
        <f>IF($B36="","",IFERROR(INDEX('Pillar-3'!$A$5:$M$217,MATCH($B36,'Pillar-3'!$B$5:$B$217,0),MATCH(Z$1,'Pillar-3'!$A$4:$M$4,0)),""))</f>
        <v>73.52</v>
      </c>
      <c r="AA36" s="71">
        <f>IF($B36="","",IFERROR(INDEX('Pillar-3'!$A$5:$M$217,MATCH($B36,'Pillar-3'!$B$5:$B$217,0),MATCH(AA$1,'Pillar-3'!$A$4:$M$4,0)),""))</f>
        <v>69.86</v>
      </c>
      <c r="AB36" s="71">
        <f>IF($B36="","",IFERROR(INDEX('Pillar-4'!$A$5:$R$217,MATCH($B36,'Pillar-4'!$B$5:$B$217,0),MATCH(AB$1,'Pillar-4'!$A$4:$R$4,0)),""))</f>
        <v>99.361134449367881</v>
      </c>
      <c r="AC36" s="71">
        <f>IF($B36="","",IFERROR(INDEX('Pillar-4'!$A$5:$R$217,MATCH($B36,'Pillar-4'!$B$5:$B$217,0),MATCH(AC$1,'Pillar-4'!$A$4:$R$4,0)),""))</f>
        <v>100</v>
      </c>
      <c r="AD36" s="71">
        <f>IF($B36="","",IFERROR(INDEX('Pillar-4'!$A$5:$R$217,MATCH($B36,'Pillar-4'!$B$5:$B$217,0),MATCH(AD$1,'Pillar-4'!$A$4:$R$4,0)),""))</f>
        <v>100</v>
      </c>
      <c r="AE36" s="71">
        <f>IF($B36="","",IFERROR(INDEX('Pillar-4'!$A$5:$R$217,MATCH($B36,'Pillar-4'!$B$5:$B$217,0),MATCH(AE$1,'Pillar-4'!$A$4:$R$4,0)),""))</f>
        <v>0</v>
      </c>
      <c r="AF36" s="71">
        <f>IF($B36="","",IFERROR(INDEX('Pillar-4'!$A$5:$R$217,MATCH($B36,'Pillar-4'!$B$5:$B$217,0),MATCH(AF$1,'Pillar-4'!$A$4:$R$4,0)),""))</f>
        <v>25</v>
      </c>
      <c r="AG36" s="71">
        <f>IF($B36="","",IFERROR(INDEX('Pillar-5'!$A$5:$Q$216,MATCH($B36,'Pillar-5'!$B$5:$B$216,0),MATCH(AG$1,'Pillar-5'!$A$4:$Q$4,0)),""))</f>
        <v>100</v>
      </c>
      <c r="AH36" s="71">
        <f>IF($B36="","",IFERROR(INDEX('Pillar-5'!$A$5:$Q$216,MATCH($B36,'Pillar-5'!$B$5:$B$216,0),MATCH(AH$1,'Pillar-5'!$A$4:$Q$4,0)),""))</f>
        <v>100</v>
      </c>
      <c r="AI36" s="71">
        <f>IF($B36="","",IFERROR(INDEX('Pillar-5'!$A$5:$Q$216,MATCH($B36,'Pillar-5'!$B$5:$B$216,0),MATCH(AI$1,'Pillar-5'!$A$4:$Q$4,0)),""))</f>
        <v>18.486666666666679</v>
      </c>
      <c r="AJ36" s="71">
        <f>IF($B36="","",IFERROR(INDEX('Pillar-5'!$A$5:$Q$216,MATCH($B36,'Pillar-5'!$B$5:$B$216,0),MATCH(AJ$1,'Pillar-5'!$A$4:$Q$4,0)),""))</f>
        <v>100</v>
      </c>
      <c r="AK36" s="71">
        <f>IF($B36="","",IFERROR(INDEX('Pillar-6'!$A$5:$Q$216,MATCH($B36,'Pillar-6'!$B$5:$B$216,0),MATCH(AK$1,'Pillar-6'!$A$4:$Q$4,0)),""))</f>
        <v>40</v>
      </c>
      <c r="AL36" s="71">
        <f>IF($B36="","",IFERROR(INDEX('Pillar-6'!$A$5:$Q$216,MATCH($B36,'Pillar-6'!$B$5:$B$216,0),MATCH(AL$1,'Pillar-6'!$A$4:$Q$4,0)),""))</f>
        <v>84.05</v>
      </c>
      <c r="AM36" s="71">
        <f>IF($B36="","",IFERROR(INDEX('Pillar-6'!$A$5:$Q$216,MATCH($B36,'Pillar-6'!$B$5:$B$216,0),MATCH(AM$1,'Pillar-6'!$A$4:$Q$4,0)),""))</f>
        <v>100</v>
      </c>
    </row>
    <row r="37" spans="1:39" s="35" customFormat="1" ht="20" customHeight="1">
      <c r="A37" s="35" t="str">
        <v>Vietnam</v>
      </c>
      <c r="B37" s="89" t="str">
        <v>VNM</v>
      </c>
      <c r="C37" s="89" t="str">
        <f>IF($B37="","",IFERROR(INDEX(Screening!$A$2:$R$219,MATCH($B37,Screening!$B$2:$B$219,0),MATCH("Include in final index",Screening!$A$1:$R$1,0)),""))</f>
        <v>Yes</v>
      </c>
      <c r="D37" s="89">
        <f>IF($B37="","",IFERROR(INDEX('INDEX ranked'!$A$3:$J$200,MATCH($B37,'INDEX ranked'!$B$3:$B$200,0),MATCH("Rank",'INDEX ranked'!$A$2:$J$2,0)),""))</f>
        <v>8</v>
      </c>
      <c r="E37" s="71">
        <f>IF($B37="","",IFERROR(INDEX('INDEX ranked'!$A$3:$J$200,MATCH($B37,'INDEX ranked'!$B$3:$B$200,0),MATCH("Overall index score",'INDEX ranked'!$A$2:$J$2,0)),""))</f>
        <v>59.047171451218567</v>
      </c>
      <c r="F37" s="71">
        <f>IF($B37="","",IFERROR(INDEX('INDEX ranked'!$A$3:$J$200,MATCH($B37,'INDEX ranked'!$B$3:$B$200,0),MATCH(F$1,'INDEX ranked'!$A$2:$J$2,0)),""))</f>
        <v>42.58840371166292</v>
      </c>
      <c r="G37" s="71">
        <f>IF($B37="","",IFERROR(INDEX('INDEX ranked'!$A$3:$J$200,MATCH($B37,'INDEX ranked'!$B$3:$B$200,0),MATCH(G$1,'INDEX ranked'!$A$2:$J$2,0)),""))</f>
        <v>58.075051912910283</v>
      </c>
      <c r="H37" s="71">
        <f>IF($B37="","",IFERROR(INDEX('INDEX ranked'!$A$3:$J$200,MATCH($B37,'INDEX ranked'!$B$3:$B$200,0),MATCH(H$1,'INDEX ranked'!$A$2:$J$2,0)),""))</f>
        <v>50.512999999999998</v>
      </c>
      <c r="I37" s="71">
        <f>IF($B37="","",IFERROR(INDEX('INDEX ranked'!$A$3:$J$200,MATCH($B37,'INDEX ranked'!$B$3:$B$200,0),MATCH(I$1,'INDEX ranked'!$A$2:$J$2,0)),""))</f>
        <v>70.649827110190927</v>
      </c>
      <c r="J37" s="71">
        <f>IF($B37="","",IFERROR(INDEX('INDEX ranked'!$A$3:$J$200,MATCH($B37,'INDEX ranked'!$B$3:$B$200,0),MATCH(J$1,'INDEX ranked'!$A$2:$J$2,0)),""))</f>
        <v>76.538932695104904</v>
      </c>
      <c r="K37" s="71">
        <f>IF($B37="","",IFERROR(INDEX('INDEX ranked'!$A$3:$J$200,MATCH($B37,'INDEX ranked'!$B$3:$B$200,0),MATCH(K$1,'INDEX ranked'!$A$2:$J$2,0)),""))</f>
        <v>57.267250000000004</v>
      </c>
      <c r="L37" s="71">
        <f>IF($B37="","",IFERROR(INDEX('Pillar-1'!$A$5:$M$216,MATCH($B37,'Pillar-1'!$B$5:$B$216,0),MATCH(L$1,'Pillar-1'!$A$4:$M$4,0)),""))</f>
        <v>47.792328195619433</v>
      </c>
      <c r="M37" s="71">
        <f>IF($B37="","",IFERROR(INDEX('Pillar-1'!$A$5:$M$216,MATCH($B37,'Pillar-1'!$B$5:$B$216,0),MATCH(M$1,'Pillar-1'!$A$4:$M$4,0)),""))</f>
        <v>28.963766443572585</v>
      </c>
      <c r="N37" s="71">
        <f>IF($B37="","",IFERROR(INDEX('Pillar-1'!$A$5:$M$216,MATCH($B37,'Pillar-1'!$B$5:$B$216,0),MATCH(N$1,'Pillar-1'!$A$4:$M$4,0)),""))</f>
        <v>49.062739743212404</v>
      </c>
      <c r="O37" s="71">
        <f>IF($B37="","",IFERROR(INDEX('Pillar-2'!$A$5:$S$216,MATCH($B37,'Pillar-2'!$B$5:$B$216,0),MATCH(O$1,'Pillar-2'!$A$4:$S$4,0)),""))</f>
        <v>27.629629629629601</v>
      </c>
      <c r="P37" s="71">
        <f>IF($B37="","",IFERROR(INDEX('Pillar-2'!$A$5:$S$216,MATCH($B37,'Pillar-2'!$B$5:$B$216,0),MATCH(P$1,'Pillar-2'!$A$4:$S$4,0)),""))</f>
        <v>83.39853693454414</v>
      </c>
      <c r="Q37" s="71">
        <f>IF($B37="","",IFERROR(INDEX('Pillar-2'!$A$5:$S$216,MATCH($B37,'Pillar-2'!$B$5:$B$216,0),MATCH(Q$1,'Pillar-2'!$A$4:$S$4,0)),""))</f>
        <v>33.228293699595682</v>
      </c>
      <c r="R37" s="71">
        <f>IF($B37="","",IFERROR(INDEX('Pillar-2'!$A$5:$S$216,MATCH($B37,'Pillar-2'!$B$5:$B$216,0),MATCH(R$1,'Pillar-2'!$A$4:$S$4,0)),""))</f>
        <v>50.653409790072111</v>
      </c>
      <c r="S37" s="71">
        <f>IF($B37="","",IFERROR(INDEX('Pillar-2'!$A$5:$S$216,MATCH($B37,'Pillar-2'!$B$5:$B$216,0),MATCH(S$1,'Pillar-2'!$A$4:$S$4,0)),""))</f>
        <v>70.250004442154264</v>
      </c>
      <c r="T37" s="71">
        <f>IF($B37="","",IFERROR(INDEX('Pillar-2'!$A$5:$S$216,MATCH($B37,'Pillar-2'!$B$5:$B$216,0),MATCH(T$1,'Pillar-2'!$A$4:$S$4,0)),""))</f>
        <v>61.499068700112815</v>
      </c>
      <c r="U37" s="71">
        <f>IF($B37="","",IFERROR(INDEX('Pillar-2'!$A$5:$S$216,MATCH($B37,'Pillar-2'!$B$5:$B$216,0),MATCH(U$1,'Pillar-2'!$A$4:$S$4,0)),""))</f>
        <v>100</v>
      </c>
      <c r="V37" s="71">
        <f>IF($B37="","",IFERROR(INDEX('Pillar-2'!$A$5:$S$216,MATCH($B37,'Pillar-2'!$B$5:$B$216,0),MATCH(V$1,'Pillar-2'!$A$4:$S$4,0)),""))</f>
        <v>50</v>
      </c>
      <c r="W37" s="71">
        <f>IF($B37="","",IFERROR(INDEX('Pillar-3'!$A$5:$M$217,MATCH($B37,'Pillar-3'!$B$5:$B$217,0),MATCH(W$1,'Pillar-3'!$A$4:$M$4,0)),""))</f>
        <v>65.989999999999995</v>
      </c>
      <c r="X37" s="71">
        <f>IF($B37="","",IFERROR(INDEX('Pillar-3'!$A$5:$M$217,MATCH($B37,'Pillar-3'!$B$5:$B$217,0),MATCH(X$1,'Pillar-3'!$A$4:$M$4,0)),""))</f>
        <v>49.55</v>
      </c>
      <c r="Y37" s="71">
        <f>IF($B37="","",IFERROR(INDEX('Pillar-3'!$A$5:$M$217,MATCH($B37,'Pillar-3'!$B$5:$B$217,0),MATCH(Y$1,'Pillar-3'!$A$4:$M$4,0)),""))</f>
        <v>50.65</v>
      </c>
      <c r="Z37" s="71">
        <f>IF($B37="","",IFERROR(INDEX('Pillar-3'!$A$5:$M$217,MATCH($B37,'Pillar-3'!$B$5:$B$217,0),MATCH(Z$1,'Pillar-3'!$A$4:$M$4,0)),""))</f>
        <v>51.56</v>
      </c>
      <c r="AA37" s="71">
        <f>IF($B37="","",IFERROR(INDEX('Pillar-3'!$A$5:$M$217,MATCH($B37,'Pillar-3'!$B$5:$B$217,0),MATCH(AA$1,'Pillar-3'!$A$4:$M$4,0)),""))</f>
        <v>42.76</v>
      </c>
      <c r="AB37" s="71">
        <f>IF($B37="","",IFERROR(INDEX('Pillar-4'!$A$5:$R$217,MATCH($B37,'Pillar-4'!$B$5:$B$217,0),MATCH(AB$1,'Pillar-4'!$A$4:$R$4,0)),""))</f>
        <v>65.433086494557074</v>
      </c>
      <c r="AC37" s="71">
        <f>IF($B37="","",IFERROR(INDEX('Pillar-4'!$A$5:$R$217,MATCH($B37,'Pillar-4'!$B$5:$B$217,0),MATCH(AC$1,'Pillar-4'!$A$4:$R$4,0)),""))</f>
        <v>85.143509485739457</v>
      </c>
      <c r="AD37" s="71">
        <f>IF($B37="","",IFERROR(INDEX('Pillar-4'!$A$5:$R$217,MATCH($B37,'Pillar-4'!$B$5:$B$217,0),MATCH(AD$1,'Pillar-4'!$A$4:$R$4,0)),""))</f>
        <v>80.230052760877442</v>
      </c>
      <c r="AE37" s="71">
        <f>IF($B37="","",IFERROR(INDEX('Pillar-4'!$A$5:$R$217,MATCH($B37,'Pillar-4'!$B$5:$B$217,0),MATCH(AE$1,'Pillar-4'!$A$4:$R$4,0)),""))</f>
        <v>80</v>
      </c>
      <c r="AF37" s="71">
        <f>IF($B37="","",IFERROR(INDEX('Pillar-4'!$A$5:$R$217,MATCH($B37,'Pillar-4'!$B$5:$B$217,0),MATCH(AF$1,'Pillar-4'!$A$4:$R$4,0)),""))</f>
        <v>50</v>
      </c>
      <c r="AG37" s="71">
        <f>IF($B37="","",IFERROR(INDEX('Pillar-5'!$A$5:$Q$216,MATCH($B37,'Pillar-5'!$B$5:$B$216,0),MATCH(AG$1,'Pillar-5'!$A$4:$Q$4,0)),""))</f>
        <v>41.489550362462204</v>
      </c>
      <c r="AH37" s="71">
        <f>IF($B37="","",IFERROR(INDEX('Pillar-5'!$A$5:$Q$216,MATCH($B37,'Pillar-5'!$B$5:$B$216,0),MATCH(AH$1,'Pillar-5'!$A$4:$Q$4,0)),""))</f>
        <v>100</v>
      </c>
      <c r="AI37" s="71">
        <f>IF($B37="","",IFERROR(INDEX('Pillar-5'!$A$5:$Q$216,MATCH($B37,'Pillar-5'!$B$5:$B$216,0),MATCH(AI$1,'Pillar-5'!$A$4:$Q$4,0)),""))</f>
        <v>79.224666666666664</v>
      </c>
      <c r="AJ37" s="71">
        <f>IF($B37="","",IFERROR(INDEX('Pillar-5'!$A$5:$Q$216,MATCH($B37,'Pillar-5'!$B$5:$B$216,0),MATCH(AJ$1,'Pillar-5'!$A$4:$Q$4,0)),""))</f>
        <v>92.988537012131658</v>
      </c>
      <c r="AK37" s="71">
        <f>IF($B37="","",IFERROR(INDEX('Pillar-6'!$A$5:$Q$216,MATCH($B37,'Pillar-6'!$B$5:$B$216,0),MATCH(AK$1,'Pillar-6'!$A$4:$Q$4,0)),""))</f>
        <v>40</v>
      </c>
      <c r="AL37" s="71">
        <f>IF($B37="","",IFERROR(INDEX('Pillar-6'!$A$5:$Q$216,MATCH($B37,'Pillar-6'!$B$5:$B$216,0),MATCH(AL$1,'Pillar-6'!$A$4:$Q$4,0)),""))</f>
        <v>51.704999999999998</v>
      </c>
      <c r="AM37" s="71">
        <f>IF($B37="","",IFERROR(INDEX('Pillar-6'!$A$5:$Q$216,MATCH($B37,'Pillar-6'!$B$5:$B$216,0),MATCH(AM$1,'Pillar-6'!$A$4:$Q$4,0)),""))</f>
        <v>100</v>
      </c>
    </row>
    <row r="38" spans="1:39" s="155" customFormat="1" ht="20" customHeight="1"/>
    <row r="39" spans="1:39" s="35" customFormat="1" ht="20" customHeight="1"/>
    <row r="40" spans="1:39" s="35" customFormat="1" ht="20" customHeight="1"/>
    <row r="41" spans="1:39" s="35" customFormat="1" ht="20" customHeight="1"/>
    <row r="42" spans="1:39" s="35" customFormat="1" ht="20" customHeight="1"/>
    <row r="43" spans="1:39" s="35" customFormat="1" ht="20" customHeight="1"/>
    <row r="44" spans="1:39" s="35" customFormat="1" ht="20" customHeight="1"/>
    <row r="45" spans="1:39" s="35" customFormat="1" ht="20" customHeight="1"/>
    <row r="46" spans="1:39" s="35" customFormat="1" ht="20" customHeight="1"/>
    <row r="47" spans="1:39" s="35" customFormat="1" ht="20" customHeight="1"/>
    <row r="48" spans="1:39" s="35" customFormat="1" ht="20" customHeight="1"/>
    <row r="49" s="35" customFormat="1" ht="20" customHeight="1"/>
    <row r="50" s="35" customFormat="1" ht="20" customHeight="1"/>
    <row r="51" s="35" customFormat="1" ht="20" customHeight="1"/>
    <row r="52" s="35" customFormat="1" ht="20" customHeight="1"/>
    <row r="53" s="35" customFormat="1" ht="20" customHeight="1"/>
    <row r="54" s="35" customFormat="1" ht="20" customHeight="1"/>
    <row r="55" s="35" customFormat="1" ht="20" customHeight="1"/>
    <row r="56" s="35" customFormat="1" ht="20" customHeight="1"/>
    <row r="57" s="35" customFormat="1" ht="20" customHeight="1"/>
    <row r="58" s="35" customFormat="1" ht="20" customHeight="1"/>
    <row r="59" s="35" customFormat="1" ht="20" customHeight="1"/>
    <row r="60" s="35" customFormat="1" ht="20" customHeight="1"/>
    <row r="61" s="35" customFormat="1" ht="20" customHeight="1"/>
    <row r="62" s="35" customFormat="1" ht="20" customHeight="1"/>
    <row r="63" s="35" customFormat="1" ht="20" customHeight="1"/>
    <row r="64" s="35" customFormat="1" ht="20" customHeight="1"/>
    <row r="65" s="35" customFormat="1" ht="20" customHeight="1"/>
    <row r="66" s="35" customFormat="1" ht="20" customHeight="1"/>
    <row r="67" s="35" customFormat="1" ht="20" customHeight="1"/>
    <row r="68" s="35" customFormat="1" ht="20" customHeight="1"/>
    <row r="69" s="35" customFormat="1" ht="20" customHeight="1"/>
    <row r="70" s="35" customFormat="1" ht="20" customHeight="1"/>
    <row r="71" s="35" customFormat="1" ht="20" customHeight="1"/>
    <row r="72" s="35" customFormat="1" ht="20" customHeight="1"/>
    <row r="73" s="35" customFormat="1" ht="20" customHeight="1"/>
    <row r="74" s="35" customFormat="1" ht="20" customHeight="1"/>
    <row r="75" s="35" customFormat="1" ht="20" customHeight="1"/>
    <row r="76" s="35" customFormat="1" ht="20" customHeight="1"/>
    <row r="77" s="35" customFormat="1" ht="20" customHeight="1"/>
    <row r="78" s="35" customFormat="1" ht="20" customHeight="1"/>
    <row r="79" s="35" customFormat="1" ht="20" customHeight="1"/>
    <row r="80" s="35" customFormat="1" ht="20" customHeight="1"/>
    <row r="81" s="35" customFormat="1" ht="20" customHeight="1"/>
    <row r="82" s="35" customFormat="1" ht="20" customHeight="1"/>
    <row r="83" s="35" customFormat="1" ht="20" customHeight="1"/>
    <row r="84" s="35" customFormat="1" ht="20" customHeight="1"/>
    <row r="85" s="35" customFormat="1" ht="20" customHeight="1"/>
    <row r="86" s="35" customFormat="1" ht="20" customHeight="1"/>
    <row r="87" s="35" customFormat="1" ht="20" customHeight="1"/>
    <row r="88" s="35" customFormat="1" ht="20" customHeight="1"/>
    <row r="89" s="35" customFormat="1" ht="20" customHeight="1"/>
    <row r="90" s="35" customFormat="1" ht="20" customHeight="1"/>
    <row r="91" s="35" customFormat="1" ht="20" customHeight="1"/>
    <row r="92" s="35" customFormat="1" ht="20" customHeight="1"/>
    <row r="93" s="35" customFormat="1" ht="20" customHeight="1"/>
    <row r="94" s="35" customFormat="1" ht="20" customHeight="1"/>
    <row r="95" s="35" customFormat="1" ht="20" customHeight="1"/>
    <row r="96" s="35" customFormat="1" ht="20" customHeight="1"/>
    <row r="97" s="35" customFormat="1" ht="20" customHeight="1"/>
    <row r="98" s="35" customFormat="1" ht="20" customHeight="1"/>
    <row r="99" s="35" customFormat="1" ht="20" customHeight="1"/>
    <row r="100" s="35" customFormat="1" ht="20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A643-7CFE-2549-9CDD-9F7C0370FD05}">
  <dimension ref="A1:M180"/>
  <sheetViews>
    <sheetView zoomScaleNormal="12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E10" sqref="E10"/>
    </sheetView>
  </sheetViews>
  <sheetFormatPr baseColWidth="10" defaultColWidth="8.83203125" defaultRowHeight="14"/>
  <cols>
    <col min="1" max="1" width="25.83203125" style="2" customWidth="1"/>
    <col min="2" max="2" width="14.83203125" style="13" customWidth="1"/>
    <col min="3" max="3" width="20.83203125" style="2" customWidth="1"/>
    <col min="4" max="4" width="20.83203125" style="2" hidden="1" customWidth="1"/>
    <col min="5" max="7" width="20.83203125" style="2" customWidth="1"/>
    <col min="8" max="9" width="20.83203125" style="2" hidden="1" customWidth="1"/>
    <col min="10" max="13" width="20.83203125" style="2" customWidth="1"/>
    <col min="14" max="16384" width="8.83203125" style="2"/>
  </cols>
  <sheetData>
    <row r="1" spans="1:13" ht="35" customHeight="1">
      <c r="A1" s="206" t="s">
        <v>582</v>
      </c>
      <c r="B1" s="206"/>
      <c r="C1" s="217" t="s">
        <v>615</v>
      </c>
      <c r="D1" s="181"/>
      <c r="E1" s="214" t="s">
        <v>0</v>
      </c>
      <c r="F1" s="215"/>
      <c r="G1" s="216"/>
      <c r="H1" s="211" t="s">
        <v>858</v>
      </c>
      <c r="I1" s="212"/>
      <c r="J1" s="212"/>
      <c r="K1" s="212"/>
      <c r="L1" s="212"/>
      <c r="M1" s="212"/>
    </row>
    <row r="2" spans="1:13" ht="35" customHeight="1">
      <c r="A2" s="206"/>
      <c r="B2" s="206"/>
      <c r="C2" s="218"/>
      <c r="D2" s="202"/>
      <c r="E2" s="203">
        <v>1</v>
      </c>
      <c r="F2" s="122">
        <v>2</v>
      </c>
      <c r="G2" s="122">
        <v>3</v>
      </c>
      <c r="H2" s="5">
        <v>0</v>
      </c>
      <c r="I2" s="6">
        <v>0</v>
      </c>
      <c r="J2" s="6">
        <v>0.35</v>
      </c>
      <c r="K2" s="6">
        <v>0.3</v>
      </c>
      <c r="L2" s="6">
        <v>0.35</v>
      </c>
      <c r="M2" s="7">
        <f>SUM(J2:L2)</f>
        <v>0.99999999999999989</v>
      </c>
    </row>
    <row r="3" spans="1:13" ht="50" customHeight="1">
      <c r="A3" s="213"/>
      <c r="B3" s="213"/>
      <c r="C3" s="158" t="s">
        <v>623</v>
      </c>
      <c r="D3" s="158" t="s">
        <v>571</v>
      </c>
      <c r="E3" s="8" t="s">
        <v>572</v>
      </c>
      <c r="F3" s="8" t="s">
        <v>573</v>
      </c>
      <c r="G3" s="8" t="s">
        <v>574</v>
      </c>
      <c r="H3" s="157" t="s">
        <v>859</v>
      </c>
      <c r="I3" s="157" t="s">
        <v>861</v>
      </c>
      <c r="J3" s="22" t="s">
        <v>572</v>
      </c>
      <c r="K3" s="22" t="s">
        <v>573</v>
      </c>
      <c r="L3" s="22" t="s">
        <v>574</v>
      </c>
      <c r="M3" s="47" t="s">
        <v>582</v>
      </c>
    </row>
    <row r="4" spans="1:13" ht="50" customHeight="1">
      <c r="A4" s="8" t="s">
        <v>840</v>
      </c>
      <c r="B4" s="9" t="s">
        <v>3</v>
      </c>
      <c r="C4" s="158" t="s">
        <v>622</v>
      </c>
      <c r="D4" s="158" t="s">
        <v>577</v>
      </c>
      <c r="E4" s="8" t="s">
        <v>578</v>
      </c>
      <c r="F4" s="8" t="s">
        <v>579</v>
      </c>
      <c r="G4" s="8" t="s">
        <v>580</v>
      </c>
      <c r="H4" s="157" t="s">
        <v>860</v>
      </c>
      <c r="I4" s="157" t="s">
        <v>860</v>
      </c>
      <c r="J4" s="22" t="s">
        <v>581</v>
      </c>
      <c r="K4" s="22" t="s">
        <v>4</v>
      </c>
      <c r="L4" s="22" t="s">
        <v>5</v>
      </c>
      <c r="M4" s="47" t="s">
        <v>6</v>
      </c>
    </row>
    <row r="5" spans="1:13" ht="20" customHeight="1">
      <c r="A5" s="35" t="str" cm="1">
        <f t="array" ref="A5:B40">_xlfn._xlws.FILTER(Screening!$A$2:$B$216,Screening!$L$2:$L$216="Yes","")</f>
        <v>Australia</v>
      </c>
      <c r="B5" s="35" t="str">
        <v>AUS</v>
      </c>
      <c r="C5" s="33">
        <f>_xlfn.XLOOKUP($B5,[1]pillars_WIP!$B$7:$B$301,[1]pillars_WIP!$C$7:$C$301,"Missing",0)</f>
        <v>22629</v>
      </c>
      <c r="D5" s="33">
        <f>_xlfn.XLOOKUP($B5,[1]pillars_WIP!$B$7:$B$301,[1]pillars_WIP!$D$7:$D$301,"Missing",0)</f>
        <v>45.21</v>
      </c>
      <c r="E5" s="33">
        <f>_xlfn.XLOOKUP($B5,[1]pillars_WIP!$B$7:$B$301,[1]pillars_WIP!$E$7:$E$301,"Missing",0)</f>
        <v>35.07</v>
      </c>
      <c r="F5" s="33">
        <f>_xlfn.XLOOKUP($B5,[1]pillars_WIP!$B$7:$B$301,[1]pillars_WIP!$F$7:$F$301,"Missing",0)</f>
        <v>29.45</v>
      </c>
      <c r="G5" s="33">
        <f>_xlfn.XLOOKUP($B5,[1]pillars_WIP!$B$7:$B$301,[1]pillars_WIP!$G$7:$G$301,"Missing",0)</f>
        <v>553.83000000000004</v>
      </c>
      <c r="H5" s="11" t="str">
        <f>IF(ISNUMBER(C5),IF(C5&gt;0,"Yes","No"),"")</f>
        <v>Yes</v>
      </c>
      <c r="I5" s="142">
        <f>IF(ISNUMBER(D5),IFERROR((Params!$G$6-MAX(Params!$G$5,MIN(Params!$G$6,D5)))/(Params!$G$6-Params!$G$5)*100,""),"")</f>
        <v>47.842947164323803</v>
      </c>
      <c r="J5" s="11">
        <f>IF(ISNUMBER(E5),IFERROR((MAX(Params!$G$7,MIN(Params!$G$8,E5))-Params!$G$7)/(Params!$G$8-Params!$G$7)*100,""),"")</f>
        <v>39.436782941244644</v>
      </c>
      <c r="K5" s="11">
        <f>IF(ISNUMBER(F5),IFERROR((MAX(Params!$G$9,MIN(Params!$G$10,F5))-Params!$G$9)/(Params!$G$10-Params!$G$9)*100,""),"")</f>
        <v>67.57442880221555</v>
      </c>
      <c r="L5" s="11">
        <f>IF(ISNUMBER(G5),IFERROR((Params!$G$12-MAX(Params!$G$11,MIN(Params!$G$12,G5)))/(Params!$G$12-Params!$G$11)*100,""),"")</f>
        <v>35.647252392003971</v>
      </c>
      <c r="M5" s="12">
        <f>IF(COUNT(J5:L5)=3,SUMPRODUCT(J5:L5,$J$2:$L$2),"")</f>
        <v>46.551741007301679</v>
      </c>
    </row>
    <row r="6" spans="1:13" ht="20" customHeight="1">
      <c r="A6" s="35" t="str">
        <v>Bangladesh</v>
      </c>
      <c r="B6" s="35" t="str">
        <v>BGD</v>
      </c>
      <c r="C6" s="33">
        <f>_xlfn.XLOOKUP($B6,[1]pillars_WIP!$B$7:$B$301,[1]pillars_WIP!$C$7:$C$301,"Missing",0)</f>
        <v>7230</v>
      </c>
      <c r="D6" s="33">
        <f>_xlfn.XLOOKUP($B6,[1]pillars_WIP!$B$7:$B$301,[1]pillars_WIP!$D$7:$D$301,"Missing",0)</f>
        <v>19.940000000000001</v>
      </c>
      <c r="E6" s="33">
        <f>_xlfn.XLOOKUP($B6,[1]pillars_WIP!$B$7:$B$301,[1]pillars_WIP!$E$7:$E$301,"Missing",0)</f>
        <v>1.89</v>
      </c>
      <c r="F6" s="33">
        <f>_xlfn.XLOOKUP($B6,[1]pillars_WIP!$B$7:$B$301,[1]pillars_WIP!$F$7:$F$301,"Missing",0)</f>
        <v>1.2</v>
      </c>
      <c r="G6" s="33">
        <f>_xlfn.XLOOKUP($B6,[1]pillars_WIP!$B$7:$B$301,[1]pillars_WIP!$G$7:$G$301,"Missing",0)</f>
        <v>695.7</v>
      </c>
      <c r="H6" s="11" t="str">
        <f>IF(ISNUMBER(C6),IF(C6&gt;0,"Yes","No"),"")</f>
        <v>Yes</v>
      </c>
      <c r="I6" s="142">
        <f>IF(ISNUMBER(D6),IFERROR((Params!$G$6-MAX(Params!$G$5,MIN(Params!$G$6,D6)))/(Params!$G$6-Params!$G$5)*100,""),"")</f>
        <v>78.465826466311199</v>
      </c>
      <c r="J6" s="11">
        <f>IF(ISNUMBER(E6),IFERROR((MAX(Params!$G$7,MIN(Params!$G$8,E6))-Params!$G$7)/(Params!$G$8-Params!$G$7)*100,""),"")</f>
        <v>0.98505041140340699</v>
      </c>
      <c r="K6" s="11">
        <f>IF(ISNUMBER(F6),IFERROR((MAX(Params!$G$9,MIN(Params!$G$10,F6))-Params!$G$9)/(Params!$G$10-Params!$G$9)*100,""),"")</f>
        <v>2.3771059312254792</v>
      </c>
      <c r="L6" s="11">
        <f>IF(ISNUMBER(G6),IFERROR((Params!$G$12-MAX(Params!$G$11,MIN(Params!$G$12,G6)))/(Params!$G$12-Params!$G$11)*100,""),"")</f>
        <v>8.2662253381133066</v>
      </c>
      <c r="M6" s="12">
        <f t="shared" ref="M6:M40" si="0">IF(COUNT(J6:L6)=3,SUMPRODUCT(J6:L6,$J$2:$L$2),"")</f>
        <v>3.9510782916984937</v>
      </c>
    </row>
    <row r="7" spans="1:13" ht="20" customHeight="1">
      <c r="A7" s="35" t="str">
        <v>Bosnia and Herzegovina</v>
      </c>
      <c r="B7" s="35" t="str">
        <v>BIH</v>
      </c>
      <c r="C7" s="33">
        <f>_xlfn.XLOOKUP($B7,[1]pillars_WIP!$B$7:$B$301,[1]pillars_WIP!$C$7:$C$301,"Missing",0)</f>
        <v>1990</v>
      </c>
      <c r="D7" s="33">
        <f>_xlfn.XLOOKUP($B7,[1]pillars_WIP!$B$7:$B$301,[1]pillars_WIP!$D$7:$D$301,"Missing",0)</f>
        <v>58.68</v>
      </c>
      <c r="E7" s="33">
        <f>_xlfn.XLOOKUP($B7,[1]pillars_WIP!$B$7:$B$301,[1]pillars_WIP!$E$7:$E$301,"Missing",0)</f>
        <v>40.35</v>
      </c>
      <c r="F7" s="33">
        <f>_xlfn.XLOOKUP($B7,[1]pillars_WIP!$B$7:$B$301,[1]pillars_WIP!$F$7:$F$301,"Missing",0)</f>
        <v>4.91</v>
      </c>
      <c r="G7" s="33">
        <f>_xlfn.XLOOKUP($B7,[1]pillars_WIP!$B$7:$B$301,[1]pillars_WIP!$G$7:$G$301,"Missing",0)</f>
        <v>601.03</v>
      </c>
      <c r="H7" s="11" t="str">
        <f>IF(ISNUMBER(C7),IF(C7&gt;0,"Yes","No"),"No")</f>
        <v>Yes</v>
      </c>
      <c r="I7" s="11">
        <f>IF(ISNUMBER(D7),IFERROR((Params!$G$6-MAX(Params!$G$5,MIN(Params!$G$6,D7)))/(Params!$G$6-Params!$G$5)*100,""),"")</f>
        <v>31.519631604459526</v>
      </c>
      <c r="J7" s="11">
        <f>IF(ISNUMBER(E7),IFERROR((MAX(Params!$G$7,MIN(Params!$G$8,E7))-Params!$G$7)/(Params!$G$8-Params!$G$7)*100,""),"")</f>
        <v>45.555684320315223</v>
      </c>
      <c r="K7" s="11">
        <f>IF(ISNUMBER(F7),IFERROR((MAX(Params!$G$9,MIN(Params!$G$10,F7))-Params!$G$9)/(Params!$G$10-Params!$G$9)*100,""),"")</f>
        <v>10.939303023309487</v>
      </c>
      <c r="L7" s="11">
        <f>IF(ISNUMBER(G7),IFERROR((Params!$G$12-MAX(Params!$G$11,MIN(Params!$G$12,G7)))/(Params!$G$12-Params!$G$11)*100,""),"")</f>
        <v>26.537613448297492</v>
      </c>
      <c r="M7" s="12">
        <f t="shared" si="0"/>
        <v>28.514445126007296</v>
      </c>
    </row>
    <row r="8" spans="1:13" ht="20" customHeight="1">
      <c r="A8" s="35" t="str">
        <v>Brazil</v>
      </c>
      <c r="B8" s="35" t="str">
        <v>BRA</v>
      </c>
      <c r="C8" s="33">
        <f>_xlfn.XLOOKUP($B8,[1]pillars_WIP!$B$7:$B$301,[1]pillars_WIP!$C$7:$C$301,"Missing",0)</f>
        <v>2997</v>
      </c>
      <c r="D8" s="33">
        <f>_xlfn.XLOOKUP($B8,[1]pillars_WIP!$B$7:$B$301,[1]pillars_WIP!$D$7:$D$301,"Missing",0)</f>
        <v>2.17</v>
      </c>
      <c r="E8" s="33">
        <f>_xlfn.XLOOKUP($B8,[1]pillars_WIP!$B$7:$B$301,[1]pillars_WIP!$E$7:$E$301,"Missing",0)</f>
        <v>87.33</v>
      </c>
      <c r="F8" s="33">
        <f>_xlfn.XLOOKUP($B8,[1]pillars_WIP!$B$7:$B$301,[1]pillars_WIP!$F$7:$F$301,"Missing",0)</f>
        <v>24.11</v>
      </c>
      <c r="G8" s="33">
        <f>_xlfn.XLOOKUP($B8,[1]pillars_WIP!$B$7:$B$301,[1]pillars_WIP!$G$7:$G$301,"Missing",0)</f>
        <v>106.06</v>
      </c>
      <c r="H8" s="11" t="str">
        <f t="shared" ref="H8:H40" si="1">IF(ISNUMBER(C8),IF(C8&gt;0,"Yes","No"),"No")</f>
        <v>Yes</v>
      </c>
      <c r="I8" s="11">
        <f>IF(ISNUMBER(D8),IFERROR((Params!$G$6-MAX(Params!$G$5,MIN(Params!$G$6,D8)))/(Params!$G$6-Params!$G$5)*100,""),"")</f>
        <v>100</v>
      </c>
      <c r="J8" s="11">
        <f>IF(ISNUMBER(E8),IFERROR((MAX(Params!$G$7,MIN(Params!$G$8,E8))-Params!$G$7)/(Params!$G$8-Params!$G$7)*100,""),"")</f>
        <v>100</v>
      </c>
      <c r="K8" s="11">
        <f>IF(ISNUMBER(F8),IFERROR((MAX(Params!$G$9,MIN(Params!$G$10,F8))-Params!$G$9)/(Params!$G$10-Params!$G$9)*100,""),"")</f>
        <v>55.250403877221324</v>
      </c>
      <c r="L8" s="11">
        <f>IF(ISNUMBER(G8),IFERROR((Params!$G$12-MAX(Params!$G$11,MIN(Params!$G$12,G8)))/(Params!$G$12-Params!$G$11)*100,""),"")</f>
        <v>100</v>
      </c>
      <c r="M8" s="12">
        <f t="shared" si="0"/>
        <v>86.575121163166401</v>
      </c>
    </row>
    <row r="9" spans="1:13" ht="20" customHeight="1">
      <c r="A9" s="35" t="str">
        <v>Bulgaria</v>
      </c>
      <c r="B9" s="35" t="str">
        <v>BGR</v>
      </c>
      <c r="C9" s="33">
        <f>_xlfn.XLOOKUP($B9,[1]pillars_WIP!$B$7:$B$301,[1]pillars_WIP!$C$7:$C$301,"Missing",0)</f>
        <v>4115</v>
      </c>
      <c r="D9" s="33">
        <f>_xlfn.XLOOKUP($B9,[1]pillars_WIP!$B$7:$B$301,[1]pillars_WIP!$D$7:$D$301,"Missing",0)</f>
        <v>22.87</v>
      </c>
      <c r="E9" s="33">
        <f>_xlfn.XLOOKUP($B9,[1]pillars_WIP!$B$7:$B$301,[1]pillars_WIP!$E$7:$E$301,"Missing",0)</f>
        <v>29.91</v>
      </c>
      <c r="F9" s="33">
        <f>_xlfn.XLOOKUP($B9,[1]pillars_WIP!$B$7:$B$301,[1]pillars_WIP!$F$7:$F$301,"Missing",0)</f>
        <v>18.14</v>
      </c>
      <c r="G9" s="33">
        <f>_xlfn.XLOOKUP($B9,[1]pillars_WIP!$B$7:$B$301,[1]pillars_WIP!$G$7:$G$301,"Missing",0)</f>
        <v>278.85000000000002</v>
      </c>
      <c r="H9" s="11" t="str">
        <f t="shared" si="1"/>
        <v>Yes</v>
      </c>
      <c r="I9" s="11">
        <f>IF(ISNUMBER(D9),IFERROR((Params!$G$6-MAX(Params!$G$5,MIN(Params!$G$6,D9)))/(Params!$G$6-Params!$G$5)*100,""),"")</f>
        <v>74.915172079495875</v>
      </c>
      <c r="J9" s="11">
        <f>IF(ISNUMBER(E9),IFERROR((MAX(Params!$G$7,MIN(Params!$G$8,E9))-Params!$G$7)/(Params!$G$8-Params!$G$7)*100,""),"")</f>
        <v>33.456947502607491</v>
      </c>
      <c r="K9" s="11">
        <f>IF(ISNUMBER(F9),IFERROR((MAX(Params!$G$9,MIN(Params!$G$10,F9))-Params!$G$9)/(Params!$G$10-Params!$G$9)*100,""),"")</f>
        <v>41.472420955458112</v>
      </c>
      <c r="L9" s="11">
        <f>IF(ISNUMBER(G9),IFERROR((Params!$G$12-MAX(Params!$G$11,MIN(Params!$G$12,G9)))/(Params!$G$12-Params!$G$11)*100,""),"")</f>
        <v>88.718619272097385</v>
      </c>
      <c r="M9" s="12">
        <f t="shared" si="0"/>
        <v>55.203174657784132</v>
      </c>
    </row>
    <row r="10" spans="1:13" ht="20" customHeight="1">
      <c r="A10" s="35" t="str">
        <v>Cambodia</v>
      </c>
      <c r="B10" s="35" t="str">
        <v>KHM</v>
      </c>
      <c r="C10" s="33">
        <f>_xlfn.XLOOKUP($B10,[1]pillars_WIP!$B$7:$B$301,[1]pillars_WIP!$C$7:$C$301,"Missing",0)</f>
        <v>1455</v>
      </c>
      <c r="D10" s="33">
        <f>_xlfn.XLOOKUP($B10,[1]pillars_WIP!$B$7:$B$301,[1]pillars_WIP!$D$7:$D$301,"Missing",0)</f>
        <v>60.92</v>
      </c>
      <c r="E10" s="33">
        <f>_xlfn.XLOOKUP($B10,[1]pillars_WIP!$B$7:$B$301,[1]pillars_WIP!$E$7:$E$301,"Missing",0)</f>
        <v>35.659999999999997</v>
      </c>
      <c r="F10" s="33">
        <f>_xlfn.XLOOKUP($B10,[1]pillars_WIP!$B$7:$B$301,[1]pillars_WIP!$F$7:$F$301,"Missing",0)</f>
        <v>6.91</v>
      </c>
      <c r="G10" s="33">
        <f>_xlfn.XLOOKUP($B10,[1]pillars_WIP!$B$7:$B$301,[1]pillars_WIP!$G$7:$G$301,"Missing",0)</f>
        <v>538.76</v>
      </c>
      <c r="H10" s="11" t="str">
        <f t="shared" si="1"/>
        <v>Yes</v>
      </c>
      <c r="I10" s="11">
        <f>IF(ISNUMBER(D10),IFERROR((Params!$G$6-MAX(Params!$G$5,MIN(Params!$G$6,D10)))/(Params!$G$6-Params!$G$5)*100,""),"")</f>
        <v>28.805138148327675</v>
      </c>
      <c r="J10" s="11">
        <f>IF(ISNUMBER(E10),IFERROR((MAX(Params!$G$7,MIN(Params!$G$8,E10))-Params!$G$7)/(Params!$G$8-Params!$G$7)*100,""),"")</f>
        <v>40.120523815042304</v>
      </c>
      <c r="K10" s="11">
        <f>IF(ISNUMBER(F10),IFERROR((MAX(Params!$G$9,MIN(Params!$G$10,F10))-Params!$G$9)/(Params!$G$10-Params!$G$9)*100,""),"")</f>
        <v>15.55504269559197</v>
      </c>
      <c r="L10" s="11">
        <f>IF(ISNUMBER(G10),IFERROR((Params!$G$12-MAX(Params!$G$11,MIN(Params!$G$12,G10)))/(Params!$G$12-Params!$G$11)*100,""),"")</f>
        <v>38.555774825937384</v>
      </c>
      <c r="M10" s="12">
        <f t="shared" si="0"/>
        <v>32.203217333020483</v>
      </c>
    </row>
    <row r="11" spans="1:13" ht="20" customHeight="1">
      <c r="A11" s="35" t="str">
        <v>Canada</v>
      </c>
      <c r="B11" s="35" t="str">
        <v>CAN</v>
      </c>
      <c r="C11" s="33">
        <f>_xlfn.XLOOKUP($B11,[1]pillars_WIP!$B$7:$B$301,[1]pillars_WIP!$C$7:$C$301,"Missing",0)</f>
        <v>3080.8</v>
      </c>
      <c r="D11" s="33">
        <f>_xlfn.XLOOKUP($B11,[1]pillars_WIP!$B$7:$B$301,[1]pillars_WIP!$D$7:$D$301,"Missing",0)</f>
        <v>3.95</v>
      </c>
      <c r="E11" s="33">
        <f>_xlfn.XLOOKUP($B11,[1]pillars_WIP!$B$7:$B$301,[1]pillars_WIP!$E$7:$E$301,"Missing",0)</f>
        <v>64.27</v>
      </c>
      <c r="F11" s="33">
        <f>_xlfn.XLOOKUP($B11,[1]pillars_WIP!$B$7:$B$301,[1]pillars_WIP!$F$7:$F$301,"Missing",0)</f>
        <v>8.83</v>
      </c>
      <c r="G11" s="33">
        <f>_xlfn.XLOOKUP($B11,[1]pillars_WIP!$B$7:$B$301,[1]pillars_WIP!$G$7:$G$301,"Missing",0)</f>
        <v>185.35</v>
      </c>
      <c r="H11" s="11" t="str">
        <f t="shared" si="1"/>
        <v>Yes</v>
      </c>
      <c r="I11" s="11">
        <f>IF(ISNUMBER(D11),IFERROR((Params!$G$6-MAX(Params!$G$5,MIN(Params!$G$6,D11)))/(Params!$G$6-Params!$G$5)*100,""),"")</f>
        <v>97.842947164323803</v>
      </c>
      <c r="J11" s="11">
        <f>IF(ISNUMBER(E11),IFERROR((MAX(Params!$G$7,MIN(Params!$G$8,E11))-Params!$G$7)/(Params!$G$8-Params!$G$7)*100,""),"")</f>
        <v>73.276161780044035</v>
      </c>
      <c r="K11" s="11">
        <f>IF(ISNUMBER(F11),IFERROR((MAX(Params!$G$9,MIN(Params!$G$10,F11))-Params!$G$9)/(Params!$G$10-Params!$G$9)*100,""),"")</f>
        <v>19.986152780983154</v>
      </c>
      <c r="L11" s="11">
        <f>IF(ISNUMBER(G11),IFERROR((Params!$G$12-MAX(Params!$G$11,MIN(Params!$G$12,G11)))/(Params!$G$12-Params!$G$11)*100,""),"")</f>
        <v>100</v>
      </c>
      <c r="M11" s="12">
        <f t="shared" si="0"/>
        <v>66.642502457310357</v>
      </c>
    </row>
    <row r="12" spans="1:13" ht="20" customHeight="1">
      <c r="A12" s="35" t="str">
        <v>Chile</v>
      </c>
      <c r="B12" s="35" t="str">
        <v>CHL</v>
      </c>
      <c r="C12" s="33">
        <f>_xlfn.XLOOKUP($B12,[1]pillars_WIP!$B$7:$B$301,[1]pillars_WIP!$C$7:$C$301,"Missing",0)</f>
        <v>3117</v>
      </c>
      <c r="D12" s="33">
        <f>_xlfn.XLOOKUP($B12,[1]pillars_WIP!$B$7:$B$301,[1]pillars_WIP!$D$7:$D$301,"Missing",0)</f>
        <v>15.3</v>
      </c>
      <c r="E12" s="33">
        <f>_xlfn.XLOOKUP($B12,[1]pillars_WIP!$B$7:$B$301,[1]pillars_WIP!$E$7:$E$301,"Missing",0)</f>
        <v>70.040000000000006</v>
      </c>
      <c r="F12" s="33">
        <f>_xlfn.XLOOKUP($B12,[1]pillars_WIP!$B$7:$B$301,[1]pillars_WIP!$F$7:$F$301,"Missing",0)</f>
        <v>34.549999999999997</v>
      </c>
      <c r="G12" s="33">
        <f>_xlfn.XLOOKUP($B12,[1]pillars_WIP!$B$7:$B$301,[1]pillars_WIP!$G$7:$G$301,"Missing",0)</f>
        <v>259.87</v>
      </c>
      <c r="H12" s="11" t="str">
        <f t="shared" si="1"/>
        <v>Yes</v>
      </c>
      <c r="I12" s="11">
        <f>IF(ISNUMBER(D12),IFERROR((Params!$G$6-MAX(Params!$G$5,MIN(Params!$G$6,D12)))/(Params!$G$6-Params!$G$5)*100,""),"")</f>
        <v>84.088705768298595</v>
      </c>
      <c r="J12" s="11">
        <f>IF(ISNUMBER(E12),IFERROR((MAX(Params!$G$7,MIN(Params!$G$8,E12))-Params!$G$7)/(Params!$G$8-Params!$G$7)*100,""),"")</f>
        <v>79.962915749217771</v>
      </c>
      <c r="K12" s="11">
        <f>IF(ISNUMBER(F12),IFERROR((MAX(Params!$G$9,MIN(Params!$G$10,F12))-Params!$G$9)/(Params!$G$10-Params!$G$9)*100,""),"")</f>
        <v>79.344564966535884</v>
      </c>
      <c r="L12" s="11">
        <f>IF(ISNUMBER(G12),IFERROR((Params!$G$12-MAX(Params!$G$11,MIN(Params!$G$12,G12)))/(Params!$G$12-Params!$G$11)*100,""),"")</f>
        <v>92.381774932087836</v>
      </c>
      <c r="M12" s="12">
        <f t="shared" si="0"/>
        <v>84.124011228417714</v>
      </c>
    </row>
    <row r="13" spans="1:13" ht="20" customHeight="1">
      <c r="A13" s="35" t="str">
        <v>China</v>
      </c>
      <c r="B13" s="35" t="str">
        <v>CHN</v>
      </c>
      <c r="C13" s="33">
        <f>_xlfn.XLOOKUP($B13,[1]pillars_WIP!$B$7:$B$301,[1]pillars_WIP!$C$7:$C$301,"Missing",0)</f>
        <v>1239021.8</v>
      </c>
      <c r="D13" s="33">
        <f>_xlfn.XLOOKUP($B13,[1]pillars_WIP!$B$7:$B$301,[1]pillars_WIP!$D$7:$D$301,"Missing",0)</f>
        <v>57.77</v>
      </c>
      <c r="E13" s="33">
        <f>_xlfn.XLOOKUP($B13,[1]pillars_WIP!$B$7:$B$301,[1]pillars_WIP!$E$7:$E$301,"Missing",0)</f>
        <v>33.700000000000003</v>
      </c>
      <c r="F13" s="33">
        <f>_xlfn.XLOOKUP($B13,[1]pillars_WIP!$B$7:$B$301,[1]pillars_WIP!$F$7:$F$301,"Missing",0)</f>
        <v>18.2</v>
      </c>
      <c r="G13" s="33">
        <f>_xlfn.XLOOKUP($B13,[1]pillars_WIP!$B$7:$B$301,[1]pillars_WIP!$G$7:$G$301,"Missing",0)</f>
        <v>555.4</v>
      </c>
      <c r="H13" s="11" t="str">
        <f t="shared" si="1"/>
        <v>Yes</v>
      </c>
      <c r="I13" s="11">
        <f>IF(ISNUMBER(D13),IFERROR((Params!$G$6-MAX(Params!$G$5,MIN(Params!$G$6,D13)))/(Params!$G$6-Params!$G$5)*100,""),"")</f>
        <v>32.622394571013082</v>
      </c>
      <c r="J13" s="11">
        <f>IF(ISNUMBER(E13),IFERROR((MAX(Params!$G$7,MIN(Params!$G$8,E13))-Params!$G$7)/(Params!$G$8-Params!$G$7)*100,""),"")</f>
        <v>37.849113454629745</v>
      </c>
      <c r="K13" s="11">
        <f>IF(ISNUMBER(F13),IFERROR((MAX(Params!$G$9,MIN(Params!$G$10,F13))-Params!$G$9)/(Params!$G$10-Params!$G$9)*100,""),"")</f>
        <v>41.610893145626584</v>
      </c>
      <c r="L13" s="11">
        <f>IF(ISNUMBER(G13),IFERROR((Params!$G$12-MAX(Params!$G$11,MIN(Params!$G$12,G13)))/(Params!$G$12-Params!$G$11)*100,""),"")</f>
        <v>35.344241096630689</v>
      </c>
      <c r="M13" s="12">
        <f t="shared" si="0"/>
        <v>38.100942036629121</v>
      </c>
    </row>
    <row r="14" spans="1:13" ht="20" customHeight="1">
      <c r="A14" s="35" t="str">
        <v>Czech Republic</v>
      </c>
      <c r="B14" s="35" t="str">
        <v>CZE</v>
      </c>
      <c r="C14" s="33">
        <f>_xlfn.XLOOKUP($B14,[1]pillars_WIP!$B$7:$B$301,[1]pillars_WIP!$C$7:$C$301,"Missing",0)</f>
        <v>6803.6</v>
      </c>
      <c r="D14" s="33">
        <f>_xlfn.XLOOKUP($B14,[1]pillars_WIP!$B$7:$B$301,[1]pillars_WIP!$D$7:$D$301,"Missing",0)</f>
        <v>36.42</v>
      </c>
      <c r="E14" s="33">
        <f>_xlfn.XLOOKUP($B14,[1]pillars_WIP!$B$7:$B$301,[1]pillars_WIP!$E$7:$E$301,"Missing",0)</f>
        <v>16.89</v>
      </c>
      <c r="F14" s="33">
        <f>_xlfn.XLOOKUP($B14,[1]pillars_WIP!$B$7:$B$301,[1]pillars_WIP!$F$7:$F$301,"Missing",0)</f>
        <v>5.85</v>
      </c>
      <c r="G14" s="33">
        <f>_xlfn.XLOOKUP($B14,[1]pillars_WIP!$B$7:$B$301,[1]pillars_WIP!$G$7:$G$301,"Missing",0)</f>
        <v>414.23</v>
      </c>
      <c r="H14" s="11" t="str">
        <f t="shared" si="1"/>
        <v>Yes</v>
      </c>
      <c r="I14" s="11">
        <f>IF(ISNUMBER(D14),IFERROR((Params!$G$6-MAX(Params!$G$5,MIN(Params!$G$6,D14)))/(Params!$G$6-Params!$G$5)*100,""),"")</f>
        <v>58.494910324769755</v>
      </c>
      <c r="J14" s="11">
        <f>IF(ISNUMBER(E14),IFERROR((MAX(Params!$G$7,MIN(Params!$G$8,E14))-Params!$G$7)/(Params!$G$8-Params!$G$7)*100,""),"")</f>
        <v>18.368292965581183</v>
      </c>
      <c r="K14" s="11">
        <f>IF(ISNUMBER(F14),IFERROR((MAX(Params!$G$9,MIN(Params!$G$10,F14))-Params!$G$9)/(Params!$G$10-Params!$G$9)*100,""),"")</f>
        <v>13.108700669282253</v>
      </c>
      <c r="L14" s="11">
        <f>IF(ISNUMBER(G14),IFERROR((Params!$G$12-MAX(Params!$G$11,MIN(Params!$G$12,G14)))/(Params!$G$12-Params!$G$11)*100,""),"")</f>
        <v>62.590167572966372</v>
      </c>
      <c r="M14" s="12">
        <f t="shared" si="0"/>
        <v>32.268071389276322</v>
      </c>
    </row>
    <row r="15" spans="1:13" ht="20" customHeight="1">
      <c r="A15" s="35" t="str">
        <v>Dominican Republic</v>
      </c>
      <c r="B15" s="35" t="str">
        <v>DOM</v>
      </c>
      <c r="C15" s="33">
        <f>_xlfn.XLOOKUP($B15,[1]pillars_WIP!$B$7:$B$301,[1]pillars_WIP!$C$7:$C$301,"Missing",0)</f>
        <v>1064</v>
      </c>
      <c r="D15" s="33">
        <f>_xlfn.XLOOKUP($B15,[1]pillars_WIP!$B$7:$B$301,[1]pillars_WIP!$D$7:$D$301,"Missing",0)</f>
        <v>29.96</v>
      </c>
      <c r="E15" s="33">
        <f>_xlfn.XLOOKUP($B15,[1]pillars_WIP!$B$7:$B$301,[1]pillars_WIP!$E$7:$E$301,"Missing",0)</f>
        <v>18.850000000000001</v>
      </c>
      <c r="F15" s="33">
        <f>_xlfn.XLOOKUP($B15,[1]pillars_WIP!$B$7:$B$301,[1]pillars_WIP!$F$7:$F$301,"Missing",0)</f>
        <v>11.86</v>
      </c>
      <c r="G15" s="33">
        <f>_xlfn.XLOOKUP($B15,[1]pillars_WIP!$B$7:$B$301,[1]pillars_WIP!$G$7:$G$301,"Missing",0)</f>
        <v>567.62</v>
      </c>
      <c r="H15" s="11" t="str">
        <f t="shared" si="1"/>
        <v>Yes</v>
      </c>
      <c r="I15" s="11">
        <f>IF(ISNUMBER(D15),IFERROR((Params!$G$6-MAX(Params!$G$5,MIN(Params!$G$6,D15)))/(Params!$G$6-Params!$G$5)*100,""),"")</f>
        <v>66.32331555986427</v>
      </c>
      <c r="J15" s="11">
        <f>IF(ISNUMBER(E15),IFERROR((MAX(Params!$G$7,MIN(Params!$G$8,E15))-Params!$G$7)/(Params!$G$8-Params!$G$7)*100,""),"")</f>
        <v>20.639703325993747</v>
      </c>
      <c r="K15" s="11">
        <f>IF(ISNUMBER(F15),IFERROR((MAX(Params!$G$9,MIN(Params!$G$10,F15))-Params!$G$9)/(Params!$G$10-Params!$G$9)*100,""),"")</f>
        <v>26.978998384491113</v>
      </c>
      <c r="L15" s="11">
        <f>IF(ISNUMBER(G15),IFERROR((Params!$G$12-MAX(Params!$G$11,MIN(Params!$G$12,G15)))/(Params!$G$12-Params!$G$11)*100,""),"")</f>
        <v>32.985771014171085</v>
      </c>
      <c r="M15" s="12">
        <f t="shared" si="0"/>
        <v>26.862615534405023</v>
      </c>
    </row>
    <row r="16" spans="1:13" ht="20" customHeight="1">
      <c r="A16" s="35" t="str">
        <v>Germany</v>
      </c>
      <c r="B16" s="35" t="str">
        <v>DEU</v>
      </c>
      <c r="C16" s="33">
        <f>_xlfn.XLOOKUP($B16,[1]pillars_WIP!$B$7:$B$301,[1]pillars_WIP!$C$7:$C$301,"Missing",0)</f>
        <v>28323.1</v>
      </c>
      <c r="D16" s="33">
        <f>_xlfn.XLOOKUP($B16,[1]pillars_WIP!$B$7:$B$301,[1]pillars_WIP!$D$7:$D$301,"Missing",0)</f>
        <v>21.44</v>
      </c>
      <c r="E16" s="33">
        <f>_xlfn.XLOOKUP($B16,[1]pillars_WIP!$B$7:$B$301,[1]pillars_WIP!$E$7:$E$301,"Missing",0)</f>
        <v>58.64</v>
      </c>
      <c r="F16" s="33">
        <f>_xlfn.XLOOKUP($B16,[1]pillars_WIP!$B$7:$B$301,[1]pillars_WIP!$F$7:$F$301,"Missing",0)</f>
        <v>43.5</v>
      </c>
      <c r="G16" s="33">
        <f>_xlfn.XLOOKUP($B16,[1]pillars_WIP!$B$7:$B$301,[1]pillars_WIP!$G$7:$G$301,"Missing",0)</f>
        <v>336.38</v>
      </c>
      <c r="H16" s="11" t="str">
        <f t="shared" si="1"/>
        <v>Yes</v>
      </c>
      <c r="I16" s="142">
        <f>IF(ISNUMBER(D16),IFERROR((Params!$G$6-MAX(Params!$G$5,MIN(Params!$G$6,D16)))/(Params!$G$6-Params!$G$5)*100,""),"")</f>
        <v>76.648085312651489</v>
      </c>
      <c r="J16" s="11">
        <f>IF(ISNUMBER(E16),IFERROR((MAX(Params!$G$7,MIN(Params!$G$8,E16))-Params!$G$7)/(Params!$G$8-Params!$G$7)*100,""),"")</f>
        <v>66.751651408042662</v>
      </c>
      <c r="K16" s="11">
        <f>IF(ISNUMBER(F16),IFERROR((MAX(Params!$G$9,MIN(Params!$G$10,F16))-Params!$G$9)/(Params!$G$10-Params!$G$9)*100,""),"")</f>
        <v>100</v>
      </c>
      <c r="L16" s="11">
        <f>IF(ISNUMBER(G16),IFERROR((Params!$G$12-MAX(Params!$G$11,MIN(Params!$G$12,G16)))/(Params!$G$12-Params!$G$11)*100,""),"")</f>
        <v>77.61528180532973</v>
      </c>
      <c r="M16" s="12">
        <f t="shared" si="0"/>
        <v>80.528426624680336</v>
      </c>
    </row>
    <row r="17" spans="1:13" ht="20" customHeight="1">
      <c r="A17" s="35" t="str">
        <v>Hong Kong</v>
      </c>
      <c r="B17" s="35" t="str">
        <v>HKG</v>
      </c>
      <c r="C17" s="33">
        <f>_xlfn.XLOOKUP($B17,[1]pillars_WIP!$B$7:$B$301,[1]pillars_WIP!$C$7:$C$301,"Missing",0)</f>
        <v>4110</v>
      </c>
      <c r="D17" s="33">
        <f>_xlfn.XLOOKUP($B17,[1]pillars_WIP!$B$7:$B$301,[1]pillars_WIP!$D$7:$D$301,"Missing",0)</f>
        <v>33.65</v>
      </c>
      <c r="E17" s="33">
        <f>_xlfn.XLOOKUP($B17,[1]pillars_WIP!$B$7:$B$301,[1]pillars_WIP!$E$7:$E$301,"Missing",0)</f>
        <v>1.04</v>
      </c>
      <c r="F17" s="33">
        <f>_xlfn.XLOOKUP($B17,[1]pillars_WIP!$B$7:$B$301,[1]pillars_WIP!$F$7:$F$301,"Missing",0)</f>
        <v>0.61</v>
      </c>
      <c r="G17" s="33">
        <f>_xlfn.XLOOKUP($B17,[1]pillars_WIP!$B$7:$B$301,[1]pillars_WIP!$G$7:$G$301,"Missing",0)</f>
        <v>675.48</v>
      </c>
      <c r="H17" s="11" t="str">
        <f t="shared" si="1"/>
        <v>Yes</v>
      </c>
      <c r="I17" s="11">
        <f>IF(ISNUMBER(D17),IFERROR((Params!$G$6-MAX(Params!$G$5,MIN(Params!$G$6,D17)))/(Params!$G$6-Params!$G$5)*100,""),"")</f>
        <v>61.851672321861372</v>
      </c>
      <c r="J17" s="11">
        <f>IF(ISNUMBER(E17),IFERROR((MAX(Params!$G$7,MIN(Params!$G$8,E17))-Params!$G$7)/(Params!$G$8-Params!$G$7)*100,""),"")</f>
        <v>0</v>
      </c>
      <c r="K17" s="11">
        <f>IF(ISNUMBER(F17),IFERROR((MAX(Params!$G$9,MIN(Params!$G$10,F17))-Params!$G$9)/(Params!$G$10-Params!$G$9)*100,""),"")</f>
        <v>1.0154627279021462</v>
      </c>
      <c r="L17" s="11">
        <f>IF(ISNUMBER(G17),IFERROR((Params!$G$12-MAX(Params!$G$11,MIN(Params!$G$12,G17)))/(Params!$G$12-Params!$G$11)*100,""),"")</f>
        <v>12.168702021201133</v>
      </c>
      <c r="M17" s="12">
        <f t="shared" si="0"/>
        <v>4.5636845257910403</v>
      </c>
    </row>
    <row r="18" spans="1:13" ht="20" customHeight="1">
      <c r="A18" s="35" t="str">
        <v>India</v>
      </c>
      <c r="B18" s="35" t="str">
        <v>IND</v>
      </c>
      <c r="C18" s="33">
        <f>_xlfn.XLOOKUP($B18,[1]pillars_WIP!$B$7:$B$301,[1]pillars_WIP!$C$7:$C$301,"Missing",0)</f>
        <v>249872.7</v>
      </c>
      <c r="D18" s="33">
        <f>_xlfn.XLOOKUP($B18,[1]pillars_WIP!$B$7:$B$301,[1]pillars_WIP!$D$7:$D$301,"Missing",0)</f>
        <v>74.53</v>
      </c>
      <c r="E18" s="33">
        <f>_xlfn.XLOOKUP($B18,[1]pillars_WIP!$B$7:$B$301,[1]pillars_WIP!$E$7:$E$301,"Missing",0)</f>
        <v>19.809999999999999</v>
      </c>
      <c r="F18" s="33">
        <f>_xlfn.XLOOKUP($B18,[1]pillars_WIP!$B$7:$B$301,[1]pillars_WIP!$F$7:$F$301,"Missing",0)</f>
        <v>11.03</v>
      </c>
      <c r="G18" s="33">
        <f>_xlfn.XLOOKUP($B18,[1]pillars_WIP!$B$7:$B$301,[1]pillars_WIP!$G$7:$G$301,"Missing",0)</f>
        <v>705.4</v>
      </c>
      <c r="H18" s="11" t="str">
        <f t="shared" si="1"/>
        <v>Yes</v>
      </c>
      <c r="I18" s="11">
        <f>IF(ISNUMBER(D18),IFERROR((Params!$G$6-MAX(Params!$G$5,MIN(Params!$G$6,D18)))/(Params!$G$6-Params!$G$5)*100,""),"")</f>
        <v>12.312166747455159</v>
      </c>
      <c r="J18" s="11">
        <f>IF(ISNUMBER(E18),IFERROR((MAX(Params!$G$7,MIN(Params!$G$8,E18))-Params!$G$7)/(Params!$G$8-Params!$G$7)*100,""),"")</f>
        <v>21.752230849461121</v>
      </c>
      <c r="K18" s="11">
        <f>IF(ISNUMBER(F18),IFERROR((MAX(Params!$G$9,MIN(Params!$G$10,F18))-Params!$G$9)/(Params!$G$10-Params!$G$9)*100,""),"")</f>
        <v>25.063466420493885</v>
      </c>
      <c r="L18" s="11">
        <f>IF(ISNUMBER(G18),IFERROR((Params!$G$12-MAX(Params!$G$11,MIN(Params!$G$12,G18)))/(Params!$G$12-Params!$G$11)*100,""),"")</f>
        <v>6.3941173348516065</v>
      </c>
      <c r="M18" s="12">
        <f t="shared" si="0"/>
        <v>17.370261790657619</v>
      </c>
    </row>
    <row r="19" spans="1:13" ht="20" customHeight="1">
      <c r="A19" s="35" t="str">
        <v>Indonesia</v>
      </c>
      <c r="B19" s="35" t="str">
        <v>IDN</v>
      </c>
      <c r="C19" s="33">
        <f>_xlfn.XLOOKUP($B19,[1]pillars_WIP!$B$7:$B$301,[1]pillars_WIP!$C$7:$C$301,"Missing",0)</f>
        <v>60704.6</v>
      </c>
      <c r="D19" s="33">
        <f>_xlfn.XLOOKUP($B19,[1]pillars_WIP!$B$7:$B$301,[1]pillars_WIP!$D$7:$D$301,"Missing",0)</f>
        <v>61.48</v>
      </c>
      <c r="E19" s="33">
        <f>_xlfn.XLOOKUP($B19,[1]pillars_WIP!$B$7:$B$301,[1]pillars_WIP!$E$7:$E$301,"Missing",0)</f>
        <v>18.09</v>
      </c>
      <c r="F19" s="33">
        <f>_xlfn.XLOOKUP($B19,[1]pillars_WIP!$B$7:$B$301,[1]pillars_WIP!$F$7:$F$301,"Missing",0)</f>
        <v>0.49</v>
      </c>
      <c r="G19" s="33">
        <f>_xlfn.XLOOKUP($B19,[1]pillars_WIP!$B$7:$B$301,[1]pillars_WIP!$G$7:$G$301,"Missing",0)</f>
        <v>680.25</v>
      </c>
      <c r="H19" s="11" t="str">
        <f t="shared" si="1"/>
        <v>Yes</v>
      </c>
      <c r="I19" s="11">
        <f>IF(ISNUMBER(D19),IFERROR((Params!$G$6-MAX(Params!$G$5,MIN(Params!$G$6,D19)))/(Params!$G$6-Params!$G$5)*100,""),"")</f>
        <v>28.12651478429472</v>
      </c>
      <c r="J19" s="11">
        <f>IF(ISNUMBER(E19),IFERROR((MAX(Params!$G$7,MIN(Params!$G$8,E19))-Params!$G$7)/(Params!$G$8-Params!$G$7)*100,""),"")</f>
        <v>19.758952369915402</v>
      </c>
      <c r="K19" s="11">
        <f>IF(ISNUMBER(F19),IFERROR((MAX(Params!$G$9,MIN(Params!$G$10,F19))-Params!$G$9)/(Params!$G$10-Params!$G$9)*100,""),"")</f>
        <v>0.7385183475651973</v>
      </c>
      <c r="L19" s="11">
        <f>IF(ISNUMBER(G19),IFERROR((Params!$G$12-MAX(Params!$G$11,MIN(Params!$G$12,G19)))/(Params!$G$12-Params!$G$11)*100,""),"")</f>
        <v>11.248088085576562</v>
      </c>
      <c r="M19" s="12">
        <f t="shared" si="0"/>
        <v>11.074019663691745</v>
      </c>
    </row>
    <row r="20" spans="1:13" ht="20" customHeight="1">
      <c r="A20" s="35" t="str">
        <v>Japan</v>
      </c>
      <c r="B20" s="35" t="str">
        <v>JPN</v>
      </c>
      <c r="C20" s="33">
        <f>_xlfn.XLOOKUP($B20,[1]pillars_WIP!$B$7:$B$301,[1]pillars_WIP!$C$7:$C$301,"Missing",0)</f>
        <v>53000</v>
      </c>
      <c r="D20" s="33">
        <f>_xlfn.XLOOKUP($B20,[1]pillars_WIP!$B$7:$B$301,[1]pillars_WIP!$D$7:$D$301,"Missing",0)</f>
        <v>32.19</v>
      </c>
      <c r="E20" s="33">
        <f>_xlfn.XLOOKUP($B20,[1]pillars_WIP!$B$7:$B$301,[1]pillars_WIP!$E$7:$E$301,"Missing",0)</f>
        <v>22.94</v>
      </c>
      <c r="F20" s="33">
        <f>_xlfn.XLOOKUP($B20,[1]pillars_WIP!$B$7:$B$301,[1]pillars_WIP!$F$7:$F$301,"Missing",0)</f>
        <v>10.65</v>
      </c>
      <c r="G20" s="33">
        <f>_xlfn.XLOOKUP($B20,[1]pillars_WIP!$B$7:$B$301,[1]pillars_WIP!$G$7:$G$301,"Missing",0)</f>
        <v>483.43</v>
      </c>
      <c r="H20" s="11" t="str">
        <f t="shared" si="1"/>
        <v>Yes</v>
      </c>
      <c r="I20" s="142">
        <f>IF(ISNUMBER(D20),IFERROR((Params!$G$6-MAX(Params!$G$5,MIN(Params!$G$6,D20)))/(Params!$G$6-Params!$G$5)*100,""),"")</f>
        <v>63.620940378090161</v>
      </c>
      <c r="J20" s="11">
        <f>IF(ISNUMBER(E20),IFERROR((MAX(Params!$G$7,MIN(Params!$G$8,E20))-Params!$G$7)/(Params!$G$8-Params!$G$7)*100,""),"")</f>
        <v>25.37953412909955</v>
      </c>
      <c r="K20" s="11">
        <f>IF(ISNUMBER(F20),IFERROR((MAX(Params!$G$9,MIN(Params!$G$10,F20))-Params!$G$9)/(Params!$G$10-Params!$G$9)*100,""),"")</f>
        <v>24.186475882760213</v>
      </c>
      <c r="L20" s="11">
        <f>IF(ISNUMBER(G20),IFERROR((Params!$G$12-MAX(Params!$G$11,MIN(Params!$G$12,G20)))/(Params!$G$12-Params!$G$11)*100,""),"")</f>
        <v>49.234510477532289</v>
      </c>
      <c r="M20" s="12">
        <f t="shared" si="0"/>
        <v>33.370858377149204</v>
      </c>
    </row>
    <row r="21" spans="1:13" ht="20" customHeight="1">
      <c r="A21" s="35" t="str">
        <v>Kazakhstan</v>
      </c>
      <c r="B21" s="35" t="str">
        <v>KAZ</v>
      </c>
      <c r="C21" s="33">
        <f>_xlfn.XLOOKUP($B21,[1]pillars_WIP!$B$7:$B$301,[1]pillars_WIP!$C$7:$C$301,"Missing",0)</f>
        <v>13251</v>
      </c>
      <c r="D21" s="33">
        <f>_xlfn.XLOOKUP($B21,[1]pillars_WIP!$B$7:$B$301,[1]pillars_WIP!$D$7:$D$301,"Missing",0)</f>
        <v>54.03</v>
      </c>
      <c r="E21" s="33">
        <f>_xlfn.XLOOKUP($B21,[1]pillars_WIP!$B$7:$B$301,[1]pillars_WIP!$E$7:$E$301,"Missing",0)</f>
        <v>15.21</v>
      </c>
      <c r="F21" s="33">
        <f>_xlfn.XLOOKUP($B21,[1]pillars_WIP!$B$7:$B$301,[1]pillars_WIP!$F$7:$F$301,"Missing",0)</f>
        <v>5.72</v>
      </c>
      <c r="G21" s="33">
        <f>_xlfn.XLOOKUP($B21,[1]pillars_WIP!$B$7:$B$301,[1]pillars_WIP!$G$7:$G$301,"Missing",0)</f>
        <v>802.04</v>
      </c>
      <c r="H21" s="11" t="str">
        <f t="shared" si="1"/>
        <v>Yes</v>
      </c>
      <c r="I21" s="11">
        <f>IF(ISNUMBER(D21),IFERROR((Params!$G$6-MAX(Params!$G$5,MIN(Params!$G$6,D21)))/(Params!$G$6-Params!$G$5)*100,""),"")</f>
        <v>37.154629180804648</v>
      </c>
      <c r="J21" s="11">
        <f>IF(ISNUMBER(E21),IFERROR((MAX(Params!$G$7,MIN(Params!$G$8,E21))-Params!$G$7)/(Params!$G$8-Params!$G$7)*100,""),"")</f>
        <v>16.421369799513272</v>
      </c>
      <c r="K21" s="11">
        <f>IF(ISNUMBER(F21),IFERROR((MAX(Params!$G$9,MIN(Params!$G$10,F21))-Params!$G$9)/(Params!$G$10-Params!$G$9)*100,""),"")</f>
        <v>12.808677590583892</v>
      </c>
      <c r="L21" s="11">
        <f>IF(ISNUMBER(G21),IFERROR((Params!$G$12-MAX(Params!$G$11,MIN(Params!$G$12,G21)))/(Params!$G$12-Params!$G$11)*100,""),"")</f>
        <v>0</v>
      </c>
      <c r="M21" s="12">
        <f t="shared" si="0"/>
        <v>9.5900827070048127</v>
      </c>
    </row>
    <row r="22" spans="1:13" ht="20" customHeight="1">
      <c r="A22" s="35" t="str">
        <v>Laos</v>
      </c>
      <c r="B22" s="35" t="str">
        <v>LAO</v>
      </c>
      <c r="C22" s="33">
        <f>_xlfn.XLOOKUP($B22,[1]pillars_WIP!$B$7:$B$301,[1]pillars_WIP!$C$7:$C$301,"Missing",0)</f>
        <v>1878</v>
      </c>
      <c r="D22" s="33">
        <f>_xlfn.XLOOKUP($B22,[1]pillars_WIP!$B$7:$B$301,[1]pillars_WIP!$D$7:$D$301,"Missing",0)</f>
        <v>23.28</v>
      </c>
      <c r="E22" s="33">
        <f>_xlfn.XLOOKUP($B22,[1]pillars_WIP!$B$7:$B$301,[1]pillars_WIP!$E$7:$E$301,"Missing",0)</f>
        <v>76.72</v>
      </c>
      <c r="F22" s="33">
        <f>_xlfn.XLOOKUP($B22,[1]pillars_WIP!$B$7:$B$301,[1]pillars_WIP!$F$7:$F$301,"Missing",0)</f>
        <v>0.17</v>
      </c>
      <c r="G22" s="33">
        <f>_xlfn.XLOOKUP($B22,[1]pillars_WIP!$B$7:$B$301,[1]pillars_WIP!$G$7:$G$301,"Missing",0)</f>
        <v>232.08</v>
      </c>
      <c r="H22" s="11" t="str">
        <f t="shared" si="1"/>
        <v>Yes</v>
      </c>
      <c r="I22" s="11">
        <f>IF(ISNUMBER(D22),IFERROR((Params!$G$6-MAX(Params!$G$5,MIN(Params!$G$6,D22)))/(Params!$G$6-Params!$G$5)*100,""),"")</f>
        <v>74.418322830828885</v>
      </c>
      <c r="J22" s="11">
        <f>IF(ISNUMBER(E22),IFERROR((MAX(Params!$G$7,MIN(Params!$G$8,E22))-Params!$G$7)/(Params!$G$8-Params!$G$7)*100,""),"")</f>
        <v>87.704253100011584</v>
      </c>
      <c r="K22" s="11">
        <f>IF(ISNUMBER(F22),IFERROR((MAX(Params!$G$9,MIN(Params!$G$10,F22))-Params!$G$9)/(Params!$G$10-Params!$G$9)*100,""),"")</f>
        <v>0</v>
      </c>
      <c r="L22" s="11">
        <f>IF(ISNUMBER(G22),IFERROR((Params!$G$12-MAX(Params!$G$11,MIN(Params!$G$12,G22)))/(Params!$G$12-Params!$G$11)*100,""),"")</f>
        <v>97.745267861020096</v>
      </c>
      <c r="M22" s="12">
        <f t="shared" si="0"/>
        <v>64.90733233636108</v>
      </c>
    </row>
    <row r="23" spans="1:13" ht="20" customHeight="1">
      <c r="A23" s="35" t="str">
        <v>Malaysia</v>
      </c>
      <c r="B23" s="35" t="str">
        <v>MYS</v>
      </c>
      <c r="C23" s="33">
        <f>_xlfn.XLOOKUP($B23,[1]pillars_WIP!$B$7:$B$301,[1]pillars_WIP!$C$7:$C$301,"Missing",0)</f>
        <v>13280</v>
      </c>
      <c r="D23" s="33">
        <f>_xlfn.XLOOKUP($B23,[1]pillars_WIP!$B$7:$B$301,[1]pillars_WIP!$D$7:$D$301,"Missing",0)</f>
        <v>43.05</v>
      </c>
      <c r="E23" s="33">
        <f>_xlfn.XLOOKUP($B23,[1]pillars_WIP!$B$7:$B$301,[1]pillars_WIP!$E$7:$E$301,"Missing",0)</f>
        <v>20.36</v>
      </c>
      <c r="F23" s="33">
        <f>_xlfn.XLOOKUP($B23,[1]pillars_WIP!$B$7:$B$301,[1]pillars_WIP!$F$7:$F$301,"Missing",0)</f>
        <v>2.08</v>
      </c>
      <c r="G23" s="33">
        <f>_xlfn.XLOOKUP($B23,[1]pillars_WIP!$B$7:$B$301,[1]pillars_WIP!$G$7:$G$301,"Missing",0)</f>
        <v>600.44000000000005</v>
      </c>
      <c r="H23" s="11" t="str">
        <f t="shared" si="1"/>
        <v>Yes</v>
      </c>
      <c r="I23" s="11">
        <f>IF(ISNUMBER(D23),IFERROR((Params!$G$6-MAX(Params!$G$5,MIN(Params!$G$6,D23)))/(Params!$G$6-Params!$G$5)*100,""),"")</f>
        <v>50.460494425593794</v>
      </c>
      <c r="J23" s="11">
        <f>IF(ISNUMBER(E23),IFERROR((MAX(Params!$G$7,MIN(Params!$G$8,E23))-Params!$G$7)/(Params!$G$8-Params!$G$7)*100,""),"")</f>
        <v>22.389616409780974</v>
      </c>
      <c r="K23" s="11">
        <f>IF(ISNUMBER(F23),IFERROR((MAX(Params!$G$9,MIN(Params!$G$10,F23))-Params!$G$9)/(Params!$G$10-Params!$G$9)*100,""),"")</f>
        <v>4.408031387029772</v>
      </c>
      <c r="L23" s="11">
        <f>IF(ISNUMBER(G23),IFERROR((Params!$G$12-MAX(Params!$G$11,MIN(Params!$G$12,G23)))/(Params!$G$12-Params!$G$11)*100,""),"")</f>
        <v>26.651483935093811</v>
      </c>
      <c r="M23" s="12">
        <f t="shared" si="0"/>
        <v>18.486794536815104</v>
      </c>
    </row>
    <row r="24" spans="1:13" ht="20" customHeight="1">
      <c r="A24" s="35" t="str">
        <v>Mexico</v>
      </c>
      <c r="B24" s="35" t="str">
        <v>MEX</v>
      </c>
      <c r="C24" s="33">
        <f>_xlfn.XLOOKUP($B24,[1]pillars_WIP!$B$7:$B$301,[1]pillars_WIP!$C$7:$C$301,"Missing",0)</f>
        <v>5378</v>
      </c>
      <c r="D24" s="33">
        <f>_xlfn.XLOOKUP($B24,[1]pillars_WIP!$B$7:$B$301,[1]pillars_WIP!$D$7:$D$301,"Missing",0)</f>
        <v>3.49</v>
      </c>
      <c r="E24" s="33">
        <f>_xlfn.XLOOKUP($B24,[1]pillars_WIP!$B$7:$B$301,[1]pillars_WIP!$E$7:$E$301,"Missing",0)</f>
        <v>21.12</v>
      </c>
      <c r="F24" s="33">
        <f>_xlfn.XLOOKUP($B24,[1]pillars_WIP!$B$7:$B$301,[1]pillars_WIP!$F$7:$F$301,"Missing",0)</f>
        <v>12.8</v>
      </c>
      <c r="G24" s="33">
        <f>_xlfn.XLOOKUP($B24,[1]pillars_WIP!$B$7:$B$301,[1]pillars_WIP!$G$7:$G$301,"Missing",0)</f>
        <v>483.14</v>
      </c>
      <c r="H24" s="11" t="str">
        <f t="shared" si="1"/>
        <v>Yes</v>
      </c>
      <c r="I24" s="11">
        <f>IF(ISNUMBER(D24),IFERROR((Params!$G$6-MAX(Params!$G$5,MIN(Params!$G$6,D24)))/(Params!$G$6-Params!$G$5)*100,""),"")</f>
        <v>98.400387784779454</v>
      </c>
      <c r="J24" s="11">
        <f>IF(ISNUMBER(E24),IFERROR((MAX(Params!$G$7,MIN(Params!$G$8,E24))-Params!$G$7)/(Params!$G$8-Params!$G$7)*100,""),"")</f>
        <v>23.270367365859315</v>
      </c>
      <c r="K24" s="11">
        <f>IF(ISNUMBER(F24),IFERROR((MAX(Params!$G$9,MIN(Params!$G$10,F24))-Params!$G$9)/(Params!$G$10-Params!$G$9)*100,""),"")</f>
        <v>29.148396030463886</v>
      </c>
      <c r="L24" s="11">
        <f>IF(ISNUMBER(G24),IFERROR((Params!$G$12-MAX(Params!$G$11,MIN(Params!$G$12,G24)))/(Params!$G$12-Params!$G$11)*100,""),"")</f>
        <v>49.290480716805071</v>
      </c>
      <c r="M24" s="12">
        <f t="shared" si="0"/>
        <v>34.1408156380717</v>
      </c>
    </row>
    <row r="25" spans="1:13" ht="20" customHeight="1">
      <c r="A25" s="35" t="str">
        <v>Mongolia</v>
      </c>
      <c r="B25" s="35" t="str">
        <v>MNG</v>
      </c>
      <c r="C25" s="33">
        <f>_xlfn.XLOOKUP($B25,[1]pillars_WIP!$B$7:$B$301,[1]pillars_WIP!$C$7:$C$301,"Missing",0)</f>
        <v>1295</v>
      </c>
      <c r="D25" s="33">
        <f>_xlfn.XLOOKUP($B25,[1]pillars_WIP!$B$7:$B$301,[1]pillars_WIP!$D$7:$D$301,"Missing",0)</f>
        <v>84.69</v>
      </c>
      <c r="E25" s="33">
        <f>_xlfn.XLOOKUP($B25,[1]pillars_WIP!$B$7:$B$301,[1]pillars_WIP!$E$7:$E$301,"Missing",0)</f>
        <v>8.84</v>
      </c>
      <c r="F25" s="33">
        <f>_xlfn.XLOOKUP($B25,[1]pillars_WIP!$B$7:$B$301,[1]pillars_WIP!$F$7:$F$301,"Missing",0)</f>
        <v>8.16</v>
      </c>
      <c r="G25" s="33">
        <f>_xlfn.XLOOKUP($B25,[1]pillars_WIP!$B$7:$B$301,[1]pillars_WIP!$G$7:$G$301,"Missing",0)</f>
        <v>810.66</v>
      </c>
      <c r="H25" s="11" t="str">
        <f t="shared" si="1"/>
        <v>Yes</v>
      </c>
      <c r="I25" s="11">
        <f>IF(ISNUMBER(D25),IFERROR((Params!$G$6-MAX(Params!$G$5,MIN(Params!$G$6,D25)))/(Params!$G$6-Params!$G$5)*100,""),"")</f>
        <v>0</v>
      </c>
      <c r="J25" s="11">
        <f>IF(ISNUMBER(E25),IFERROR((MAX(Params!$G$7,MIN(Params!$G$8,E25))-Params!$G$7)/(Params!$G$8-Params!$G$7)*100,""),"")</f>
        <v>9.0392861281724421</v>
      </c>
      <c r="K25" s="11">
        <f>IF(ISNUMBER(F25),IFERROR((MAX(Params!$G$9,MIN(Params!$G$10,F25))-Params!$G$9)/(Params!$G$10-Params!$G$9)*100,""),"")</f>
        <v>18.439879990768521</v>
      </c>
      <c r="L25" s="11">
        <f>IF(ISNUMBER(G25),IFERROR((Params!$G$12-MAX(Params!$G$11,MIN(Params!$G$12,G25)))/(Params!$G$12-Params!$G$11)*100,""),"")</f>
        <v>0</v>
      </c>
      <c r="M25" s="12">
        <f t="shared" si="0"/>
        <v>8.6957141420909103</v>
      </c>
    </row>
    <row r="26" spans="1:13" ht="20" customHeight="1">
      <c r="A26" s="35" t="str">
        <v>Morocco</v>
      </c>
      <c r="B26" s="35" t="str">
        <v>MAR</v>
      </c>
      <c r="C26" s="33">
        <f>_xlfn.XLOOKUP($B26,[1]pillars_WIP!$B$7:$B$301,[1]pillars_WIP!$C$7:$C$301,"Missing",0)</f>
        <v>4092</v>
      </c>
      <c r="D26" s="33">
        <f>_xlfn.XLOOKUP($B26,[1]pillars_WIP!$B$7:$B$301,[1]pillars_WIP!$D$7:$D$301,"Missing",0)</f>
        <v>61.75</v>
      </c>
      <c r="E26" s="33">
        <f>_xlfn.XLOOKUP($B26,[1]pillars_WIP!$B$7:$B$301,[1]pillars_WIP!$E$7:$E$301,"Missing",0)</f>
        <v>24.4</v>
      </c>
      <c r="F26" s="33">
        <f>_xlfn.XLOOKUP($B26,[1]pillars_WIP!$B$7:$B$301,[1]pillars_WIP!$F$7:$F$301,"Missing",0)</f>
        <v>22.4</v>
      </c>
      <c r="G26" s="33">
        <f>_xlfn.XLOOKUP($B26,[1]pillars_WIP!$B$7:$B$301,[1]pillars_WIP!$G$7:$G$301,"Missing",0)</f>
        <v>594.80999999999995</v>
      </c>
      <c r="H26" s="11" t="str">
        <f t="shared" si="1"/>
        <v>Yes</v>
      </c>
      <c r="I26" s="11">
        <f>IF(ISNUMBER(D26),IFERROR((Params!$G$6-MAX(Params!$G$5,MIN(Params!$G$6,D26)))/(Params!$G$6-Params!$G$5)*100,""),"")</f>
        <v>27.799321376635966</v>
      </c>
      <c r="J26" s="11">
        <f>IF(ISNUMBER(E26),IFERROR((MAX(Params!$G$7,MIN(Params!$G$8,E26))-Params!$G$7)/(Params!$G$8-Params!$G$7)*100,""),"")</f>
        <v>27.071503071039523</v>
      </c>
      <c r="K26" s="11">
        <f>IF(ISNUMBER(F26),IFERROR((MAX(Params!$G$9,MIN(Params!$G$10,F26))-Params!$G$9)/(Params!$G$10-Params!$G$9)*100,""),"")</f>
        <v>51.303946457419791</v>
      </c>
      <c r="L26" s="11">
        <f>IF(ISNUMBER(G26),IFERROR((Params!$G$12-MAX(Params!$G$11,MIN(Params!$G$12,G26)))/(Params!$G$12-Params!$G$11)*100,""),"")</f>
        <v>27.73807858028594</v>
      </c>
      <c r="M26" s="12">
        <f t="shared" si="0"/>
        <v>34.574537515189846</v>
      </c>
    </row>
    <row r="27" spans="1:13" ht="20" customHeight="1">
      <c r="A27" s="35" t="str">
        <v>North Korea</v>
      </c>
      <c r="B27" s="35" t="str">
        <v>PRK</v>
      </c>
      <c r="C27" s="33">
        <f>_xlfn.XLOOKUP($B27,[1]pillars_WIP!$B$7:$B$301,[1]pillars_WIP!$C$7:$C$301,"Missing",0)</f>
        <v>3250</v>
      </c>
      <c r="D27" s="33">
        <f>_xlfn.XLOOKUP($B27,[1]pillars_WIP!$B$7:$B$301,[1]pillars_WIP!$D$7:$D$301,"Missing",0)</f>
        <v>34.06</v>
      </c>
      <c r="E27" s="33">
        <f>_xlfn.XLOOKUP($B27,[1]pillars_WIP!$B$7:$B$301,[1]pillars_WIP!$E$7:$E$301,"Missing",0)</f>
        <v>63.36</v>
      </c>
      <c r="F27" s="33">
        <f>_xlfn.XLOOKUP($B27,[1]pillars_WIP!$B$7:$B$301,[1]pillars_WIP!$F$7:$F$301,"Missing",0)</f>
        <v>0.63</v>
      </c>
      <c r="G27" s="33">
        <f>_xlfn.XLOOKUP($B27,[1]pillars_WIP!$B$7:$B$301,[1]pillars_WIP!$G$7:$G$301,"Missing",0)</f>
        <v>340.59</v>
      </c>
      <c r="H27" s="11" t="str">
        <f t="shared" si="1"/>
        <v>Yes</v>
      </c>
      <c r="I27" s="11">
        <f>IF(ISNUMBER(D27),IFERROR((Params!$G$6-MAX(Params!$G$5,MIN(Params!$G$6,D27)))/(Params!$G$6-Params!$G$5)*100,""),"")</f>
        <v>61.354823073194375</v>
      </c>
      <c r="J27" s="11">
        <f>IF(ISNUMBER(E27),IFERROR((MAX(Params!$G$7,MIN(Params!$G$8,E27))-Params!$G$7)/(Params!$G$8-Params!$G$7)*100,""),"")</f>
        <v>72.221578398423929</v>
      </c>
      <c r="K27" s="11">
        <f>IF(ISNUMBER(F27),IFERROR((MAX(Params!$G$9,MIN(Params!$G$10,F27))-Params!$G$9)/(Params!$G$10-Params!$G$9)*100,""),"")</f>
        <v>1.061620124624971</v>
      </c>
      <c r="L27" s="11">
        <f>IF(ISNUMBER(G27),IFERROR((Params!$G$12-MAX(Params!$G$11,MIN(Params!$G$12,G27)))/(Params!$G$12-Params!$G$11)*100,""),"")</f>
        <v>76.802748331749129</v>
      </c>
      <c r="M27" s="12">
        <f t="shared" si="0"/>
        <v>52.477000392948057</v>
      </c>
    </row>
    <row r="28" spans="1:13" ht="20" customHeight="1">
      <c r="A28" s="35" t="str">
        <v>Pakistan</v>
      </c>
      <c r="B28" s="35" t="str">
        <v>PAK</v>
      </c>
      <c r="C28" s="33">
        <f>_xlfn.XLOOKUP($B28,[1]pillars_WIP!$B$7:$B$301,[1]pillars_WIP!$C$7:$C$301,"Missing",0)</f>
        <v>8329.5</v>
      </c>
      <c r="D28" s="33">
        <f>_xlfn.XLOOKUP($B28,[1]pillars_WIP!$B$7:$B$301,[1]pillars_WIP!$D$7:$D$301,"Missing",0)</f>
        <v>15.45</v>
      </c>
      <c r="E28" s="33">
        <f>_xlfn.XLOOKUP($B28,[1]pillars_WIP!$B$7:$B$301,[1]pillars_WIP!$E$7:$E$301,"Missing",0)</f>
        <v>41.13</v>
      </c>
      <c r="F28" s="33">
        <f>_xlfn.XLOOKUP($B28,[1]pillars_WIP!$B$7:$B$301,[1]pillars_WIP!$F$7:$F$301,"Missing",0)</f>
        <v>15.11</v>
      </c>
      <c r="G28" s="82">
        <v>468.99</v>
      </c>
      <c r="H28" s="11" t="str">
        <f t="shared" si="1"/>
        <v>Yes</v>
      </c>
      <c r="I28" s="11">
        <f>IF(ISNUMBER(D28),IFERROR((Params!$G$6-MAX(Params!$G$5,MIN(Params!$G$6,D28)))/(Params!$G$6-Params!$G$5)*100,""),"")</f>
        <v>83.906931652932613</v>
      </c>
      <c r="J28" s="11">
        <f>IF(ISNUMBER(E28),IFERROR((MAX(Params!$G$7,MIN(Params!$G$8,E28))-Params!$G$7)/(Params!$G$8-Params!$G$7)*100,""),"")</f>
        <v>46.459612933132469</v>
      </c>
      <c r="K28" s="11">
        <f>IF(ISNUMBER(F28),IFERROR((MAX(Params!$G$9,MIN(Params!$G$10,F28))-Params!$G$9)/(Params!$G$10-Params!$G$9)*100,""),"")</f>
        <v>34.479575351950146</v>
      </c>
      <c r="L28" s="85">
        <f>IF(ISNUMBER(G28),IFERROR((Params!$G$12-MAX(Params!$G$11,MIN(Params!$G$12,G28)))/(Params!$G$12-Params!$G$11)*100,""),"")</f>
        <v>52.021442391666227</v>
      </c>
      <c r="M28" s="86">
        <f t="shared" si="0"/>
        <v>44.812241969264583</v>
      </c>
    </row>
    <row r="29" spans="1:13" ht="20" customHeight="1">
      <c r="A29" s="35" t="str">
        <v>Philippines</v>
      </c>
      <c r="B29" s="35" t="str">
        <v>PHL</v>
      </c>
      <c r="C29" s="33">
        <f>_xlfn.XLOOKUP($B29,[1]pillars_WIP!$B$7:$B$301,[1]pillars_WIP!$C$7:$C$301,"Missing",0)</f>
        <v>12642.4</v>
      </c>
      <c r="D29" s="33">
        <f>_xlfn.XLOOKUP($B29,[1]pillars_WIP!$B$7:$B$301,[1]pillars_WIP!$D$7:$D$301,"Missing",0)</f>
        <v>63.91</v>
      </c>
      <c r="E29" s="33">
        <f>_xlfn.XLOOKUP($B29,[1]pillars_WIP!$B$7:$B$301,[1]pillars_WIP!$E$7:$E$301,"Missing",0)</f>
        <v>20.48</v>
      </c>
      <c r="F29" s="33">
        <f>_xlfn.XLOOKUP($B29,[1]pillars_WIP!$B$7:$B$301,[1]pillars_WIP!$F$7:$F$301,"Missing",0)</f>
        <v>2.89</v>
      </c>
      <c r="G29" s="33">
        <f>_xlfn.XLOOKUP($B29,[1]pillars_WIP!$B$7:$B$301,[1]pillars_WIP!$G$7:$G$301,"Missing",0)</f>
        <v>621.73</v>
      </c>
      <c r="H29" s="11" t="str">
        <f t="shared" si="1"/>
        <v>Yes</v>
      </c>
      <c r="I29" s="11">
        <f>IF(ISNUMBER(D29),IFERROR((Params!$G$6-MAX(Params!$G$5,MIN(Params!$G$6,D29)))/(Params!$G$6-Params!$G$5)*100,""),"")</f>
        <v>25.181774115365975</v>
      </c>
      <c r="J29" s="11">
        <f>IF(ISNUMBER(E29),IFERROR((MAX(Params!$G$7,MIN(Params!$G$8,E29))-Params!$G$7)/(Params!$G$8-Params!$G$7)*100,""),"")</f>
        <v>22.528682350214396</v>
      </c>
      <c r="K29" s="11">
        <f>IF(ISNUMBER(F29),IFERROR((MAX(Params!$G$9,MIN(Params!$G$10,F29))-Params!$G$9)/(Params!$G$10-Params!$G$9)*100,""),"")</f>
        <v>6.2774059543041787</v>
      </c>
      <c r="L29" s="11">
        <f>IF(ISNUMBER(G29),IFERROR((Params!$G$12-MAX(Params!$G$11,MIN(Params!$G$12,G29)))/(Params!$G$12-Params!$G$11)*100,""),"")</f>
        <v>22.542496369171971</v>
      </c>
      <c r="M29" s="12">
        <f t="shared" si="0"/>
        <v>17.658134338076483</v>
      </c>
    </row>
    <row r="30" spans="1:13" ht="20" customHeight="1">
      <c r="A30" s="35" t="str">
        <v>Poland</v>
      </c>
      <c r="B30" s="35" t="str">
        <v>POL</v>
      </c>
      <c r="C30" s="33">
        <f>_xlfn.XLOOKUP($B30,[1]pillars_WIP!$B$7:$B$301,[1]pillars_WIP!$C$7:$C$301,"Missing",0)</f>
        <v>27262</v>
      </c>
      <c r="D30" s="33">
        <f>_xlfn.XLOOKUP($B30,[1]pillars_WIP!$B$7:$B$301,[1]pillars_WIP!$D$7:$D$301,"Missing",0)</f>
        <v>54.32</v>
      </c>
      <c r="E30" s="33">
        <f>_xlfn.XLOOKUP($B30,[1]pillars_WIP!$B$7:$B$301,[1]pillars_WIP!$E$7:$E$301,"Missing",0)</f>
        <v>31.15</v>
      </c>
      <c r="F30" s="33">
        <f>_xlfn.XLOOKUP($B30,[1]pillars_WIP!$B$7:$B$301,[1]pillars_WIP!$F$7:$F$301,"Missing",0)</f>
        <v>25.3</v>
      </c>
      <c r="G30" s="33">
        <f>_xlfn.XLOOKUP($B30,[1]pillars_WIP!$B$7:$B$301,[1]pillars_WIP!$G$7:$G$301,"Missing",0)</f>
        <v>608.17999999999995</v>
      </c>
      <c r="H30" s="11" t="str">
        <f t="shared" si="1"/>
        <v>Yes</v>
      </c>
      <c r="I30" s="11">
        <f>IF(ISNUMBER(D30),IFERROR((Params!$G$6-MAX(Params!$G$5,MIN(Params!$G$6,D30)))/(Params!$G$6-Params!$G$5)*100,""),"")</f>
        <v>36.803199224430436</v>
      </c>
      <c r="J30" s="11">
        <f>IF(ISNUMBER(E30),IFERROR((MAX(Params!$G$7,MIN(Params!$G$8,E30))-Params!$G$7)/(Params!$G$8-Params!$G$7)*100,""),"")</f>
        <v>34.893962220419517</v>
      </c>
      <c r="K30" s="11">
        <f>IF(ISNUMBER(F30),IFERROR((MAX(Params!$G$9,MIN(Params!$G$10,F30))-Params!$G$9)/(Params!$G$10-Params!$G$9)*100,""),"")</f>
        <v>57.996768982229405</v>
      </c>
      <c r="L30" s="11">
        <f>IF(ISNUMBER(G30),IFERROR((Params!$G$12-MAX(Params!$G$11,MIN(Params!$G$12,G30)))/(Params!$G$12-Params!$G$11)*100,""),"")</f>
        <v>25.15765754898603</v>
      </c>
      <c r="M30" s="12">
        <f t="shared" si="0"/>
        <v>38.417097613960763</v>
      </c>
    </row>
    <row r="31" spans="1:13" ht="20" customHeight="1">
      <c r="A31" s="35" t="str">
        <v>Russia</v>
      </c>
      <c r="B31" s="35" t="str">
        <v>RUS</v>
      </c>
      <c r="C31" s="33">
        <f>_xlfn.XLOOKUP($B31,[1]pillars_WIP!$B$7:$B$301,[1]pillars_WIP!$C$7:$C$301,"Missing",0)</f>
        <v>37193</v>
      </c>
      <c r="D31" s="33">
        <f>_xlfn.XLOOKUP($B31,[1]pillars_WIP!$B$7:$B$301,[1]pillars_WIP!$D$7:$D$301,"Missing",0)</f>
        <v>17.79</v>
      </c>
      <c r="E31" s="33">
        <f>_xlfn.XLOOKUP($B31,[1]pillars_WIP!$B$7:$B$301,[1]pillars_WIP!$E$7:$E$301,"Missing",0)</f>
        <v>18.100000000000001</v>
      </c>
      <c r="F31" s="33">
        <f>_xlfn.XLOOKUP($B31,[1]pillars_WIP!$B$7:$B$301,[1]pillars_WIP!$F$7:$F$301,"Missing",0)</f>
        <v>0.62</v>
      </c>
      <c r="G31" s="33">
        <f>_xlfn.XLOOKUP($B31,[1]pillars_WIP!$B$7:$B$301,[1]pillars_WIP!$G$7:$G$301,"Missing",0)</f>
        <v>445.98</v>
      </c>
      <c r="H31" s="11" t="str">
        <f t="shared" si="1"/>
        <v>Yes</v>
      </c>
      <c r="I31" s="11">
        <f>IF(ISNUMBER(D31),IFERROR((Params!$G$6-MAX(Params!$G$5,MIN(Params!$G$6,D31)))/(Params!$G$6-Params!$G$5)*100,""),"")</f>
        <v>81.071255453223472</v>
      </c>
      <c r="J31" s="11">
        <f>IF(ISNUMBER(E31),IFERROR((MAX(Params!$G$7,MIN(Params!$G$8,E31))-Params!$G$7)/(Params!$G$8-Params!$G$7)*100,""),"")</f>
        <v>19.770541198284857</v>
      </c>
      <c r="K31" s="11">
        <f>IF(ISNUMBER(F31),IFERROR((MAX(Params!$G$9,MIN(Params!$G$10,F31))-Params!$G$9)/(Params!$G$10-Params!$G$9)*100,""),"")</f>
        <v>1.0385414262635586</v>
      </c>
      <c r="L31" s="11">
        <f>IF(ISNUMBER(G31),IFERROR((Params!$G$12-MAX(Params!$G$11,MIN(Params!$G$12,G31)))/(Params!$G$12-Params!$G$11)*100,""),"")</f>
        <v>56.462391376723133</v>
      </c>
      <c r="M31" s="12">
        <f t="shared" si="0"/>
        <v>26.99308882913186</v>
      </c>
    </row>
    <row r="32" spans="1:13" ht="20" customHeight="1">
      <c r="A32" s="35" t="str">
        <v>Serbia</v>
      </c>
      <c r="B32" s="35" t="str">
        <v>SRB</v>
      </c>
      <c r="C32" s="33">
        <f>_xlfn.XLOOKUP($B32,[1]pillars_WIP!$B$7:$B$301,[1]pillars_WIP!$C$7:$C$301,"Missing",0)</f>
        <v>4785</v>
      </c>
      <c r="D32" s="33">
        <f>_xlfn.XLOOKUP($B32,[1]pillars_WIP!$B$7:$B$301,[1]pillars_WIP!$D$7:$D$301,"Missing",0)</f>
        <v>62.93</v>
      </c>
      <c r="E32" s="33">
        <f>_xlfn.XLOOKUP($B32,[1]pillars_WIP!$B$7:$B$301,[1]pillars_WIP!$E$7:$E$301,"Missing",0)</f>
        <v>32.06</v>
      </c>
      <c r="F32" s="33">
        <f>_xlfn.XLOOKUP($B32,[1]pillars_WIP!$B$7:$B$301,[1]pillars_WIP!$F$7:$F$301,"Missing",0)</f>
        <v>3.81</v>
      </c>
      <c r="G32" s="33">
        <f>_xlfn.XLOOKUP($B32,[1]pillars_WIP!$B$7:$B$301,[1]pillars_WIP!$G$7:$G$301,"Missing",0)</f>
        <v>666.4</v>
      </c>
      <c r="H32" s="11" t="str">
        <f t="shared" si="1"/>
        <v>Yes</v>
      </c>
      <c r="I32" s="11">
        <f>IF(ISNUMBER(D32),IFERROR((Params!$G$6-MAX(Params!$G$5,MIN(Params!$G$6,D32)))/(Params!$G$6-Params!$G$5)*100,""),"")</f>
        <v>26.369365002423656</v>
      </c>
      <c r="J32" s="11">
        <f>IF(ISNUMBER(E32),IFERROR((MAX(Params!$G$7,MIN(Params!$G$8,E32))-Params!$G$7)/(Params!$G$8-Params!$G$7)*100,""),"")</f>
        <v>35.948545602039637</v>
      </c>
      <c r="K32" s="11">
        <f>IF(ISNUMBER(F32),IFERROR((MAX(Params!$G$9,MIN(Params!$G$10,F32))-Params!$G$9)/(Params!$G$10-Params!$G$9)*100,""),"")</f>
        <v>8.4006462035541194</v>
      </c>
      <c r="L32" s="11">
        <f>IF(ISNUMBER(G32),IFERROR((Params!$G$12-MAX(Params!$G$11,MIN(Params!$G$12,G32)))/(Params!$G$12-Params!$G$11)*100,""),"")</f>
        <v>13.92114951291417</v>
      </c>
      <c r="M32" s="12">
        <f t="shared" si="0"/>
        <v>19.974587151300067</v>
      </c>
    </row>
    <row r="33" spans="1:13" ht="20" customHeight="1">
      <c r="A33" s="35" t="str">
        <v>South Africa</v>
      </c>
      <c r="B33" s="35" t="str">
        <v>ZAF</v>
      </c>
      <c r="C33" s="33">
        <f>_xlfn.XLOOKUP($B33,[1]pillars_WIP!$B$7:$B$301,[1]pillars_WIP!$C$7:$C$301,"Missing",0)</f>
        <v>45024.1</v>
      </c>
      <c r="D33" s="33">
        <f>_xlfn.XLOOKUP($B33,[1]pillars_WIP!$B$7:$B$301,[1]pillars_WIP!$D$7:$D$301,"Missing",0)</f>
        <v>83.55</v>
      </c>
      <c r="E33" s="33">
        <f>_xlfn.XLOOKUP($B33,[1]pillars_WIP!$B$7:$B$301,[1]pillars_WIP!$E$7:$E$301,"Missing",0)</f>
        <v>12.5</v>
      </c>
      <c r="F33" s="33">
        <f>_xlfn.XLOOKUP($B33,[1]pillars_WIP!$B$7:$B$301,[1]pillars_WIP!$F$7:$F$301,"Missing",0)</f>
        <v>11.87</v>
      </c>
      <c r="G33" s="33">
        <f>_xlfn.XLOOKUP($B33,[1]pillars_WIP!$B$7:$B$301,[1]pillars_WIP!$G$7:$G$301,"Missing",0)</f>
        <v>717.36</v>
      </c>
      <c r="H33" s="11" t="str">
        <f t="shared" si="1"/>
        <v>Yes</v>
      </c>
      <c r="I33" s="11">
        <f>IF(ISNUMBER(D33),IFERROR((Params!$G$6-MAX(Params!$G$5,MIN(Params!$G$6,D33)))/(Params!$G$6-Params!$G$5)*100,""),"")</f>
        <v>1.3814832767813872</v>
      </c>
      <c r="J33" s="11">
        <f>IF(ISNUMBER(E33),IFERROR((MAX(Params!$G$7,MIN(Params!$G$8,E33))-Params!$G$7)/(Params!$G$8-Params!$G$7)*100,""),"")</f>
        <v>13.280797311391821</v>
      </c>
      <c r="K33" s="11">
        <f>IF(ISNUMBER(F33),IFERROR((MAX(Params!$G$9,MIN(Params!$G$10,F33))-Params!$G$9)/(Params!$G$10-Params!$G$9)*100,""),"")</f>
        <v>27.002077082852527</v>
      </c>
      <c r="L33" s="11">
        <f>IF(ISNUMBER(G33),IFERROR((Params!$G$12-MAX(Params!$G$11,MIN(Params!$G$12,G33)))/(Params!$G$12-Params!$G$11)*100,""),"")</f>
        <v>4.0858274669124137</v>
      </c>
      <c r="M33" s="12">
        <f t="shared" si="0"/>
        <v>14.178941797262238</v>
      </c>
    </row>
    <row r="34" spans="1:13" ht="20" customHeight="1">
      <c r="A34" s="35" t="str">
        <v>South Korea</v>
      </c>
      <c r="B34" s="35" t="str">
        <v>KOR</v>
      </c>
      <c r="C34" s="33">
        <f>_xlfn.XLOOKUP($B34,[1]pillars_WIP!$B$7:$B$301,[1]pillars_WIP!$C$7:$C$301,"Missing",0)</f>
        <v>41745</v>
      </c>
      <c r="D34" s="33">
        <f>_xlfn.XLOOKUP($B34,[1]pillars_WIP!$B$7:$B$301,[1]pillars_WIP!$D$7:$D$301,"Missing",0)</f>
        <v>30.51</v>
      </c>
      <c r="E34" s="33">
        <f>_xlfn.XLOOKUP($B34,[1]pillars_WIP!$B$7:$B$301,[1]pillars_WIP!$E$7:$E$301,"Missing",0)</f>
        <v>9.7100000000000009</v>
      </c>
      <c r="F34" s="33">
        <f>_xlfn.XLOOKUP($B34,[1]pillars_WIP!$B$7:$B$301,[1]pillars_WIP!$F$7:$F$301,"Missing",0)</f>
        <v>5.77</v>
      </c>
      <c r="G34" s="33">
        <f>_xlfn.XLOOKUP($B34,[1]pillars_WIP!$B$7:$B$301,[1]pillars_WIP!$G$7:$G$301,"Missing",0)</f>
        <v>415.51</v>
      </c>
      <c r="H34" s="11" t="str">
        <f t="shared" si="1"/>
        <v>Yes</v>
      </c>
      <c r="I34" s="11">
        <f>IF(ISNUMBER(D34),IFERROR((Params!$G$6-MAX(Params!$G$5,MIN(Params!$G$6,D34)))/(Params!$G$6-Params!$G$5)*100,""),"")</f>
        <v>65.656810470189043</v>
      </c>
      <c r="J34" s="11">
        <f>IF(ISNUMBER(E34),IFERROR((MAX(Params!$G$7,MIN(Params!$G$8,E34))-Params!$G$7)/(Params!$G$8-Params!$G$7)*100,""),"")</f>
        <v>10.047514196314754</v>
      </c>
      <c r="K34" s="11">
        <f>IF(ISNUMBER(F34),IFERROR((MAX(Params!$G$9,MIN(Params!$G$10,F34))-Params!$G$9)/(Params!$G$10-Params!$G$9)*100,""),"")</f>
        <v>12.924071082390952</v>
      </c>
      <c r="L34" s="11">
        <f>IF(ISNUMBER(G34),IFERROR((Params!$G$12-MAX(Params!$G$11,MIN(Params!$G$12,G34)))/(Params!$G$12-Params!$G$11)*100,""),"")</f>
        <v>62.343126516865865</v>
      </c>
      <c r="M34" s="12">
        <f t="shared" si="0"/>
        <v>29.213945574330502</v>
      </c>
    </row>
    <row r="35" spans="1:13" ht="20" customHeight="1">
      <c r="A35" s="35" t="str">
        <v>Sri Lanka</v>
      </c>
      <c r="B35" s="35" t="str">
        <v>LKA</v>
      </c>
      <c r="C35" s="33">
        <f>_xlfn.XLOOKUP($B35,[1]pillars_WIP!$B$7:$B$301,[1]pillars_WIP!$C$7:$C$301,"Missing",0)</f>
        <v>900</v>
      </c>
      <c r="D35" s="33">
        <f>_xlfn.XLOOKUP($B35,[1]pillars_WIP!$B$7:$B$301,[1]pillars_WIP!$D$7:$D$301,"Missing",0)</f>
        <v>32.86</v>
      </c>
      <c r="E35" s="33">
        <f>_xlfn.XLOOKUP($B35,[1]pillars_WIP!$B$7:$B$301,[1]pillars_WIP!$E$7:$E$301,"Missing",0)</f>
        <v>55.24</v>
      </c>
      <c r="F35" s="33">
        <f>_xlfn.XLOOKUP($B35,[1]pillars_WIP!$B$7:$B$301,[1]pillars_WIP!$F$7:$F$301,"Missing",0)</f>
        <v>12.77</v>
      </c>
      <c r="G35" s="33">
        <f>_xlfn.XLOOKUP($B35,[1]pillars_WIP!$B$7:$B$301,[1]pillars_WIP!$G$7:$G$301,"Missing",0)</f>
        <v>378.44</v>
      </c>
      <c r="H35" s="11" t="str">
        <f t="shared" si="1"/>
        <v>Yes</v>
      </c>
      <c r="I35" s="11">
        <f>IF(ISNUMBER(D35),IFERROR((Params!$G$6-MAX(Params!$G$5,MIN(Params!$G$6,D35)))/(Params!$G$6-Params!$G$5)*100,""),"")</f>
        <v>62.809015996122156</v>
      </c>
      <c r="J35" s="11">
        <f>IF(ISNUMBER(E35),IFERROR((MAX(Params!$G$7,MIN(Params!$G$8,E35))-Params!$G$7)/(Params!$G$8-Params!$G$7)*100,""),"")</f>
        <v>62.811449762429028</v>
      </c>
      <c r="K35" s="11">
        <f>IF(ISNUMBER(F35),IFERROR((MAX(Params!$G$9,MIN(Params!$G$10,F35))-Params!$G$9)/(Params!$G$10-Params!$G$9)*100,""),"")</f>
        <v>29.079159935379646</v>
      </c>
      <c r="L35" s="11">
        <f>IF(ISNUMBER(G35),IFERROR((Params!$G$12-MAX(Params!$G$11,MIN(Params!$G$12,G35)))/(Params!$G$12-Params!$G$11)*100,""),"")</f>
        <v>69.497667102526876</v>
      </c>
      <c r="M35" s="12">
        <f t="shared" si="0"/>
        <v>55.03193888334846</v>
      </c>
    </row>
    <row r="36" spans="1:13" ht="20" customHeight="1">
      <c r="A36" s="35" t="str">
        <v>Taiwan, China</v>
      </c>
      <c r="B36" s="35" t="str">
        <v>TWN</v>
      </c>
      <c r="C36" s="33">
        <f>_xlfn.XLOOKUP($B36,[1]pillars_WIP!$B$7:$B$301,[1]pillars_WIP!$C$7:$C$301,"Missing",0)</f>
        <v>14999</v>
      </c>
      <c r="D36" s="33">
        <f>_xlfn.XLOOKUP($B36,[1]pillars_WIP!$B$7:$B$301,[1]pillars_WIP!$D$7:$D$301,"Missing",0)</f>
        <v>40.07</v>
      </c>
      <c r="E36" s="33">
        <f>_xlfn.XLOOKUP($B36,[1]pillars_WIP!$B$7:$B$301,[1]pillars_WIP!$E$7:$E$301,"Missing",0)</f>
        <v>10.92</v>
      </c>
      <c r="F36" s="33">
        <f>_xlfn.XLOOKUP($B36,[1]pillars_WIP!$B$7:$B$301,[1]pillars_WIP!$F$7:$F$301,"Missing",0)</f>
        <v>8.74</v>
      </c>
      <c r="G36" s="33">
        <f>_xlfn.XLOOKUP($B36,[1]pillars_WIP!$B$7:$B$301,[1]pillars_WIP!$G$7:$G$301,"Missing",0)</f>
        <v>635.19000000000005</v>
      </c>
      <c r="H36" s="11" t="str">
        <f t="shared" si="1"/>
        <v>Yes</v>
      </c>
      <c r="I36" s="11">
        <f>IF(ISNUMBER(D36),IFERROR((Params!$G$6-MAX(Params!$G$5,MIN(Params!$G$6,D36)))/(Params!$G$6-Params!$G$5)*100,""),"")</f>
        <v>54.071740184197772</v>
      </c>
      <c r="J36" s="11">
        <f>IF(ISNUMBER(E36),IFERROR((MAX(Params!$G$7,MIN(Params!$G$8,E36))-Params!$G$7)/(Params!$G$8-Params!$G$7)*100,""),"")</f>
        <v>11.449762429018426</v>
      </c>
      <c r="K36" s="11">
        <f>IF(ISNUMBER(F36),IFERROR((MAX(Params!$G$9,MIN(Params!$G$10,F36))-Params!$G$9)/(Params!$G$10-Params!$G$9)*100,""),"")</f>
        <v>19.778444495730444</v>
      </c>
      <c r="L36" s="11">
        <f>IF(ISNUMBER(G36),IFERROR((Params!$G$12-MAX(Params!$G$11,MIN(Params!$G$12,G36)))/(Params!$G$12-Params!$G$11)*100,""),"")</f>
        <v>19.944705263614988</v>
      </c>
      <c r="M36" s="12">
        <f t="shared" si="0"/>
        <v>16.921597041140828</v>
      </c>
    </row>
    <row r="37" spans="1:13" ht="20" customHeight="1">
      <c r="A37" s="35" t="str">
        <v>Thailand</v>
      </c>
      <c r="B37" s="35" t="str">
        <v>THA</v>
      </c>
      <c r="C37" s="33">
        <f>_xlfn.XLOOKUP($B37,[1]pillars_WIP!$B$7:$B$301,[1]pillars_WIP!$C$7:$C$301,"Missing",0)</f>
        <v>5838</v>
      </c>
      <c r="D37" s="33">
        <f>_xlfn.XLOOKUP($B37,[1]pillars_WIP!$B$7:$B$301,[1]pillars_WIP!$D$7:$D$301,"Missing",0)</f>
        <v>16.670000000000002</v>
      </c>
      <c r="E37" s="33">
        <f>_xlfn.XLOOKUP($B37,[1]pillars_WIP!$B$7:$B$301,[1]pillars_WIP!$E$7:$E$301,"Missing",0)</f>
        <v>14.83</v>
      </c>
      <c r="F37" s="33">
        <f>_xlfn.XLOOKUP($B37,[1]pillars_WIP!$B$7:$B$301,[1]pillars_WIP!$F$7:$F$301,"Missing",0)</f>
        <v>4.41</v>
      </c>
      <c r="G37" s="33">
        <f>_xlfn.XLOOKUP($B37,[1]pillars_WIP!$B$7:$B$301,[1]pillars_WIP!$G$7:$G$301,"Missing",0)</f>
        <v>554.73</v>
      </c>
      <c r="H37" s="11" t="str">
        <f t="shared" si="1"/>
        <v>Yes</v>
      </c>
      <c r="I37" s="11">
        <f>IF(ISNUMBER(D37),IFERROR((Params!$G$6-MAX(Params!$G$5,MIN(Params!$G$6,D37)))/(Params!$G$6-Params!$G$5)*100,""),"")</f>
        <v>82.428502181289389</v>
      </c>
      <c r="J37" s="11">
        <f>IF(ISNUMBER(E37),IFERROR((MAX(Params!$G$7,MIN(Params!$G$8,E37))-Params!$G$7)/(Params!$G$8-Params!$G$7)*100,""),"")</f>
        <v>15.980994321474098</v>
      </c>
      <c r="K37" s="11">
        <f>IF(ISNUMBER(F37),IFERROR((MAX(Params!$G$9,MIN(Params!$G$10,F37))-Params!$G$9)/(Params!$G$10-Params!$G$9)*100,""),"")</f>
        <v>9.7853681052388666</v>
      </c>
      <c r="L37" s="11">
        <f>IF(ISNUMBER(G37),IFERROR((Params!$G$12-MAX(Params!$G$11,MIN(Params!$G$12,G37)))/(Params!$G$12-Params!$G$11)*100,""),"")</f>
        <v>35.473551649433297</v>
      </c>
      <c r="M37" s="12">
        <f t="shared" si="0"/>
        <v>20.944701521389248</v>
      </c>
    </row>
    <row r="38" spans="1:13" ht="20" customHeight="1">
      <c r="A38" s="35" t="str">
        <v>Türkiye</v>
      </c>
      <c r="B38" s="35" t="str">
        <v>TUR</v>
      </c>
      <c r="C38" s="33">
        <f>_xlfn.XLOOKUP($B38,[1]pillars_WIP!$B$7:$B$301,[1]pillars_WIP!$C$7:$C$301,"Missing",0)</f>
        <v>20473.2</v>
      </c>
      <c r="D38" s="33">
        <f>_xlfn.XLOOKUP($B38,[1]pillars_WIP!$B$7:$B$301,[1]pillars_WIP!$D$7:$D$301,"Missing",0)</f>
        <v>35.549999999999997</v>
      </c>
      <c r="E38" s="33">
        <f>_xlfn.XLOOKUP($B38,[1]pillars_WIP!$B$7:$B$301,[1]pillars_WIP!$E$7:$E$301,"Missing",0)</f>
        <v>45.61</v>
      </c>
      <c r="F38" s="33">
        <f>_xlfn.XLOOKUP($B38,[1]pillars_WIP!$B$7:$B$301,[1]pillars_WIP!$F$7:$F$301,"Missing",0)</f>
        <v>18.23</v>
      </c>
      <c r="G38" s="33">
        <f>_xlfn.XLOOKUP($B38,[1]pillars_WIP!$B$7:$B$301,[1]pillars_WIP!$G$7:$G$301,"Missing",0)</f>
        <v>469.74</v>
      </c>
      <c r="H38" s="11" t="str">
        <f t="shared" si="1"/>
        <v>Yes</v>
      </c>
      <c r="I38" s="11">
        <f>IF(ISNUMBER(D38),IFERROR((Params!$G$6-MAX(Params!$G$5,MIN(Params!$G$6,D38)))/(Params!$G$6-Params!$G$5)*100,""),"")</f>
        <v>59.549200193892396</v>
      </c>
      <c r="J38" s="11">
        <f>IF(ISNUMBER(E38),IFERROR((MAX(Params!$G$7,MIN(Params!$G$8,E38))-Params!$G$7)/(Params!$G$8-Params!$G$7)*100,""),"")</f>
        <v>51.651408042646892</v>
      </c>
      <c r="K38" s="11">
        <f>IF(ISNUMBER(F38),IFERROR((MAX(Params!$G$9,MIN(Params!$G$10,F38))-Params!$G$9)/(Params!$G$10-Params!$G$9)*100,""),"")</f>
        <v>41.680129240710819</v>
      </c>
      <c r="L38" s="11">
        <f>IF(ISNUMBER(G38),IFERROR((Params!$G$12-MAX(Params!$G$11,MIN(Params!$G$12,G38)))/(Params!$G$12-Params!$G$11)*100,""),"")</f>
        <v>51.876691772857328</v>
      </c>
      <c r="M38" s="12">
        <f t="shared" si="0"/>
        <v>48.738873707639719</v>
      </c>
    </row>
    <row r="39" spans="1:13" ht="20" customHeight="1">
      <c r="A39" s="35" t="str">
        <v>United States</v>
      </c>
      <c r="B39" s="35" t="str">
        <v>USA</v>
      </c>
      <c r="C39" s="33">
        <f>_xlfn.XLOOKUP($B39,[1]pillars_WIP!$B$7:$B$301,[1]pillars_WIP!$C$7:$C$301,"Missing",0)</f>
        <v>187215.6</v>
      </c>
      <c r="D39" s="33">
        <f>_xlfn.XLOOKUP($B39,[1]pillars_WIP!$B$7:$B$301,[1]pillars_WIP!$D$7:$D$301,"Missing",0)</f>
        <v>14.85</v>
      </c>
      <c r="E39" s="33">
        <f>_xlfn.XLOOKUP($B39,[1]pillars_WIP!$B$7:$B$301,[1]pillars_WIP!$E$7:$E$301,"Missing",0)</f>
        <v>24.07</v>
      </c>
      <c r="F39" s="33">
        <f>_xlfn.XLOOKUP($B39,[1]pillars_WIP!$B$7:$B$301,[1]pillars_WIP!$F$7:$F$301,"Missing",0)</f>
        <v>17.21</v>
      </c>
      <c r="G39" s="33">
        <f>_xlfn.XLOOKUP($B39,[1]pillars_WIP!$B$7:$B$301,[1]pillars_WIP!$G$7:$G$301,"Missing",0)</f>
        <v>383.78</v>
      </c>
      <c r="H39" s="11" t="str">
        <f t="shared" si="1"/>
        <v>Yes</v>
      </c>
      <c r="I39" s="11">
        <f>IF(ISNUMBER(D39),IFERROR((Params!$G$6-MAX(Params!$G$5,MIN(Params!$G$6,D39)))/(Params!$G$6-Params!$G$5)*100,""),"")</f>
        <v>84.634028114396514</v>
      </c>
      <c r="J39" s="11">
        <f>IF(ISNUMBER(E39),IFERROR((MAX(Params!$G$7,MIN(Params!$G$8,E39))-Params!$G$7)/(Params!$G$8-Params!$G$7)*100,""),"")</f>
        <v>26.689071734847609</v>
      </c>
      <c r="K39" s="11">
        <f>IF(ISNUMBER(F39),IFERROR((MAX(Params!$G$9,MIN(Params!$G$10,F39))-Params!$G$9)/(Params!$G$10-Params!$G$9)*100,""),"")</f>
        <v>39.326102007846757</v>
      </c>
      <c r="L39" s="11">
        <f>IF(ISNUMBER(G39),IFERROR((Params!$G$12-MAX(Params!$G$11,MIN(Params!$G$12,G39)))/(Params!$G$12-Params!$G$11)*100,""),"")</f>
        <v>68.467042696607535</v>
      </c>
      <c r="M39" s="12">
        <f t="shared" si="0"/>
        <v>45.102470653363326</v>
      </c>
    </row>
    <row r="40" spans="1:13" ht="20" customHeight="1">
      <c r="A40" s="35" t="str">
        <v>Vietnam</v>
      </c>
      <c r="B40" s="35" t="str">
        <v>VNM</v>
      </c>
      <c r="C40" s="33">
        <f>_xlfn.XLOOKUP($B40,[1]pillars_WIP!$B$7:$B$301,[1]pillars_WIP!$C$7:$C$301,"Missing",0)</f>
        <v>27719</v>
      </c>
      <c r="D40" s="33">
        <f>_xlfn.XLOOKUP($B40,[1]pillars_WIP!$B$7:$B$301,[1]pillars_WIP!$D$7:$D$301,"Missing",0)</f>
        <v>50.32</v>
      </c>
      <c r="E40" s="33">
        <f>_xlfn.XLOOKUP($B40,[1]pillars_WIP!$B$7:$B$301,[1]pillars_WIP!$E$7:$E$301,"Missing",0)</f>
        <v>42.28</v>
      </c>
      <c r="F40" s="33">
        <f>_xlfn.XLOOKUP($B40,[1]pillars_WIP!$B$7:$B$301,[1]pillars_WIP!$F$7:$F$301,"Missing",0)</f>
        <v>12.72</v>
      </c>
      <c r="G40" s="33">
        <f>_xlfn.XLOOKUP($B40,[1]pillars_WIP!$B$7:$B$301,[1]pillars_WIP!$G$7:$G$301,"Missing",0)</f>
        <v>484.32</v>
      </c>
      <c r="H40" s="11" t="str">
        <f t="shared" si="1"/>
        <v>Yes</v>
      </c>
      <c r="I40" s="11">
        <f>IF(ISNUMBER(D40),IFERROR((Params!$G$6-MAX(Params!$G$5,MIN(Params!$G$6,D40)))/(Params!$G$6-Params!$G$5)*100,""),"")</f>
        <v>41.650508967523024</v>
      </c>
      <c r="J40" s="11">
        <f>IF(ISNUMBER(E40),IFERROR((MAX(Params!$G$7,MIN(Params!$G$8,E40))-Params!$G$7)/(Params!$G$8-Params!$G$7)*100,""),"")</f>
        <v>47.792328195619433</v>
      </c>
      <c r="K40" s="11">
        <f>IF(ISNUMBER(F40),IFERROR((MAX(Params!$G$9,MIN(Params!$G$10,F40))-Params!$G$9)/(Params!$G$10-Params!$G$9)*100,""),"")</f>
        <v>28.963766443572585</v>
      </c>
      <c r="L40" s="11">
        <f>IF(ISNUMBER(G40),IFERROR((Params!$G$12-MAX(Params!$G$11,MIN(Params!$G$12,G40)))/(Params!$G$12-Params!$G$11)*100,""),"")</f>
        <v>49.062739743212404</v>
      </c>
      <c r="M40" s="12">
        <f t="shared" si="0"/>
        <v>42.58840371166292</v>
      </c>
    </row>
    <row r="41" spans="1:13" s="36" customFormat="1" ht="20" customHeight="1">
      <c r="A41" s="45"/>
      <c r="B41" s="45"/>
      <c r="C41" s="48"/>
      <c r="D41" s="48"/>
      <c r="E41" s="48"/>
      <c r="F41" s="48"/>
      <c r="G41" s="48"/>
      <c r="H41" s="49"/>
      <c r="I41" s="49"/>
      <c r="J41" s="49"/>
      <c r="K41" s="49"/>
      <c r="L41" s="49"/>
      <c r="M41" s="50"/>
    </row>
    <row r="42" spans="1:13" ht="20" customHeight="1">
      <c r="A42" s="10"/>
      <c r="B42" s="10"/>
      <c r="C42" s="33"/>
      <c r="D42" s="33"/>
      <c r="E42" s="33"/>
      <c r="F42" s="33"/>
      <c r="G42" s="33"/>
      <c r="H42" s="11"/>
      <c r="I42" s="11"/>
      <c r="J42" s="11"/>
      <c r="K42" s="11"/>
      <c r="L42" s="11"/>
      <c r="M42" s="12"/>
    </row>
    <row r="43" spans="1:13" ht="20" customHeight="1">
      <c r="A43" s="78" t="s">
        <v>706</v>
      </c>
      <c r="B43" s="78"/>
      <c r="C43" s="33"/>
      <c r="D43" s="33"/>
      <c r="E43" s="33"/>
      <c r="F43" s="33"/>
      <c r="G43" s="33"/>
      <c r="H43" s="11"/>
      <c r="I43" s="11"/>
      <c r="J43" s="11"/>
      <c r="K43" s="11"/>
      <c r="L43" s="11"/>
      <c r="M43" s="12"/>
    </row>
    <row r="44" spans="1:13" ht="20" customHeight="1">
      <c r="A44" s="77" t="s">
        <v>711</v>
      </c>
      <c r="B44" s="77"/>
      <c r="C44" s="33"/>
      <c r="D44" s="33"/>
      <c r="E44" s="33"/>
      <c r="F44" s="33"/>
      <c r="G44" s="33"/>
      <c r="H44" s="11"/>
      <c r="I44" s="11"/>
      <c r="J44" s="11"/>
      <c r="K44" s="11"/>
      <c r="L44" s="11"/>
      <c r="M44" s="12"/>
    </row>
    <row r="45" spans="1:13" s="1" customFormat="1" ht="20" customHeight="1">
      <c r="A45" s="10"/>
      <c r="B45" s="10"/>
      <c r="C45" s="33"/>
      <c r="D45" s="33"/>
      <c r="E45" s="33"/>
      <c r="F45" s="33"/>
      <c r="G45" s="33"/>
      <c r="H45" s="11"/>
      <c r="I45" s="11"/>
      <c r="J45" s="11"/>
      <c r="K45" s="11"/>
      <c r="L45" s="11"/>
      <c r="M45" s="12"/>
    </row>
    <row r="46" spans="1:13" s="1" customFormat="1" ht="20" customHeight="1">
      <c r="A46" s="103"/>
      <c r="B46" s="103"/>
      <c r="C46" s="33"/>
      <c r="D46" s="33"/>
      <c r="E46" s="33"/>
      <c r="F46" s="33"/>
      <c r="G46" s="33"/>
      <c r="H46" s="11"/>
      <c r="I46" s="11"/>
      <c r="J46" s="11"/>
      <c r="K46" s="11"/>
      <c r="L46" s="11"/>
      <c r="M46" s="12"/>
    </row>
    <row r="47" spans="1:13" s="1" customFormat="1" ht="20" customHeight="1">
      <c r="A47" s="107" t="s">
        <v>745</v>
      </c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</row>
    <row r="48" spans="1:13" s="90" customFormat="1" ht="20" customHeight="1">
      <c r="A48" s="104" t="s">
        <v>312</v>
      </c>
      <c r="B48" s="105" t="s">
        <v>313</v>
      </c>
      <c r="C48" s="88"/>
      <c r="D48" s="88"/>
      <c r="E48" s="88"/>
      <c r="F48" s="88"/>
      <c r="G48" s="159">
        <v>468.99</v>
      </c>
      <c r="H48" s="108"/>
      <c r="I48" s="89"/>
      <c r="J48" s="108" t="s">
        <v>712</v>
      </c>
      <c r="K48" s="89"/>
      <c r="L48" s="89"/>
      <c r="M48" s="89"/>
    </row>
    <row r="49" spans="1:13" s="90" customFormat="1" ht="20" customHeight="1">
      <c r="A49" s="10" t="s">
        <v>411</v>
      </c>
      <c r="B49" s="10" t="s">
        <v>412</v>
      </c>
      <c r="C49" s="24"/>
      <c r="D49" s="91">
        <v>17.79</v>
      </c>
      <c r="E49" s="92"/>
      <c r="F49" s="92"/>
      <c r="G49" s="92"/>
      <c r="H49" s="108"/>
      <c r="I49" s="94"/>
      <c r="J49" s="108" t="s">
        <v>713</v>
      </c>
      <c r="K49" s="94"/>
      <c r="L49" s="94"/>
      <c r="M49" s="95"/>
    </row>
    <row r="50" spans="1:13" s="90" customFormat="1" ht="20" customHeight="1">
      <c r="A50" s="10" t="s">
        <v>411</v>
      </c>
      <c r="B50" s="10" t="s">
        <v>412</v>
      </c>
      <c r="C50" s="24"/>
      <c r="D50" s="92"/>
      <c r="E50" s="91">
        <v>41.12</v>
      </c>
      <c r="F50" s="92"/>
      <c r="G50" s="92"/>
      <c r="H50" s="108"/>
      <c r="I50" s="94"/>
      <c r="J50" s="108" t="s">
        <v>713</v>
      </c>
      <c r="K50" s="94"/>
      <c r="L50" s="94"/>
      <c r="M50" s="95"/>
    </row>
    <row r="51" spans="1:13" s="90" customFormat="1" ht="20" customHeight="1">
      <c r="A51" s="10" t="s">
        <v>411</v>
      </c>
      <c r="B51" s="10" t="s">
        <v>412</v>
      </c>
      <c r="C51" s="24"/>
      <c r="D51" s="92"/>
      <c r="E51" s="92"/>
      <c r="F51" s="91">
        <v>18.23</v>
      </c>
      <c r="G51" s="92"/>
      <c r="H51" s="108"/>
      <c r="I51" s="94"/>
      <c r="J51" s="108" t="s">
        <v>713</v>
      </c>
      <c r="K51" s="94"/>
      <c r="L51" s="94"/>
      <c r="M51" s="95"/>
    </row>
    <row r="52" spans="1:13" s="90" customFormat="1" ht="20" customHeight="1">
      <c r="A52" s="10" t="s">
        <v>411</v>
      </c>
      <c r="B52" s="10" t="s">
        <v>412</v>
      </c>
      <c r="C52" s="24"/>
      <c r="D52" s="92"/>
      <c r="E52" s="92"/>
      <c r="F52" s="92"/>
      <c r="G52" s="91">
        <v>281.39999999999998</v>
      </c>
      <c r="H52" s="108"/>
      <c r="I52" s="94"/>
      <c r="J52" s="108" t="s">
        <v>713</v>
      </c>
      <c r="K52" s="94"/>
      <c r="L52" s="94"/>
      <c r="M52" s="95"/>
    </row>
    <row r="53" spans="1:13" s="1" customFormat="1" ht="20" customHeight="1">
      <c r="A53" s="10"/>
      <c r="B53" s="10"/>
      <c r="C53" s="33"/>
      <c r="D53" s="33"/>
      <c r="E53" s="33"/>
      <c r="F53" s="33"/>
      <c r="G53" s="33"/>
      <c r="H53" s="11"/>
      <c r="I53" s="11"/>
      <c r="J53" s="11"/>
      <c r="K53" s="11"/>
      <c r="L53" s="11"/>
      <c r="M53" s="12"/>
    </row>
    <row r="54" spans="1:13" s="1" customFormat="1" ht="20" customHeight="1">
      <c r="A54" s="10"/>
      <c r="B54" s="10"/>
      <c r="C54" s="33"/>
      <c r="D54" s="33"/>
      <c r="E54" s="33"/>
      <c r="F54" s="33"/>
      <c r="G54" s="33"/>
      <c r="H54" s="11"/>
      <c r="I54" s="11"/>
      <c r="J54" s="11"/>
      <c r="K54" s="11"/>
      <c r="L54" s="11"/>
      <c r="M54" s="12"/>
    </row>
    <row r="55" spans="1:13" s="1" customFormat="1" ht="20" hidden="1" customHeight="1">
      <c r="A55" s="107" t="s">
        <v>925</v>
      </c>
      <c r="B55" s="106"/>
      <c r="C55" s="106"/>
      <c r="D55" s="106"/>
      <c r="E55" s="106"/>
      <c r="F55" s="106"/>
      <c r="G55" s="33"/>
      <c r="H55" s="11"/>
      <c r="I55" s="11"/>
      <c r="J55" s="11"/>
      <c r="K55" s="11"/>
      <c r="L55" s="11"/>
      <c r="M55" s="12"/>
    </row>
    <row r="56" spans="1:13" s="1" customFormat="1" ht="20" hidden="1" customHeight="1">
      <c r="A56" s="139" t="s">
        <v>2</v>
      </c>
      <c r="B56" s="184" t="s">
        <v>443</v>
      </c>
      <c r="C56" s="182" t="s">
        <v>581</v>
      </c>
      <c r="D56" s="182" t="s">
        <v>4</v>
      </c>
      <c r="E56" s="182" t="s">
        <v>5</v>
      </c>
      <c r="F56" s="182" t="s">
        <v>805</v>
      </c>
      <c r="G56" s="33"/>
      <c r="H56" s="11"/>
      <c r="I56" s="11"/>
      <c r="J56" s="11"/>
      <c r="K56" s="11"/>
      <c r="L56" s="11"/>
      <c r="M56" s="12"/>
    </row>
    <row r="57" spans="1:13" ht="20" hidden="1" customHeight="1">
      <c r="A57" s="46" t="str">
        <f>A5</f>
        <v>Australia</v>
      </c>
      <c r="B57" s="46" t="str">
        <f>B5</f>
        <v>AUS</v>
      </c>
      <c r="C57" s="185" cm="1">
        <f t="array" ref="C57">--(SUMPRODUCT(($B$48:$B$52=$B57)*(LEN($E$48:$E$52)&gt;0))&gt;0)</f>
        <v>0</v>
      </c>
      <c r="D57" s="185" cm="1">
        <f t="array" ref="D57">--(SUMPRODUCT(($B$48:$B$52=$B57)*(LEN($F$48:$F$52)&gt;0))&gt;0)</f>
        <v>0</v>
      </c>
      <c r="E57" s="185" cm="1">
        <f t="array" ref="E57">--(SUMPRODUCT(($B$48:$B$52=$B57)*(LEN($G$48:$G$52)&gt;0))&gt;0)</f>
        <v>0</v>
      </c>
      <c r="F57" s="185">
        <f>SUM(C57:E57)</f>
        <v>0</v>
      </c>
      <c r="G57" s="33"/>
      <c r="H57" s="11"/>
      <c r="I57" s="11"/>
      <c r="J57" s="11"/>
      <c r="K57" s="11"/>
      <c r="L57" s="11"/>
      <c r="M57" s="12"/>
    </row>
    <row r="58" spans="1:13" ht="20" hidden="1" customHeight="1">
      <c r="A58" s="46" t="str">
        <f t="shared" ref="A58:B58" si="2">A6</f>
        <v>Bangladesh</v>
      </c>
      <c r="B58" s="46" t="str">
        <f t="shared" si="2"/>
        <v>BGD</v>
      </c>
      <c r="C58" s="185" cm="1">
        <f t="array" ref="C58">--(SUMPRODUCT(($B$48:$B$52=$B58)*(LEN($E$48:$E$52)&gt;0))&gt;0)</f>
        <v>0</v>
      </c>
      <c r="D58" s="185" cm="1">
        <f t="array" ref="D58">--(SUMPRODUCT(($B$48:$B$52=$B58)*(LEN($F$48:$F$52)&gt;0))&gt;0)</f>
        <v>0</v>
      </c>
      <c r="E58" s="185" cm="1">
        <f t="array" ref="E58">--(SUMPRODUCT(($B$48:$B$52=$B58)*(LEN($G$48:$G$52)&gt;0))&gt;0)</f>
        <v>0</v>
      </c>
      <c r="F58" s="185">
        <f t="shared" ref="F58:F92" si="3">SUM(C58:E58)</f>
        <v>0</v>
      </c>
      <c r="G58" s="33"/>
      <c r="H58" s="11"/>
      <c r="I58" s="11"/>
      <c r="J58" s="11"/>
      <c r="K58" s="11"/>
      <c r="L58" s="11"/>
      <c r="M58" s="12"/>
    </row>
    <row r="59" spans="1:13" ht="20" hidden="1" customHeight="1">
      <c r="A59" s="46" t="str">
        <f t="shared" ref="A59:B59" si="4">A7</f>
        <v>Bosnia and Herzegovina</v>
      </c>
      <c r="B59" s="46" t="str">
        <f t="shared" si="4"/>
        <v>BIH</v>
      </c>
      <c r="C59" s="185" cm="1">
        <f t="array" ref="C59">--(SUMPRODUCT(($B$48:$B$52=$B59)*(LEN($E$48:$E$52)&gt;0))&gt;0)</f>
        <v>0</v>
      </c>
      <c r="D59" s="185" cm="1">
        <f t="array" ref="D59">--(SUMPRODUCT(($B$48:$B$52=$B59)*(LEN($F$48:$F$52)&gt;0))&gt;0)</f>
        <v>0</v>
      </c>
      <c r="E59" s="185" cm="1">
        <f t="array" ref="E59">--(SUMPRODUCT(($B$48:$B$52=$B59)*(LEN($G$48:$G$52)&gt;0))&gt;0)</f>
        <v>0</v>
      </c>
      <c r="F59" s="185">
        <f t="shared" si="3"/>
        <v>0</v>
      </c>
      <c r="G59" s="33"/>
      <c r="H59" s="11"/>
      <c r="I59" s="11"/>
      <c r="J59" s="11"/>
      <c r="K59" s="11"/>
      <c r="L59" s="11"/>
      <c r="M59" s="12"/>
    </row>
    <row r="60" spans="1:13" ht="20" hidden="1" customHeight="1">
      <c r="A60" s="46" t="str">
        <f t="shared" ref="A60:B60" si="5">A8</f>
        <v>Brazil</v>
      </c>
      <c r="B60" s="46" t="str">
        <f t="shared" si="5"/>
        <v>BRA</v>
      </c>
      <c r="C60" s="185" cm="1">
        <f t="array" ref="C60">--(SUMPRODUCT(($B$48:$B$52=$B60)*(LEN($E$48:$E$52)&gt;0))&gt;0)</f>
        <v>0</v>
      </c>
      <c r="D60" s="185" cm="1">
        <f t="array" ref="D60">--(SUMPRODUCT(($B$48:$B$52=$B60)*(LEN($F$48:$F$52)&gt;0))&gt;0)</f>
        <v>0</v>
      </c>
      <c r="E60" s="185" cm="1">
        <f t="array" ref="E60">--(SUMPRODUCT(($B$48:$B$52=$B60)*(LEN($G$48:$G$52)&gt;0))&gt;0)</f>
        <v>0</v>
      </c>
      <c r="F60" s="185">
        <f t="shared" si="3"/>
        <v>0</v>
      </c>
      <c r="G60" s="33"/>
      <c r="H60" s="11"/>
      <c r="I60" s="11"/>
      <c r="J60" s="11"/>
      <c r="K60" s="11"/>
      <c r="L60" s="11"/>
      <c r="M60" s="12"/>
    </row>
    <row r="61" spans="1:13" ht="20" hidden="1" customHeight="1">
      <c r="A61" s="46" t="str">
        <f t="shared" ref="A61:B61" si="6">A9</f>
        <v>Bulgaria</v>
      </c>
      <c r="B61" s="46" t="str">
        <f t="shared" si="6"/>
        <v>BGR</v>
      </c>
      <c r="C61" s="185" cm="1">
        <f t="array" ref="C61">--(SUMPRODUCT(($B$48:$B$52=$B61)*(LEN($E$48:$E$52)&gt;0))&gt;0)</f>
        <v>0</v>
      </c>
      <c r="D61" s="185" cm="1">
        <f t="array" ref="D61">--(SUMPRODUCT(($B$48:$B$52=$B61)*(LEN($F$48:$F$52)&gt;0))&gt;0)</f>
        <v>0</v>
      </c>
      <c r="E61" s="185" cm="1">
        <f t="array" ref="E61">--(SUMPRODUCT(($B$48:$B$52=$B61)*(LEN($G$48:$G$52)&gt;0))&gt;0)</f>
        <v>0</v>
      </c>
      <c r="F61" s="185">
        <f t="shared" si="3"/>
        <v>0</v>
      </c>
      <c r="G61" s="33"/>
      <c r="H61" s="11"/>
      <c r="I61" s="11"/>
      <c r="J61" s="11"/>
      <c r="K61" s="11"/>
      <c r="L61" s="11"/>
      <c r="M61" s="12"/>
    </row>
    <row r="62" spans="1:13" ht="20" hidden="1" customHeight="1">
      <c r="A62" s="46" t="str">
        <f t="shared" ref="A62:B62" si="7">A10</f>
        <v>Cambodia</v>
      </c>
      <c r="B62" s="46" t="str">
        <f t="shared" si="7"/>
        <v>KHM</v>
      </c>
      <c r="C62" s="185" cm="1">
        <f t="array" ref="C62">--(SUMPRODUCT(($B$48:$B$52=$B62)*(LEN($E$48:$E$52)&gt;0))&gt;0)</f>
        <v>0</v>
      </c>
      <c r="D62" s="185" cm="1">
        <f t="array" ref="D62">--(SUMPRODUCT(($B$48:$B$52=$B62)*(LEN($F$48:$F$52)&gt;0))&gt;0)</f>
        <v>0</v>
      </c>
      <c r="E62" s="185" cm="1">
        <f t="array" ref="E62">--(SUMPRODUCT(($B$48:$B$52=$B62)*(LEN($G$48:$G$52)&gt;0))&gt;0)</f>
        <v>0</v>
      </c>
      <c r="F62" s="185">
        <f t="shared" si="3"/>
        <v>0</v>
      </c>
      <c r="G62" s="33"/>
      <c r="H62" s="11"/>
      <c r="I62" s="11"/>
      <c r="J62" s="11"/>
      <c r="K62" s="11"/>
      <c r="L62" s="11"/>
      <c r="M62" s="12"/>
    </row>
    <row r="63" spans="1:13" ht="20" hidden="1" customHeight="1">
      <c r="A63" s="46" t="str">
        <f t="shared" ref="A63:B63" si="8">A11</f>
        <v>Canada</v>
      </c>
      <c r="B63" s="46" t="str">
        <f t="shared" si="8"/>
        <v>CAN</v>
      </c>
      <c r="C63" s="185" cm="1">
        <f t="array" ref="C63">--(SUMPRODUCT(($B$48:$B$52=$B63)*(LEN($E$48:$E$52)&gt;0))&gt;0)</f>
        <v>0</v>
      </c>
      <c r="D63" s="185" cm="1">
        <f t="array" ref="D63">--(SUMPRODUCT(($B$48:$B$52=$B63)*(LEN($F$48:$F$52)&gt;0))&gt;0)</f>
        <v>0</v>
      </c>
      <c r="E63" s="185" cm="1">
        <f t="array" ref="E63">--(SUMPRODUCT(($B$48:$B$52=$B63)*(LEN($G$48:$G$52)&gt;0))&gt;0)</f>
        <v>0</v>
      </c>
      <c r="F63" s="185">
        <f t="shared" si="3"/>
        <v>0</v>
      </c>
      <c r="G63" s="33"/>
      <c r="H63" s="11"/>
      <c r="I63" s="11"/>
      <c r="J63" s="11"/>
      <c r="K63" s="11"/>
      <c r="L63" s="11"/>
      <c r="M63" s="12"/>
    </row>
    <row r="64" spans="1:13" ht="20" hidden="1" customHeight="1">
      <c r="A64" s="46" t="str">
        <f t="shared" ref="A64:B64" si="9">A12</f>
        <v>Chile</v>
      </c>
      <c r="B64" s="46" t="str">
        <f t="shared" si="9"/>
        <v>CHL</v>
      </c>
      <c r="C64" s="185" cm="1">
        <f t="array" ref="C64">--(SUMPRODUCT(($B$48:$B$52=$B64)*(LEN($E$48:$E$52)&gt;0))&gt;0)</f>
        <v>0</v>
      </c>
      <c r="D64" s="185" cm="1">
        <f t="array" ref="D64">--(SUMPRODUCT(($B$48:$B$52=$B64)*(LEN($F$48:$F$52)&gt;0))&gt;0)</f>
        <v>0</v>
      </c>
      <c r="E64" s="185" cm="1">
        <f t="array" ref="E64">--(SUMPRODUCT(($B$48:$B$52=$B64)*(LEN($G$48:$G$52)&gt;0))&gt;0)</f>
        <v>0</v>
      </c>
      <c r="F64" s="185">
        <f t="shared" si="3"/>
        <v>0</v>
      </c>
      <c r="G64" s="33"/>
      <c r="H64" s="11"/>
      <c r="I64" s="11"/>
      <c r="J64" s="11"/>
      <c r="K64" s="11"/>
      <c r="L64" s="11"/>
      <c r="M64" s="12"/>
    </row>
    <row r="65" spans="1:13" ht="20" hidden="1" customHeight="1">
      <c r="A65" s="46" t="str">
        <f t="shared" ref="A65:B65" si="10">A13</f>
        <v>China</v>
      </c>
      <c r="B65" s="46" t="str">
        <f t="shared" si="10"/>
        <v>CHN</v>
      </c>
      <c r="C65" s="185" cm="1">
        <f t="array" ref="C65">--(SUMPRODUCT(($B$48:$B$52=$B65)*(LEN($E$48:$E$52)&gt;0))&gt;0)</f>
        <v>0</v>
      </c>
      <c r="D65" s="185" cm="1">
        <f t="array" ref="D65">--(SUMPRODUCT(($B$48:$B$52=$B65)*(LEN($F$48:$F$52)&gt;0))&gt;0)</f>
        <v>0</v>
      </c>
      <c r="E65" s="185" cm="1">
        <f t="array" ref="E65">--(SUMPRODUCT(($B$48:$B$52=$B65)*(LEN($G$48:$G$52)&gt;0))&gt;0)</f>
        <v>0</v>
      </c>
      <c r="F65" s="185">
        <f t="shared" si="3"/>
        <v>0</v>
      </c>
      <c r="G65" s="33"/>
      <c r="H65" s="11"/>
      <c r="I65" s="11"/>
      <c r="J65" s="11"/>
      <c r="K65" s="11"/>
      <c r="L65" s="11"/>
      <c r="M65" s="12"/>
    </row>
    <row r="66" spans="1:13" ht="20" hidden="1" customHeight="1">
      <c r="A66" s="46" t="str">
        <f t="shared" ref="A66:B66" si="11">A14</f>
        <v>Czech Republic</v>
      </c>
      <c r="B66" s="46" t="str">
        <f t="shared" si="11"/>
        <v>CZE</v>
      </c>
      <c r="C66" s="185" cm="1">
        <f t="array" ref="C66">--(SUMPRODUCT(($B$48:$B$52=$B66)*(LEN($E$48:$E$52)&gt;0))&gt;0)</f>
        <v>0</v>
      </c>
      <c r="D66" s="185" cm="1">
        <f t="array" ref="D66">--(SUMPRODUCT(($B$48:$B$52=$B66)*(LEN($F$48:$F$52)&gt;0))&gt;0)</f>
        <v>0</v>
      </c>
      <c r="E66" s="185" cm="1">
        <f t="array" ref="E66">--(SUMPRODUCT(($B$48:$B$52=$B66)*(LEN($G$48:$G$52)&gt;0))&gt;0)</f>
        <v>0</v>
      </c>
      <c r="F66" s="185">
        <f t="shared" si="3"/>
        <v>0</v>
      </c>
      <c r="G66" s="33"/>
      <c r="H66" s="11"/>
      <c r="I66" s="11"/>
      <c r="J66" s="11"/>
      <c r="K66" s="11"/>
      <c r="L66" s="11"/>
      <c r="M66" s="12"/>
    </row>
    <row r="67" spans="1:13" ht="20" hidden="1" customHeight="1">
      <c r="A67" s="46" t="str">
        <f t="shared" ref="A67:B67" si="12">A15</f>
        <v>Dominican Republic</v>
      </c>
      <c r="B67" s="46" t="str">
        <f t="shared" si="12"/>
        <v>DOM</v>
      </c>
      <c r="C67" s="185" cm="1">
        <f t="array" ref="C67">--(SUMPRODUCT(($B$48:$B$52=$B67)*(LEN($E$48:$E$52)&gt;0))&gt;0)</f>
        <v>0</v>
      </c>
      <c r="D67" s="185" cm="1">
        <f t="array" ref="D67">--(SUMPRODUCT(($B$48:$B$52=$B67)*(LEN($F$48:$F$52)&gt;0))&gt;0)</f>
        <v>0</v>
      </c>
      <c r="E67" s="185" cm="1">
        <f t="array" ref="E67">--(SUMPRODUCT(($B$48:$B$52=$B67)*(LEN($G$48:$G$52)&gt;0))&gt;0)</f>
        <v>0</v>
      </c>
      <c r="F67" s="185">
        <f t="shared" si="3"/>
        <v>0</v>
      </c>
      <c r="G67" s="33"/>
      <c r="H67" s="11"/>
      <c r="I67" s="11"/>
      <c r="J67" s="11"/>
      <c r="K67" s="11"/>
      <c r="L67" s="11"/>
      <c r="M67" s="12"/>
    </row>
    <row r="68" spans="1:13" ht="20" hidden="1" customHeight="1">
      <c r="A68" s="46" t="str">
        <f t="shared" ref="A68:B68" si="13">A16</f>
        <v>Germany</v>
      </c>
      <c r="B68" s="46" t="str">
        <f t="shared" si="13"/>
        <v>DEU</v>
      </c>
      <c r="C68" s="185" cm="1">
        <f t="array" ref="C68">--(SUMPRODUCT(($B$48:$B$52=$B68)*(LEN($E$48:$E$52)&gt;0))&gt;0)</f>
        <v>0</v>
      </c>
      <c r="D68" s="185" cm="1">
        <f t="array" ref="D68">--(SUMPRODUCT(($B$48:$B$52=$B68)*(LEN($F$48:$F$52)&gt;0))&gt;0)</f>
        <v>0</v>
      </c>
      <c r="E68" s="185" cm="1">
        <f t="array" ref="E68">--(SUMPRODUCT(($B$48:$B$52=$B68)*(LEN($G$48:$G$52)&gt;0))&gt;0)</f>
        <v>0</v>
      </c>
      <c r="F68" s="185">
        <f t="shared" si="3"/>
        <v>0</v>
      </c>
      <c r="G68" s="33"/>
      <c r="H68" s="11"/>
      <c r="I68" s="11"/>
      <c r="J68" s="11"/>
      <c r="K68" s="11"/>
      <c r="L68" s="11"/>
      <c r="M68" s="12"/>
    </row>
    <row r="69" spans="1:13" ht="20" hidden="1" customHeight="1">
      <c r="A69" s="46" t="str">
        <f t="shared" ref="A69:B69" si="14">A17</f>
        <v>Hong Kong</v>
      </c>
      <c r="B69" s="46" t="str">
        <f t="shared" si="14"/>
        <v>HKG</v>
      </c>
      <c r="C69" s="185" cm="1">
        <f t="array" ref="C69">--(SUMPRODUCT(($B$48:$B$52=$B69)*(LEN($E$48:$E$52)&gt;0))&gt;0)</f>
        <v>0</v>
      </c>
      <c r="D69" s="185" cm="1">
        <f t="array" ref="D69">--(SUMPRODUCT(($B$48:$B$52=$B69)*(LEN($F$48:$F$52)&gt;0))&gt;0)</f>
        <v>0</v>
      </c>
      <c r="E69" s="185" cm="1">
        <f t="array" ref="E69">--(SUMPRODUCT(($B$48:$B$52=$B69)*(LEN($G$48:$G$52)&gt;0))&gt;0)</f>
        <v>0</v>
      </c>
      <c r="F69" s="185">
        <f t="shared" si="3"/>
        <v>0</v>
      </c>
      <c r="G69" s="33"/>
      <c r="H69" s="11"/>
      <c r="I69" s="11"/>
      <c r="J69" s="11"/>
      <c r="K69" s="11"/>
      <c r="L69" s="11"/>
      <c r="M69" s="12"/>
    </row>
    <row r="70" spans="1:13" ht="20" hidden="1" customHeight="1">
      <c r="A70" s="46" t="str">
        <f t="shared" ref="A70:B70" si="15">A18</f>
        <v>India</v>
      </c>
      <c r="B70" s="46" t="str">
        <f t="shared" si="15"/>
        <v>IND</v>
      </c>
      <c r="C70" s="185" cm="1">
        <f t="array" ref="C70">--(SUMPRODUCT(($B$48:$B$52=$B70)*(LEN($E$48:$E$52)&gt;0))&gt;0)</f>
        <v>0</v>
      </c>
      <c r="D70" s="185" cm="1">
        <f t="array" ref="D70">--(SUMPRODUCT(($B$48:$B$52=$B70)*(LEN($F$48:$F$52)&gt;0))&gt;0)</f>
        <v>0</v>
      </c>
      <c r="E70" s="185" cm="1">
        <f t="array" ref="E70">--(SUMPRODUCT(($B$48:$B$52=$B70)*(LEN($G$48:$G$52)&gt;0))&gt;0)</f>
        <v>0</v>
      </c>
      <c r="F70" s="185">
        <f t="shared" si="3"/>
        <v>0</v>
      </c>
      <c r="G70" s="33"/>
      <c r="H70" s="11"/>
      <c r="I70" s="11"/>
      <c r="J70" s="11"/>
      <c r="K70" s="11"/>
      <c r="L70" s="11"/>
      <c r="M70" s="12"/>
    </row>
    <row r="71" spans="1:13" ht="20" hidden="1" customHeight="1">
      <c r="A71" s="46" t="str">
        <f t="shared" ref="A71:B71" si="16">A19</f>
        <v>Indonesia</v>
      </c>
      <c r="B71" s="46" t="str">
        <f t="shared" si="16"/>
        <v>IDN</v>
      </c>
      <c r="C71" s="185" cm="1">
        <f t="array" ref="C71">--(SUMPRODUCT(($B$48:$B$52=$B71)*(LEN($E$48:$E$52)&gt;0))&gt;0)</f>
        <v>0</v>
      </c>
      <c r="D71" s="185" cm="1">
        <f t="array" ref="D71">--(SUMPRODUCT(($B$48:$B$52=$B71)*(LEN($F$48:$F$52)&gt;0))&gt;0)</f>
        <v>0</v>
      </c>
      <c r="E71" s="185" cm="1">
        <f t="array" ref="E71">--(SUMPRODUCT(($B$48:$B$52=$B71)*(LEN($G$48:$G$52)&gt;0))&gt;0)</f>
        <v>0</v>
      </c>
      <c r="F71" s="185">
        <f t="shared" si="3"/>
        <v>0</v>
      </c>
      <c r="G71" s="33"/>
      <c r="H71" s="11"/>
      <c r="I71" s="11"/>
      <c r="J71" s="11"/>
      <c r="K71" s="11"/>
      <c r="L71" s="11"/>
      <c r="M71" s="12"/>
    </row>
    <row r="72" spans="1:13" ht="20" hidden="1" customHeight="1">
      <c r="A72" s="46" t="str">
        <f t="shared" ref="A72:B72" si="17">A20</f>
        <v>Japan</v>
      </c>
      <c r="B72" s="46" t="str">
        <f t="shared" si="17"/>
        <v>JPN</v>
      </c>
      <c r="C72" s="185" cm="1">
        <f t="array" ref="C72">--(SUMPRODUCT(($B$48:$B$52=$B72)*(LEN($E$48:$E$52)&gt;0))&gt;0)</f>
        <v>0</v>
      </c>
      <c r="D72" s="185" cm="1">
        <f t="array" ref="D72">--(SUMPRODUCT(($B$48:$B$52=$B72)*(LEN($F$48:$F$52)&gt;0))&gt;0)</f>
        <v>0</v>
      </c>
      <c r="E72" s="185" cm="1">
        <f t="array" ref="E72">--(SUMPRODUCT(($B$48:$B$52=$B72)*(LEN($G$48:$G$52)&gt;0))&gt;0)</f>
        <v>0</v>
      </c>
      <c r="F72" s="185">
        <f t="shared" si="3"/>
        <v>0</v>
      </c>
      <c r="G72" s="33"/>
      <c r="H72" s="11"/>
      <c r="I72" s="11"/>
      <c r="J72" s="11"/>
      <c r="K72" s="11"/>
      <c r="L72" s="11"/>
      <c r="M72" s="12"/>
    </row>
    <row r="73" spans="1:13" ht="20" hidden="1" customHeight="1">
      <c r="A73" s="46" t="str">
        <f t="shared" ref="A73:B73" si="18">A21</f>
        <v>Kazakhstan</v>
      </c>
      <c r="B73" s="46" t="str">
        <f t="shared" si="18"/>
        <v>KAZ</v>
      </c>
      <c r="C73" s="185" cm="1">
        <f t="array" ref="C73">--(SUMPRODUCT(($B$48:$B$52=$B73)*(LEN($E$48:$E$52)&gt;0))&gt;0)</f>
        <v>0</v>
      </c>
      <c r="D73" s="185" cm="1">
        <f t="array" ref="D73">--(SUMPRODUCT(($B$48:$B$52=$B73)*(LEN($F$48:$F$52)&gt;0))&gt;0)</f>
        <v>0</v>
      </c>
      <c r="E73" s="185" cm="1">
        <f t="array" ref="E73">--(SUMPRODUCT(($B$48:$B$52=$B73)*(LEN($G$48:$G$52)&gt;0))&gt;0)</f>
        <v>0</v>
      </c>
      <c r="F73" s="185">
        <f t="shared" si="3"/>
        <v>0</v>
      </c>
      <c r="G73" s="33"/>
      <c r="H73" s="11"/>
      <c r="I73" s="11"/>
      <c r="J73" s="11"/>
      <c r="K73" s="11"/>
      <c r="L73" s="11"/>
      <c r="M73" s="12"/>
    </row>
    <row r="74" spans="1:13" ht="20" hidden="1" customHeight="1">
      <c r="A74" s="46" t="str">
        <f t="shared" ref="A74:B74" si="19">A22</f>
        <v>Laos</v>
      </c>
      <c r="B74" s="46" t="str">
        <f t="shared" si="19"/>
        <v>LAO</v>
      </c>
      <c r="C74" s="185" cm="1">
        <f t="array" ref="C74">--(SUMPRODUCT(($B$48:$B$52=$B74)*(LEN($E$48:$E$52)&gt;0))&gt;0)</f>
        <v>0</v>
      </c>
      <c r="D74" s="185" cm="1">
        <f t="array" ref="D74">--(SUMPRODUCT(($B$48:$B$52=$B74)*(LEN($F$48:$F$52)&gt;0))&gt;0)</f>
        <v>0</v>
      </c>
      <c r="E74" s="185" cm="1">
        <f t="array" ref="E74">--(SUMPRODUCT(($B$48:$B$52=$B74)*(LEN($G$48:$G$52)&gt;0))&gt;0)</f>
        <v>0</v>
      </c>
      <c r="F74" s="185">
        <f t="shared" si="3"/>
        <v>0</v>
      </c>
      <c r="G74" s="33"/>
      <c r="H74" s="11"/>
      <c r="I74" s="11"/>
      <c r="J74" s="11"/>
      <c r="K74" s="11"/>
      <c r="L74" s="11"/>
      <c r="M74" s="12"/>
    </row>
    <row r="75" spans="1:13" ht="20" hidden="1" customHeight="1">
      <c r="A75" s="46" t="str">
        <f t="shared" ref="A75:B75" si="20">A23</f>
        <v>Malaysia</v>
      </c>
      <c r="B75" s="46" t="str">
        <f t="shared" si="20"/>
        <v>MYS</v>
      </c>
      <c r="C75" s="185" cm="1">
        <f t="array" ref="C75">--(SUMPRODUCT(($B$48:$B$52=$B75)*(LEN($E$48:$E$52)&gt;0))&gt;0)</f>
        <v>0</v>
      </c>
      <c r="D75" s="185" cm="1">
        <f t="array" ref="D75">--(SUMPRODUCT(($B$48:$B$52=$B75)*(LEN($F$48:$F$52)&gt;0))&gt;0)</f>
        <v>0</v>
      </c>
      <c r="E75" s="185" cm="1">
        <f t="array" ref="E75">--(SUMPRODUCT(($B$48:$B$52=$B75)*(LEN($G$48:$G$52)&gt;0))&gt;0)</f>
        <v>0</v>
      </c>
      <c r="F75" s="185">
        <f t="shared" si="3"/>
        <v>0</v>
      </c>
      <c r="G75" s="33"/>
      <c r="H75" s="11"/>
      <c r="I75" s="11"/>
      <c r="J75" s="11"/>
      <c r="K75" s="11"/>
      <c r="L75" s="11"/>
      <c r="M75" s="12"/>
    </row>
    <row r="76" spans="1:13" ht="20" hidden="1" customHeight="1">
      <c r="A76" s="46" t="str">
        <f t="shared" ref="A76:B76" si="21">A24</f>
        <v>Mexico</v>
      </c>
      <c r="B76" s="46" t="str">
        <f t="shared" si="21"/>
        <v>MEX</v>
      </c>
      <c r="C76" s="185" cm="1">
        <f t="array" ref="C76">--(SUMPRODUCT(($B$48:$B$52=$B76)*(LEN($E$48:$E$52)&gt;0))&gt;0)</f>
        <v>0</v>
      </c>
      <c r="D76" s="185" cm="1">
        <f t="array" ref="D76">--(SUMPRODUCT(($B$48:$B$52=$B76)*(LEN($F$48:$F$52)&gt;0))&gt;0)</f>
        <v>0</v>
      </c>
      <c r="E76" s="185" cm="1">
        <f t="array" ref="E76">--(SUMPRODUCT(($B$48:$B$52=$B76)*(LEN($G$48:$G$52)&gt;0))&gt;0)</f>
        <v>0</v>
      </c>
      <c r="F76" s="185">
        <f t="shared" si="3"/>
        <v>0</v>
      </c>
      <c r="G76" s="33"/>
      <c r="H76" s="11"/>
      <c r="I76" s="11"/>
      <c r="J76" s="11"/>
      <c r="K76" s="11"/>
      <c r="L76" s="11"/>
      <c r="M76" s="12"/>
    </row>
    <row r="77" spans="1:13" ht="20" hidden="1" customHeight="1">
      <c r="A77" s="46" t="str">
        <f t="shared" ref="A77:B77" si="22">A25</f>
        <v>Mongolia</v>
      </c>
      <c r="B77" s="46" t="str">
        <f t="shared" si="22"/>
        <v>MNG</v>
      </c>
      <c r="C77" s="185" cm="1">
        <f t="array" ref="C77">--(SUMPRODUCT(($B$48:$B$52=$B77)*(LEN($E$48:$E$52)&gt;0))&gt;0)</f>
        <v>0</v>
      </c>
      <c r="D77" s="185" cm="1">
        <f t="array" ref="D77">--(SUMPRODUCT(($B$48:$B$52=$B77)*(LEN($F$48:$F$52)&gt;0))&gt;0)</f>
        <v>0</v>
      </c>
      <c r="E77" s="185" cm="1">
        <f t="array" ref="E77">--(SUMPRODUCT(($B$48:$B$52=$B77)*(LEN($G$48:$G$52)&gt;0))&gt;0)</f>
        <v>0</v>
      </c>
      <c r="F77" s="185">
        <f t="shared" si="3"/>
        <v>0</v>
      </c>
      <c r="G77" s="33"/>
      <c r="H77" s="11"/>
      <c r="I77" s="11"/>
      <c r="J77" s="11"/>
      <c r="K77" s="11"/>
      <c r="L77" s="11"/>
      <c r="M77" s="12"/>
    </row>
    <row r="78" spans="1:13" ht="20" hidden="1" customHeight="1">
      <c r="A78" s="46" t="str">
        <f t="shared" ref="A78:B78" si="23">A26</f>
        <v>Morocco</v>
      </c>
      <c r="B78" s="46" t="str">
        <f t="shared" si="23"/>
        <v>MAR</v>
      </c>
      <c r="C78" s="185" cm="1">
        <f t="array" ref="C78">--(SUMPRODUCT(($B$48:$B$52=$B78)*(LEN($E$48:$E$52)&gt;0))&gt;0)</f>
        <v>0</v>
      </c>
      <c r="D78" s="185" cm="1">
        <f t="array" ref="D78">--(SUMPRODUCT(($B$48:$B$52=$B78)*(LEN($F$48:$F$52)&gt;0))&gt;0)</f>
        <v>0</v>
      </c>
      <c r="E78" s="185" cm="1">
        <f t="array" ref="E78">--(SUMPRODUCT(($B$48:$B$52=$B78)*(LEN($G$48:$G$52)&gt;0))&gt;0)</f>
        <v>0</v>
      </c>
      <c r="F78" s="185">
        <f t="shared" si="3"/>
        <v>0</v>
      </c>
      <c r="G78" s="33"/>
      <c r="H78" s="11"/>
      <c r="I78" s="11"/>
      <c r="J78" s="11"/>
      <c r="K78" s="11"/>
      <c r="L78" s="11"/>
      <c r="M78" s="12"/>
    </row>
    <row r="79" spans="1:13" ht="20" hidden="1" customHeight="1">
      <c r="A79" s="46" t="str">
        <f t="shared" ref="A79:B79" si="24">A27</f>
        <v>North Korea</v>
      </c>
      <c r="B79" s="46" t="str">
        <f t="shared" si="24"/>
        <v>PRK</v>
      </c>
      <c r="C79" s="185" cm="1">
        <f t="array" ref="C79">--(SUMPRODUCT(($B$48:$B$52=$B79)*(LEN($E$48:$E$52)&gt;0))&gt;0)</f>
        <v>0</v>
      </c>
      <c r="D79" s="185" cm="1">
        <f t="array" ref="D79">--(SUMPRODUCT(($B$48:$B$52=$B79)*(LEN($F$48:$F$52)&gt;0))&gt;0)</f>
        <v>0</v>
      </c>
      <c r="E79" s="185" cm="1">
        <f t="array" ref="E79">--(SUMPRODUCT(($B$48:$B$52=$B79)*(LEN($G$48:$G$52)&gt;0))&gt;0)</f>
        <v>0</v>
      </c>
      <c r="F79" s="185">
        <f t="shared" si="3"/>
        <v>0</v>
      </c>
      <c r="G79" s="33"/>
      <c r="H79" s="11"/>
      <c r="I79" s="11"/>
      <c r="J79" s="11"/>
      <c r="K79" s="11"/>
      <c r="L79" s="11"/>
      <c r="M79" s="12"/>
    </row>
    <row r="80" spans="1:13" ht="20" hidden="1" customHeight="1">
      <c r="A80" s="46" t="str">
        <f t="shared" ref="A80:B80" si="25">A28</f>
        <v>Pakistan</v>
      </c>
      <c r="B80" s="46" t="str">
        <f t="shared" si="25"/>
        <v>PAK</v>
      </c>
      <c r="C80" s="185" cm="1">
        <f t="array" ref="C80">--(SUMPRODUCT(($B$48:$B$52=$B80)*(LEN($E$48:$E$52)&gt;0))&gt;0)</f>
        <v>0</v>
      </c>
      <c r="D80" s="185" cm="1">
        <f t="array" ref="D80">--(SUMPRODUCT(($B$48:$B$52=$B80)*(LEN($F$48:$F$52)&gt;0))&gt;0)</f>
        <v>0</v>
      </c>
      <c r="E80" s="185" cm="1">
        <f t="array" ref="E80">--(SUMPRODUCT(($B$48:$B$52=$B80)*(LEN($G$48:$G$52)&gt;0))&gt;0)</f>
        <v>1</v>
      </c>
      <c r="F80" s="185">
        <f t="shared" si="3"/>
        <v>1</v>
      </c>
      <c r="G80" s="33"/>
      <c r="H80" s="11"/>
      <c r="I80" s="11"/>
      <c r="J80" s="11"/>
      <c r="K80" s="11"/>
      <c r="L80" s="11"/>
      <c r="M80" s="12"/>
    </row>
    <row r="81" spans="1:13" ht="20" hidden="1" customHeight="1">
      <c r="A81" s="46" t="str">
        <f t="shared" ref="A81:B81" si="26">A29</f>
        <v>Philippines</v>
      </c>
      <c r="B81" s="46" t="str">
        <f t="shared" si="26"/>
        <v>PHL</v>
      </c>
      <c r="C81" s="185" cm="1">
        <f t="array" ref="C81">--(SUMPRODUCT(($B$48:$B$52=$B81)*(LEN($E$48:$E$52)&gt;0))&gt;0)</f>
        <v>0</v>
      </c>
      <c r="D81" s="185" cm="1">
        <f t="array" ref="D81">--(SUMPRODUCT(($B$48:$B$52=$B81)*(LEN($F$48:$F$52)&gt;0))&gt;0)</f>
        <v>0</v>
      </c>
      <c r="E81" s="185" cm="1">
        <f t="array" ref="E81">--(SUMPRODUCT(($B$48:$B$52=$B81)*(LEN($G$48:$G$52)&gt;0))&gt;0)</f>
        <v>0</v>
      </c>
      <c r="F81" s="185">
        <f t="shared" si="3"/>
        <v>0</v>
      </c>
      <c r="G81" s="33"/>
      <c r="H81" s="11"/>
      <c r="I81" s="11"/>
      <c r="J81" s="11"/>
      <c r="K81" s="11"/>
      <c r="L81" s="11"/>
      <c r="M81" s="12"/>
    </row>
    <row r="82" spans="1:13" ht="20" hidden="1" customHeight="1">
      <c r="A82" s="46" t="str">
        <f t="shared" ref="A82:B82" si="27">A30</f>
        <v>Poland</v>
      </c>
      <c r="B82" s="46" t="str">
        <f t="shared" si="27"/>
        <v>POL</v>
      </c>
      <c r="C82" s="185" cm="1">
        <f t="array" ref="C82">--(SUMPRODUCT(($B$48:$B$52=$B82)*(LEN($E$48:$E$52)&gt;0))&gt;0)</f>
        <v>0</v>
      </c>
      <c r="D82" s="185" cm="1">
        <f t="array" ref="D82">--(SUMPRODUCT(($B$48:$B$52=$B82)*(LEN($F$48:$F$52)&gt;0))&gt;0)</f>
        <v>0</v>
      </c>
      <c r="E82" s="185" cm="1">
        <f t="array" ref="E82">--(SUMPRODUCT(($B$48:$B$52=$B82)*(LEN($G$48:$G$52)&gt;0))&gt;0)</f>
        <v>0</v>
      </c>
      <c r="F82" s="185">
        <f t="shared" si="3"/>
        <v>0</v>
      </c>
      <c r="G82" s="33"/>
      <c r="H82" s="11"/>
      <c r="I82" s="11"/>
      <c r="J82" s="11"/>
      <c r="K82" s="11"/>
      <c r="L82" s="11"/>
      <c r="M82" s="12"/>
    </row>
    <row r="83" spans="1:13" ht="20" hidden="1" customHeight="1">
      <c r="A83" s="46" t="str">
        <f t="shared" ref="A83:B83" si="28">A31</f>
        <v>Russia</v>
      </c>
      <c r="B83" s="46" t="str">
        <f t="shared" si="28"/>
        <v>RUS</v>
      </c>
      <c r="C83" s="185" cm="1">
        <f t="array" ref="C83">--(SUMPRODUCT(($B$48:$B$52=$B83)*(LEN($E$48:$E$52)&gt;0))&gt;0)</f>
        <v>0</v>
      </c>
      <c r="D83" s="185" cm="1">
        <f t="array" ref="D83">--(SUMPRODUCT(($B$48:$B$52=$B83)*(LEN($F$48:$F$52)&gt;0))&gt;0)</f>
        <v>0</v>
      </c>
      <c r="E83" s="185" cm="1">
        <f t="array" ref="E83">--(SUMPRODUCT(($B$48:$B$52=$B83)*(LEN($G$48:$G$52)&gt;0))&gt;0)</f>
        <v>0</v>
      </c>
      <c r="F83" s="185">
        <f t="shared" si="3"/>
        <v>0</v>
      </c>
      <c r="G83" s="33"/>
      <c r="H83" s="11"/>
      <c r="I83" s="11"/>
      <c r="J83" s="11"/>
      <c r="K83" s="11"/>
      <c r="L83" s="11"/>
      <c r="M83" s="12"/>
    </row>
    <row r="84" spans="1:13" ht="20" hidden="1" customHeight="1">
      <c r="A84" s="46" t="str">
        <f t="shared" ref="A84:B84" si="29">A32</f>
        <v>Serbia</v>
      </c>
      <c r="B84" s="46" t="str">
        <f t="shared" si="29"/>
        <v>SRB</v>
      </c>
      <c r="C84" s="185" cm="1">
        <f t="array" ref="C84">--(SUMPRODUCT(($B$48:$B$52=$B84)*(LEN($E$48:$E$52)&gt;0))&gt;0)</f>
        <v>0</v>
      </c>
      <c r="D84" s="185" cm="1">
        <f t="array" ref="D84">--(SUMPRODUCT(($B$48:$B$52=$B84)*(LEN($F$48:$F$52)&gt;0))&gt;0)</f>
        <v>0</v>
      </c>
      <c r="E84" s="185" cm="1">
        <f t="array" ref="E84">--(SUMPRODUCT(($B$48:$B$52=$B84)*(LEN($G$48:$G$52)&gt;0))&gt;0)</f>
        <v>0</v>
      </c>
      <c r="F84" s="185">
        <f t="shared" si="3"/>
        <v>0</v>
      </c>
      <c r="G84" s="33"/>
      <c r="H84" s="11"/>
      <c r="I84" s="11"/>
      <c r="J84" s="11"/>
      <c r="K84" s="11"/>
      <c r="L84" s="11"/>
      <c r="M84" s="12"/>
    </row>
    <row r="85" spans="1:13" ht="20" hidden="1" customHeight="1">
      <c r="A85" s="46" t="str">
        <f t="shared" ref="A85:B85" si="30">A33</f>
        <v>South Africa</v>
      </c>
      <c r="B85" s="46" t="str">
        <f t="shared" si="30"/>
        <v>ZAF</v>
      </c>
      <c r="C85" s="185" cm="1">
        <f t="array" ref="C85">--(SUMPRODUCT(($B$48:$B$52=$B85)*(LEN($E$48:$E$52)&gt;0))&gt;0)</f>
        <v>0</v>
      </c>
      <c r="D85" s="185" cm="1">
        <f t="array" ref="D85">--(SUMPRODUCT(($B$48:$B$52=$B85)*(LEN($F$48:$F$52)&gt;0))&gt;0)</f>
        <v>0</v>
      </c>
      <c r="E85" s="185" cm="1">
        <f t="array" ref="E85">--(SUMPRODUCT(($B$48:$B$52=$B85)*(LEN($G$48:$G$52)&gt;0))&gt;0)</f>
        <v>0</v>
      </c>
      <c r="F85" s="185">
        <f t="shared" si="3"/>
        <v>0</v>
      </c>
      <c r="G85" s="33"/>
      <c r="H85" s="11"/>
      <c r="I85" s="11"/>
      <c r="J85" s="11"/>
      <c r="K85" s="11"/>
      <c r="L85" s="11"/>
      <c r="M85" s="12"/>
    </row>
    <row r="86" spans="1:13" ht="20" hidden="1" customHeight="1">
      <c r="A86" s="46" t="str">
        <f t="shared" ref="A86:B86" si="31">A34</f>
        <v>South Korea</v>
      </c>
      <c r="B86" s="46" t="str">
        <f t="shared" si="31"/>
        <v>KOR</v>
      </c>
      <c r="C86" s="185" cm="1">
        <f t="array" ref="C86">--(SUMPRODUCT(($B$48:$B$52=$B86)*(LEN($E$48:$E$52)&gt;0))&gt;0)</f>
        <v>0</v>
      </c>
      <c r="D86" s="185" cm="1">
        <f t="array" ref="D86">--(SUMPRODUCT(($B$48:$B$52=$B86)*(LEN($F$48:$F$52)&gt;0))&gt;0)</f>
        <v>0</v>
      </c>
      <c r="E86" s="185" cm="1">
        <f t="array" ref="E86">--(SUMPRODUCT(($B$48:$B$52=$B86)*(LEN($G$48:$G$52)&gt;0))&gt;0)</f>
        <v>0</v>
      </c>
      <c r="F86" s="185">
        <f t="shared" si="3"/>
        <v>0</v>
      </c>
      <c r="G86" s="33"/>
      <c r="H86" s="11"/>
      <c r="I86" s="11"/>
      <c r="J86" s="11"/>
      <c r="K86" s="11"/>
      <c r="L86" s="11"/>
      <c r="M86" s="12"/>
    </row>
    <row r="87" spans="1:13" ht="20" hidden="1" customHeight="1">
      <c r="A87" s="46" t="str">
        <f t="shared" ref="A87:B87" si="32">A35</f>
        <v>Sri Lanka</v>
      </c>
      <c r="B87" s="46" t="str">
        <f t="shared" si="32"/>
        <v>LKA</v>
      </c>
      <c r="C87" s="185" cm="1">
        <f t="array" ref="C87">--(SUMPRODUCT(($B$48:$B$52=$B87)*(LEN($E$48:$E$52)&gt;0))&gt;0)</f>
        <v>0</v>
      </c>
      <c r="D87" s="185" cm="1">
        <f t="array" ref="D87">--(SUMPRODUCT(($B$48:$B$52=$B87)*(LEN($F$48:$F$52)&gt;0))&gt;0)</f>
        <v>0</v>
      </c>
      <c r="E87" s="185" cm="1">
        <f t="array" ref="E87">--(SUMPRODUCT(($B$48:$B$52=$B87)*(LEN($G$48:$G$52)&gt;0))&gt;0)</f>
        <v>0</v>
      </c>
      <c r="F87" s="185">
        <f t="shared" si="3"/>
        <v>0</v>
      </c>
      <c r="G87" s="33"/>
      <c r="H87" s="11"/>
      <c r="I87" s="11"/>
      <c r="J87" s="11"/>
      <c r="K87" s="11"/>
      <c r="L87" s="11"/>
      <c r="M87" s="12"/>
    </row>
    <row r="88" spans="1:13" ht="20" hidden="1" customHeight="1">
      <c r="A88" s="46" t="str">
        <f t="shared" ref="A88:B88" si="33">A36</f>
        <v>Taiwan, China</v>
      </c>
      <c r="B88" s="46" t="str">
        <f t="shared" si="33"/>
        <v>TWN</v>
      </c>
      <c r="C88" s="185" cm="1">
        <f t="array" ref="C88">--(SUMPRODUCT(($B$48:$B$52=$B88)*(LEN($E$48:$E$52)&gt;0))&gt;0)</f>
        <v>0</v>
      </c>
      <c r="D88" s="185" cm="1">
        <f t="array" ref="D88">--(SUMPRODUCT(($B$48:$B$52=$B88)*(LEN($F$48:$F$52)&gt;0))&gt;0)</f>
        <v>0</v>
      </c>
      <c r="E88" s="185" cm="1">
        <f t="array" ref="E88">--(SUMPRODUCT(($B$48:$B$52=$B88)*(LEN($G$48:$G$52)&gt;0))&gt;0)</f>
        <v>0</v>
      </c>
      <c r="F88" s="185">
        <f t="shared" si="3"/>
        <v>0</v>
      </c>
      <c r="G88" s="33"/>
      <c r="H88" s="11"/>
      <c r="I88" s="11"/>
      <c r="J88" s="11"/>
      <c r="K88" s="11"/>
      <c r="L88" s="11"/>
      <c r="M88" s="12"/>
    </row>
    <row r="89" spans="1:13" ht="20" hidden="1" customHeight="1">
      <c r="A89" s="46" t="str">
        <f t="shared" ref="A89:B89" si="34">A37</f>
        <v>Thailand</v>
      </c>
      <c r="B89" s="46" t="str">
        <f t="shared" si="34"/>
        <v>THA</v>
      </c>
      <c r="C89" s="185" cm="1">
        <f t="array" ref="C89">--(SUMPRODUCT(($B$48:$B$52=$B89)*(LEN($E$48:$E$52)&gt;0))&gt;0)</f>
        <v>0</v>
      </c>
      <c r="D89" s="185" cm="1">
        <f t="array" ref="D89">--(SUMPRODUCT(($B$48:$B$52=$B89)*(LEN($F$48:$F$52)&gt;0))&gt;0)</f>
        <v>0</v>
      </c>
      <c r="E89" s="185" cm="1">
        <f t="array" ref="E89">--(SUMPRODUCT(($B$48:$B$52=$B89)*(LEN($G$48:$G$52)&gt;0))&gt;0)</f>
        <v>0</v>
      </c>
      <c r="F89" s="185">
        <f t="shared" si="3"/>
        <v>0</v>
      </c>
      <c r="G89" s="33"/>
      <c r="H89" s="11"/>
      <c r="I89" s="11"/>
      <c r="J89" s="11"/>
      <c r="K89" s="11"/>
      <c r="L89" s="11"/>
      <c r="M89" s="12"/>
    </row>
    <row r="90" spans="1:13" ht="20" hidden="1" customHeight="1">
      <c r="A90" s="46" t="str">
        <f t="shared" ref="A90:B90" si="35">A38</f>
        <v>Türkiye</v>
      </c>
      <c r="B90" s="46" t="str">
        <f t="shared" si="35"/>
        <v>TUR</v>
      </c>
      <c r="C90" s="185" cm="1">
        <f t="array" ref="C90">--(SUMPRODUCT(($B$48:$B$52=$B90)*(LEN($E$48:$E$52)&gt;0))&gt;0)</f>
        <v>0</v>
      </c>
      <c r="D90" s="185" cm="1">
        <f t="array" ref="D90">--(SUMPRODUCT(($B$48:$B$52=$B90)*(LEN($F$48:$F$52)&gt;0))&gt;0)</f>
        <v>0</v>
      </c>
      <c r="E90" s="185" cm="1">
        <f t="array" ref="E90">--(SUMPRODUCT(($B$48:$B$52=$B90)*(LEN($G$48:$G$52)&gt;0))&gt;0)</f>
        <v>0</v>
      </c>
      <c r="F90" s="185">
        <f t="shared" si="3"/>
        <v>0</v>
      </c>
      <c r="G90" s="33"/>
      <c r="H90" s="11"/>
      <c r="I90" s="11"/>
      <c r="J90" s="11"/>
      <c r="K90" s="11"/>
      <c r="L90" s="11"/>
      <c r="M90" s="12"/>
    </row>
    <row r="91" spans="1:13" ht="20" hidden="1" customHeight="1">
      <c r="A91" s="46" t="str">
        <f t="shared" ref="A91:B91" si="36">A39</f>
        <v>United States</v>
      </c>
      <c r="B91" s="46" t="str">
        <f t="shared" si="36"/>
        <v>USA</v>
      </c>
      <c r="C91" s="185" cm="1">
        <f t="array" ref="C91">--(SUMPRODUCT(($B$48:$B$52=$B91)*(LEN($E$48:$E$52)&gt;0))&gt;0)</f>
        <v>0</v>
      </c>
      <c r="D91" s="185" cm="1">
        <f t="array" ref="D91">--(SUMPRODUCT(($B$48:$B$52=$B91)*(LEN($F$48:$F$52)&gt;0))&gt;0)</f>
        <v>0</v>
      </c>
      <c r="E91" s="185" cm="1">
        <f t="array" ref="E91">--(SUMPRODUCT(($B$48:$B$52=$B91)*(LEN($G$48:$G$52)&gt;0))&gt;0)</f>
        <v>0</v>
      </c>
      <c r="F91" s="185">
        <f t="shared" si="3"/>
        <v>0</v>
      </c>
      <c r="G91" s="33"/>
      <c r="H91" s="11"/>
      <c r="I91" s="11"/>
      <c r="J91" s="11"/>
      <c r="K91" s="11"/>
      <c r="L91" s="11"/>
      <c r="M91" s="12"/>
    </row>
    <row r="92" spans="1:13" ht="20" hidden="1" customHeight="1">
      <c r="A92" s="46" t="str">
        <f t="shared" ref="A92:B92" si="37">A40</f>
        <v>Vietnam</v>
      </c>
      <c r="B92" s="46" t="str">
        <f t="shared" si="37"/>
        <v>VNM</v>
      </c>
      <c r="C92" s="185" cm="1">
        <f t="array" ref="C92">--(SUMPRODUCT(($B$48:$B$52=$B92)*(LEN($E$48:$E$52)&gt;0))&gt;0)</f>
        <v>0</v>
      </c>
      <c r="D92" s="185" cm="1">
        <f t="array" ref="D92">--(SUMPRODUCT(($B$48:$B$52=$B92)*(LEN($F$48:$F$52)&gt;0))&gt;0)</f>
        <v>0</v>
      </c>
      <c r="E92" s="185" cm="1">
        <f t="array" ref="E92">--(SUMPRODUCT(($B$48:$B$52=$B92)*(LEN($G$48:$G$52)&gt;0))&gt;0)</f>
        <v>0</v>
      </c>
      <c r="F92" s="185">
        <f t="shared" si="3"/>
        <v>0</v>
      </c>
      <c r="G92" s="33"/>
      <c r="H92" s="11"/>
      <c r="I92" s="11"/>
      <c r="J92" s="11"/>
      <c r="K92" s="11"/>
      <c r="L92" s="11"/>
      <c r="M92" s="12"/>
    </row>
    <row r="93" spans="1:13" ht="20" customHeight="1">
      <c r="A93" s="46"/>
      <c r="B93" s="46"/>
      <c r="C93" s="182"/>
      <c r="D93" s="182"/>
      <c r="E93" s="182"/>
      <c r="F93" s="182"/>
      <c r="G93" s="33"/>
      <c r="H93" s="11"/>
      <c r="I93" s="11"/>
      <c r="J93" s="11"/>
      <c r="K93" s="11"/>
      <c r="L93" s="11"/>
      <c r="M93" s="12"/>
    </row>
    <row r="94" spans="1:13" ht="20" customHeight="1">
      <c r="A94" s="46"/>
      <c r="B94" s="46"/>
      <c r="C94" s="182"/>
      <c r="D94" s="182"/>
      <c r="E94" s="182"/>
      <c r="F94" s="182"/>
      <c r="G94" s="33"/>
      <c r="H94" s="11"/>
      <c r="I94" s="11"/>
      <c r="J94" s="11"/>
      <c r="K94" s="11"/>
      <c r="L94" s="11"/>
      <c r="M94" s="12"/>
    </row>
    <row r="95" spans="1:13" ht="20" customHeight="1">
      <c r="A95" s="46"/>
      <c r="B95" s="46"/>
      <c r="C95" s="182"/>
      <c r="D95" s="182"/>
      <c r="E95" s="182"/>
      <c r="F95" s="182"/>
      <c r="G95" s="33"/>
      <c r="H95" s="11"/>
      <c r="I95" s="11"/>
      <c r="J95" s="11"/>
      <c r="K95" s="11"/>
      <c r="L95" s="11"/>
      <c r="M95" s="12"/>
    </row>
    <row r="96" spans="1:13" ht="20" customHeight="1">
      <c r="A96" s="46"/>
      <c r="B96" s="46"/>
      <c r="C96" s="182"/>
      <c r="D96" s="182"/>
      <c r="E96" s="182"/>
      <c r="F96" s="182"/>
      <c r="G96" s="33"/>
      <c r="H96" s="11"/>
      <c r="I96" s="11"/>
      <c r="J96" s="11"/>
      <c r="K96" s="11"/>
      <c r="L96" s="11"/>
      <c r="M96" s="12"/>
    </row>
    <row r="97" spans="1:13" ht="20" customHeight="1">
      <c r="A97" s="10"/>
      <c r="B97" s="10"/>
      <c r="C97" s="33"/>
      <c r="D97" s="33"/>
      <c r="E97" s="33"/>
      <c r="F97" s="33"/>
      <c r="G97" s="33"/>
      <c r="H97" s="11"/>
      <c r="I97" s="11"/>
      <c r="J97" s="11"/>
      <c r="K97" s="11"/>
      <c r="L97" s="11"/>
      <c r="M97" s="12"/>
    </row>
    <row r="98" spans="1:13" ht="20" customHeight="1">
      <c r="A98" s="10"/>
      <c r="B98" s="10"/>
      <c r="C98" s="33"/>
      <c r="D98" s="33"/>
      <c r="E98" s="33"/>
      <c r="F98" s="33"/>
      <c r="G98" s="33"/>
      <c r="H98" s="11"/>
      <c r="I98" s="11"/>
      <c r="J98" s="11"/>
      <c r="K98" s="11"/>
      <c r="L98" s="11"/>
      <c r="M98" s="12"/>
    </row>
    <row r="99" spans="1:13" ht="20" customHeight="1">
      <c r="A99" s="10"/>
      <c r="B99" s="10"/>
      <c r="C99" s="33"/>
      <c r="D99" s="33"/>
      <c r="E99" s="33"/>
      <c r="F99" s="33"/>
      <c r="G99" s="33"/>
      <c r="H99" s="11"/>
      <c r="I99" s="11"/>
      <c r="J99" s="11"/>
      <c r="K99" s="11"/>
      <c r="L99" s="11"/>
      <c r="M99" s="12"/>
    </row>
    <row r="100" spans="1:13" ht="20" customHeight="1">
      <c r="A100" s="10"/>
      <c r="B100" s="10"/>
      <c r="C100" s="33"/>
      <c r="D100" s="33"/>
      <c r="E100" s="33"/>
      <c r="F100" s="33"/>
      <c r="G100" s="33"/>
      <c r="H100" s="11"/>
      <c r="I100" s="11"/>
      <c r="J100" s="11"/>
      <c r="K100" s="11"/>
      <c r="L100" s="11"/>
      <c r="M100" s="12"/>
    </row>
    <row r="101" spans="1:13" ht="20" customHeight="1">
      <c r="A101" s="10"/>
      <c r="B101" s="10"/>
      <c r="C101" s="33"/>
      <c r="D101" s="33"/>
      <c r="E101" s="33"/>
      <c r="F101" s="33"/>
      <c r="G101" s="33"/>
      <c r="H101" s="11"/>
      <c r="I101" s="11"/>
      <c r="J101" s="11"/>
      <c r="K101" s="11"/>
      <c r="L101" s="11"/>
      <c r="M101" s="12"/>
    </row>
    <row r="102" spans="1:13" ht="20" customHeight="1">
      <c r="A102" s="10"/>
      <c r="B102" s="10"/>
      <c r="C102" s="33"/>
      <c r="D102" s="33"/>
      <c r="E102" s="33"/>
      <c r="F102" s="33"/>
      <c r="G102" s="33"/>
      <c r="H102" s="11"/>
      <c r="I102" s="11"/>
      <c r="J102" s="11"/>
      <c r="K102" s="11"/>
      <c r="L102" s="11"/>
      <c r="M102" s="12"/>
    </row>
    <row r="103" spans="1:13" ht="20" customHeight="1">
      <c r="A103" s="10"/>
      <c r="B103" s="10"/>
      <c r="C103" s="33"/>
      <c r="D103" s="33"/>
      <c r="E103" s="33"/>
      <c r="F103" s="33"/>
      <c r="G103" s="33"/>
      <c r="H103" s="11"/>
      <c r="I103" s="11"/>
      <c r="J103" s="11"/>
      <c r="K103" s="11"/>
      <c r="L103" s="11"/>
      <c r="M103" s="12"/>
    </row>
    <row r="104" spans="1:13" ht="20" customHeight="1">
      <c r="A104" s="10"/>
      <c r="B104" s="10"/>
      <c r="C104" s="33"/>
      <c r="D104" s="33"/>
      <c r="E104" s="33"/>
      <c r="F104" s="33"/>
      <c r="G104" s="33"/>
      <c r="H104" s="11"/>
      <c r="I104" s="11"/>
      <c r="J104" s="11"/>
      <c r="K104" s="11"/>
      <c r="L104" s="11"/>
      <c r="M104" s="12"/>
    </row>
    <row r="105" spans="1:13" ht="20" customHeight="1">
      <c r="A105" s="10"/>
      <c r="B105" s="10"/>
      <c r="C105" s="33"/>
      <c r="D105" s="33"/>
      <c r="E105" s="33"/>
      <c r="F105" s="33"/>
      <c r="G105" s="33"/>
      <c r="H105" s="11"/>
      <c r="I105" s="11"/>
      <c r="J105" s="11"/>
      <c r="K105" s="11"/>
      <c r="L105" s="11"/>
      <c r="M105" s="12"/>
    </row>
    <row r="106" spans="1:13" ht="20" customHeight="1">
      <c r="A106" s="10"/>
      <c r="B106" s="10"/>
      <c r="C106" s="33"/>
      <c r="D106" s="33"/>
      <c r="E106" s="33"/>
      <c r="F106" s="33"/>
      <c r="G106" s="33"/>
      <c r="H106" s="11"/>
      <c r="I106" s="11"/>
      <c r="J106" s="11"/>
      <c r="K106" s="11"/>
      <c r="L106" s="11"/>
      <c r="M106" s="12"/>
    </row>
    <row r="107" spans="1:13" ht="20" customHeight="1">
      <c r="A107" s="10"/>
      <c r="B107" s="10"/>
      <c r="C107" s="33"/>
      <c r="D107" s="33"/>
      <c r="E107" s="33"/>
      <c r="F107" s="33"/>
      <c r="G107" s="33"/>
      <c r="H107" s="11"/>
      <c r="I107" s="11"/>
      <c r="J107" s="11"/>
      <c r="K107" s="11"/>
      <c r="L107" s="11"/>
      <c r="M107" s="12"/>
    </row>
    <row r="108" spans="1:13" ht="20" customHeight="1">
      <c r="A108" s="10"/>
      <c r="B108" s="10"/>
      <c r="C108" s="33"/>
      <c r="D108" s="33"/>
      <c r="E108" s="33"/>
      <c r="F108" s="33"/>
      <c r="G108" s="33"/>
      <c r="H108" s="11"/>
      <c r="I108" s="11"/>
      <c r="J108" s="11"/>
      <c r="K108" s="11"/>
      <c r="L108" s="11"/>
      <c r="M108" s="12"/>
    </row>
    <row r="109" spans="1:13" ht="20" customHeight="1">
      <c r="A109" s="10"/>
      <c r="B109" s="10"/>
      <c r="C109" s="33"/>
      <c r="D109" s="33"/>
      <c r="E109" s="33"/>
      <c r="F109" s="33"/>
      <c r="G109" s="33"/>
      <c r="H109" s="11"/>
      <c r="I109" s="11"/>
      <c r="J109" s="11"/>
      <c r="K109" s="11"/>
      <c r="L109" s="11"/>
      <c r="M109" s="12"/>
    </row>
    <row r="110" spans="1:13" ht="20" customHeight="1">
      <c r="A110" s="10"/>
      <c r="B110" s="10"/>
      <c r="C110" s="33"/>
      <c r="D110" s="33"/>
      <c r="E110" s="33"/>
      <c r="F110" s="33"/>
      <c r="G110" s="33"/>
      <c r="H110" s="11"/>
      <c r="I110" s="11"/>
      <c r="J110" s="11"/>
      <c r="K110" s="11"/>
      <c r="L110" s="11"/>
      <c r="M110" s="12"/>
    </row>
    <row r="111" spans="1:13" ht="20" customHeight="1">
      <c r="A111" s="10"/>
      <c r="B111" s="10"/>
      <c r="C111" s="33"/>
      <c r="D111" s="33"/>
      <c r="E111" s="33"/>
      <c r="F111" s="33"/>
      <c r="G111" s="33"/>
      <c r="H111" s="11"/>
      <c r="I111" s="11"/>
      <c r="J111" s="11"/>
      <c r="K111" s="11"/>
      <c r="L111" s="11"/>
      <c r="M111" s="12"/>
    </row>
    <row r="112" spans="1:13" ht="20" customHeight="1">
      <c r="A112" s="10"/>
      <c r="B112" s="10"/>
      <c r="C112" s="33"/>
      <c r="D112" s="33"/>
      <c r="E112" s="33"/>
      <c r="F112" s="33"/>
      <c r="G112" s="33"/>
      <c r="H112" s="11"/>
      <c r="I112" s="11"/>
      <c r="J112" s="11"/>
      <c r="K112" s="11"/>
      <c r="L112" s="11"/>
      <c r="M112" s="12"/>
    </row>
    <row r="113" spans="1:13" ht="20" customHeight="1">
      <c r="A113" s="10"/>
      <c r="B113" s="10"/>
      <c r="C113" s="33"/>
      <c r="D113" s="33"/>
      <c r="E113" s="33"/>
      <c r="F113" s="33"/>
      <c r="G113" s="33"/>
      <c r="H113" s="11"/>
      <c r="I113" s="11"/>
      <c r="J113" s="11"/>
      <c r="K113" s="11"/>
      <c r="L113" s="11"/>
      <c r="M113" s="12"/>
    </row>
    <row r="114" spans="1:13" ht="20" customHeight="1">
      <c r="A114" s="10"/>
      <c r="B114" s="10"/>
      <c r="C114" s="33"/>
      <c r="D114" s="33"/>
      <c r="E114" s="33"/>
      <c r="F114" s="33"/>
      <c r="G114" s="33"/>
      <c r="H114" s="11"/>
      <c r="I114" s="11"/>
      <c r="J114" s="11"/>
      <c r="K114" s="11"/>
      <c r="L114" s="11"/>
      <c r="M114" s="12"/>
    </row>
    <row r="115" spans="1:13" ht="20" customHeight="1">
      <c r="A115" s="10"/>
      <c r="B115" s="10"/>
      <c r="C115" s="33"/>
      <c r="D115" s="33"/>
      <c r="E115" s="33"/>
      <c r="F115" s="33"/>
      <c r="G115" s="33"/>
      <c r="H115" s="11"/>
      <c r="I115" s="11"/>
      <c r="J115" s="11"/>
      <c r="K115" s="11"/>
      <c r="L115" s="11"/>
      <c r="M115" s="12"/>
    </row>
    <row r="116" spans="1:13" ht="20" customHeight="1">
      <c r="A116" s="10"/>
      <c r="B116" s="10"/>
      <c r="C116" s="33"/>
      <c r="D116" s="33"/>
      <c r="E116" s="33"/>
      <c r="F116" s="33"/>
      <c r="G116" s="33"/>
      <c r="H116" s="11"/>
      <c r="I116" s="11"/>
      <c r="J116" s="11"/>
      <c r="K116" s="11"/>
      <c r="L116" s="11"/>
      <c r="M116" s="12"/>
    </row>
    <row r="117" spans="1:13" ht="20" customHeight="1">
      <c r="A117" s="10"/>
      <c r="B117" s="10"/>
      <c r="C117" s="33"/>
      <c r="D117" s="33"/>
      <c r="E117" s="33"/>
      <c r="F117" s="33"/>
      <c r="G117" s="33"/>
      <c r="H117" s="11"/>
      <c r="I117" s="11"/>
      <c r="J117" s="11"/>
      <c r="K117" s="11"/>
      <c r="L117" s="11"/>
      <c r="M117" s="12"/>
    </row>
    <row r="118" spans="1:13" ht="20" customHeight="1">
      <c r="A118" s="10"/>
      <c r="B118" s="10"/>
      <c r="C118" s="33"/>
      <c r="D118" s="33"/>
      <c r="E118" s="33"/>
      <c r="F118" s="33"/>
      <c r="G118" s="33"/>
      <c r="H118" s="11"/>
      <c r="I118" s="11"/>
      <c r="J118" s="11"/>
      <c r="K118" s="11"/>
      <c r="L118" s="11"/>
      <c r="M118" s="12"/>
    </row>
    <row r="119" spans="1:13" ht="20" customHeight="1">
      <c r="A119" s="10"/>
      <c r="B119" s="10"/>
      <c r="C119" s="33"/>
      <c r="D119" s="33"/>
      <c r="E119" s="33"/>
      <c r="F119" s="33"/>
      <c r="G119" s="33"/>
      <c r="H119" s="11"/>
      <c r="I119" s="11"/>
      <c r="J119" s="11"/>
      <c r="K119" s="11"/>
      <c r="L119" s="11"/>
      <c r="M119" s="12"/>
    </row>
    <row r="120" spans="1:13" ht="20" customHeight="1">
      <c r="A120" s="10"/>
      <c r="B120" s="10"/>
      <c r="C120" s="33"/>
      <c r="D120" s="33"/>
      <c r="E120" s="33"/>
      <c r="F120" s="33"/>
      <c r="G120" s="33"/>
      <c r="H120" s="11"/>
      <c r="I120" s="11"/>
      <c r="J120" s="11"/>
      <c r="K120" s="11"/>
      <c r="L120" s="11"/>
      <c r="M120" s="12"/>
    </row>
    <row r="121" spans="1:13" ht="20" customHeight="1">
      <c r="A121" s="10"/>
      <c r="B121" s="10"/>
      <c r="C121" s="33"/>
      <c r="D121" s="33"/>
      <c r="E121" s="33"/>
      <c r="F121" s="33"/>
      <c r="G121" s="33"/>
      <c r="H121" s="11"/>
      <c r="I121" s="11"/>
      <c r="J121" s="11"/>
      <c r="K121" s="11"/>
      <c r="L121" s="11"/>
      <c r="M121" s="12"/>
    </row>
    <row r="122" spans="1:13" ht="20" customHeight="1">
      <c r="A122" s="10"/>
      <c r="B122" s="10"/>
      <c r="C122" s="33"/>
      <c r="D122" s="33"/>
      <c r="E122" s="33"/>
      <c r="F122" s="33"/>
      <c r="G122" s="33"/>
      <c r="H122" s="11"/>
      <c r="I122" s="11"/>
      <c r="J122" s="11"/>
      <c r="K122" s="11"/>
      <c r="L122" s="11"/>
      <c r="M122" s="12"/>
    </row>
    <row r="123" spans="1:13" ht="20" customHeight="1">
      <c r="A123" s="10"/>
      <c r="B123" s="10"/>
      <c r="C123" s="33"/>
      <c r="D123" s="33"/>
      <c r="E123" s="33"/>
      <c r="F123" s="33"/>
      <c r="G123" s="33"/>
      <c r="H123" s="11"/>
      <c r="I123" s="11"/>
      <c r="J123" s="11"/>
      <c r="K123" s="11"/>
      <c r="L123" s="11"/>
      <c r="M123" s="12"/>
    </row>
    <row r="124" spans="1:13" ht="20" customHeight="1">
      <c r="A124" s="10"/>
      <c r="B124" s="10"/>
      <c r="C124" s="33"/>
      <c r="D124" s="33"/>
      <c r="E124" s="33"/>
      <c r="F124" s="33"/>
      <c r="G124" s="33"/>
      <c r="H124" s="11"/>
      <c r="I124" s="11"/>
      <c r="J124" s="11"/>
      <c r="K124" s="11"/>
      <c r="L124" s="11"/>
      <c r="M124" s="12"/>
    </row>
    <row r="125" spans="1:13" ht="20" customHeight="1">
      <c r="A125" s="10"/>
      <c r="B125" s="10"/>
      <c r="C125" s="33"/>
      <c r="D125" s="33"/>
      <c r="E125" s="33"/>
      <c r="F125" s="33"/>
      <c r="G125" s="33"/>
      <c r="H125" s="11"/>
      <c r="I125" s="11"/>
      <c r="J125" s="11"/>
      <c r="K125" s="11"/>
      <c r="L125" s="11"/>
      <c r="M125" s="12"/>
    </row>
    <row r="126" spans="1:13" ht="20" customHeight="1">
      <c r="A126" s="10"/>
      <c r="B126" s="10"/>
      <c r="C126" s="33"/>
      <c r="D126" s="33"/>
      <c r="E126" s="33"/>
      <c r="F126" s="33"/>
      <c r="G126" s="33"/>
      <c r="H126" s="11"/>
      <c r="I126" s="11"/>
      <c r="J126" s="11"/>
      <c r="K126" s="11"/>
      <c r="L126" s="11"/>
      <c r="M126" s="12"/>
    </row>
    <row r="127" spans="1:13" ht="20" customHeight="1">
      <c r="A127" s="10"/>
      <c r="B127" s="10"/>
      <c r="C127" s="33"/>
      <c r="D127" s="33"/>
      <c r="E127" s="33"/>
      <c r="F127" s="33"/>
      <c r="G127" s="33"/>
      <c r="H127" s="11"/>
      <c r="I127" s="11"/>
      <c r="J127" s="11"/>
      <c r="K127" s="11"/>
      <c r="L127" s="11"/>
      <c r="M127" s="12"/>
    </row>
    <row r="128" spans="1:13" ht="20" customHeight="1">
      <c r="A128" s="10"/>
      <c r="B128" s="10"/>
      <c r="C128" s="33"/>
      <c r="D128" s="33"/>
      <c r="E128" s="33"/>
      <c r="F128" s="33"/>
      <c r="G128" s="33"/>
      <c r="H128" s="11"/>
      <c r="I128" s="11"/>
      <c r="J128" s="11"/>
      <c r="K128" s="11"/>
      <c r="L128" s="11"/>
      <c r="M128" s="12"/>
    </row>
    <row r="129" spans="1:13" ht="20" customHeight="1">
      <c r="A129" s="10"/>
      <c r="B129" s="10"/>
      <c r="C129" s="33"/>
      <c r="D129" s="33"/>
      <c r="E129" s="33"/>
      <c r="F129" s="33"/>
      <c r="G129" s="33"/>
      <c r="H129" s="11"/>
      <c r="I129" s="11"/>
      <c r="J129" s="11"/>
      <c r="K129" s="11"/>
      <c r="L129" s="11"/>
      <c r="M129" s="12"/>
    </row>
    <row r="130" spans="1:13" ht="20" customHeight="1">
      <c r="A130" s="10"/>
      <c r="B130" s="10"/>
      <c r="C130" s="33"/>
      <c r="D130" s="33"/>
      <c r="E130" s="33"/>
      <c r="F130" s="33"/>
      <c r="G130" s="33"/>
      <c r="H130" s="11"/>
      <c r="I130" s="11"/>
      <c r="J130" s="11"/>
      <c r="K130" s="11"/>
      <c r="L130" s="11"/>
      <c r="M130" s="12"/>
    </row>
    <row r="131" spans="1:13" ht="20" customHeight="1">
      <c r="A131" s="10"/>
      <c r="B131" s="10"/>
      <c r="C131" s="33"/>
      <c r="D131" s="33"/>
      <c r="E131" s="33"/>
      <c r="F131" s="33"/>
      <c r="G131" s="33"/>
      <c r="H131" s="11"/>
      <c r="I131" s="11"/>
      <c r="J131" s="11"/>
      <c r="K131" s="11"/>
      <c r="L131" s="11"/>
      <c r="M131" s="12"/>
    </row>
    <row r="132" spans="1:13" ht="20" customHeight="1">
      <c r="A132" s="10"/>
      <c r="B132" s="10"/>
      <c r="C132" s="33"/>
      <c r="D132" s="33"/>
      <c r="E132" s="33"/>
      <c r="F132" s="33"/>
      <c r="G132" s="33"/>
      <c r="H132" s="11"/>
      <c r="I132" s="11"/>
      <c r="J132" s="11"/>
      <c r="K132" s="11"/>
      <c r="L132" s="11"/>
      <c r="M132" s="12"/>
    </row>
    <row r="133" spans="1:13" ht="20" customHeight="1">
      <c r="A133" s="10"/>
      <c r="B133" s="10"/>
      <c r="C133" s="33"/>
      <c r="D133" s="33"/>
      <c r="E133" s="33"/>
      <c r="F133" s="33"/>
      <c r="G133" s="33"/>
      <c r="H133" s="11"/>
      <c r="I133" s="11"/>
      <c r="J133" s="11"/>
      <c r="K133" s="11"/>
      <c r="L133" s="11"/>
      <c r="M133" s="12"/>
    </row>
    <row r="134" spans="1:13" ht="20" customHeight="1">
      <c r="A134" s="10"/>
      <c r="B134" s="10"/>
      <c r="C134" s="33"/>
      <c r="D134" s="33"/>
      <c r="E134" s="33"/>
      <c r="F134" s="33"/>
      <c r="G134" s="33"/>
      <c r="H134" s="11"/>
      <c r="I134" s="11"/>
      <c r="J134" s="11"/>
      <c r="K134" s="11"/>
      <c r="L134" s="11"/>
      <c r="M134" s="12"/>
    </row>
    <row r="135" spans="1:13" ht="20" customHeight="1">
      <c r="A135" s="10"/>
      <c r="B135" s="10"/>
      <c r="C135" s="33"/>
      <c r="D135" s="33"/>
      <c r="E135" s="33"/>
      <c r="F135" s="33"/>
      <c r="G135" s="33"/>
      <c r="H135" s="11"/>
      <c r="I135" s="11"/>
      <c r="J135" s="11"/>
      <c r="K135" s="11"/>
      <c r="L135" s="11"/>
      <c r="M135" s="12"/>
    </row>
    <row r="136" spans="1:13" ht="20" customHeight="1">
      <c r="A136" s="10"/>
      <c r="B136" s="10"/>
      <c r="C136" s="33"/>
      <c r="D136" s="33"/>
      <c r="E136" s="33"/>
      <c r="F136" s="33"/>
      <c r="G136" s="33"/>
      <c r="H136" s="11"/>
      <c r="I136" s="11"/>
      <c r="J136" s="11"/>
      <c r="K136" s="11"/>
      <c r="L136" s="11"/>
      <c r="M136" s="12"/>
    </row>
    <row r="137" spans="1:13" ht="20" customHeight="1">
      <c r="A137" s="10"/>
      <c r="B137" s="10"/>
      <c r="C137" s="33"/>
      <c r="D137" s="33"/>
      <c r="E137" s="33"/>
      <c r="F137" s="33"/>
      <c r="G137" s="33"/>
      <c r="H137" s="11"/>
      <c r="I137" s="11"/>
      <c r="J137" s="11"/>
      <c r="K137" s="11"/>
      <c r="L137" s="11"/>
      <c r="M137" s="12"/>
    </row>
    <row r="138" spans="1:13" ht="20" customHeight="1">
      <c r="A138" s="10"/>
      <c r="B138" s="10"/>
      <c r="C138" s="33"/>
      <c r="D138" s="33"/>
      <c r="E138" s="33"/>
      <c r="F138" s="33"/>
      <c r="G138" s="33"/>
      <c r="H138" s="11"/>
      <c r="I138" s="11"/>
      <c r="J138" s="11"/>
      <c r="K138" s="11"/>
      <c r="L138" s="11"/>
      <c r="M138" s="12"/>
    </row>
    <row r="139" spans="1:13" ht="20" customHeight="1">
      <c r="A139" s="10"/>
      <c r="B139" s="10"/>
      <c r="C139" s="33"/>
      <c r="D139" s="33"/>
      <c r="E139" s="33"/>
      <c r="F139" s="33"/>
      <c r="G139" s="33"/>
      <c r="H139" s="11"/>
      <c r="I139" s="11"/>
      <c r="J139" s="11"/>
      <c r="K139" s="11"/>
      <c r="L139" s="11"/>
      <c r="M139" s="12"/>
    </row>
    <row r="140" spans="1:13" ht="20" customHeight="1">
      <c r="A140" s="10"/>
      <c r="B140" s="10"/>
      <c r="C140" s="33"/>
      <c r="D140" s="33"/>
      <c r="E140" s="33"/>
      <c r="F140" s="33"/>
      <c r="G140" s="33"/>
      <c r="H140" s="11"/>
      <c r="I140" s="11"/>
      <c r="J140" s="11"/>
      <c r="K140" s="11"/>
      <c r="L140" s="11"/>
      <c r="M140" s="12"/>
    </row>
    <row r="141" spans="1:13" ht="20" customHeight="1">
      <c r="A141" s="10"/>
      <c r="B141" s="10"/>
      <c r="C141" s="33"/>
      <c r="D141" s="33"/>
      <c r="E141" s="33"/>
      <c r="F141" s="33"/>
      <c r="G141" s="33"/>
      <c r="H141" s="11"/>
      <c r="I141" s="11"/>
      <c r="J141" s="11"/>
      <c r="K141" s="11"/>
      <c r="L141" s="11"/>
      <c r="M141" s="12"/>
    </row>
    <row r="142" spans="1:13" ht="20" customHeight="1">
      <c r="A142" s="10"/>
      <c r="B142" s="10"/>
      <c r="C142" s="33"/>
      <c r="D142" s="33"/>
      <c r="E142" s="33"/>
      <c r="F142" s="33"/>
      <c r="G142" s="33"/>
      <c r="H142" s="11"/>
      <c r="I142" s="11"/>
      <c r="J142" s="11"/>
      <c r="K142" s="11"/>
      <c r="L142" s="11"/>
      <c r="M142" s="12"/>
    </row>
    <row r="143" spans="1:13" ht="20" customHeight="1">
      <c r="A143" s="10"/>
      <c r="B143" s="10"/>
      <c r="C143" s="33"/>
      <c r="D143" s="33"/>
      <c r="E143" s="33"/>
      <c r="F143" s="33"/>
      <c r="G143" s="33"/>
      <c r="H143" s="11"/>
      <c r="I143" s="11"/>
      <c r="J143" s="11"/>
      <c r="K143" s="11"/>
      <c r="L143" s="11"/>
      <c r="M143" s="12"/>
    </row>
    <row r="144" spans="1:13" ht="20" customHeight="1">
      <c r="A144" s="10"/>
      <c r="B144" s="10"/>
      <c r="C144" s="33"/>
      <c r="D144" s="33"/>
      <c r="E144" s="33"/>
      <c r="F144" s="33"/>
      <c r="G144" s="33"/>
      <c r="H144" s="11"/>
      <c r="I144" s="11"/>
      <c r="J144" s="11"/>
      <c r="K144" s="11"/>
      <c r="L144" s="11"/>
      <c r="M144" s="12"/>
    </row>
    <row r="145" spans="1:13" ht="20" customHeight="1">
      <c r="A145" s="10"/>
      <c r="B145" s="10"/>
      <c r="C145" s="33"/>
      <c r="D145" s="33"/>
      <c r="E145" s="33"/>
      <c r="F145" s="33"/>
      <c r="G145" s="33"/>
      <c r="H145" s="11"/>
      <c r="I145" s="11"/>
      <c r="J145" s="11"/>
      <c r="K145" s="11"/>
      <c r="L145" s="11"/>
      <c r="M145" s="12"/>
    </row>
    <row r="146" spans="1:13" ht="20" customHeight="1">
      <c r="A146" s="10"/>
      <c r="B146" s="10"/>
      <c r="C146" s="33"/>
      <c r="D146" s="33"/>
      <c r="E146" s="33"/>
      <c r="F146" s="33"/>
      <c r="G146" s="33"/>
      <c r="H146" s="11"/>
      <c r="I146" s="11"/>
      <c r="J146" s="11"/>
      <c r="K146" s="11"/>
      <c r="L146" s="11"/>
      <c r="M146" s="12"/>
    </row>
    <row r="147" spans="1:13" ht="20" customHeight="1">
      <c r="A147" s="10"/>
      <c r="B147" s="10"/>
      <c r="C147" s="33"/>
      <c r="D147" s="33"/>
      <c r="E147" s="33"/>
      <c r="F147" s="33"/>
      <c r="G147" s="33"/>
      <c r="H147" s="11"/>
      <c r="I147" s="11"/>
      <c r="J147" s="11"/>
      <c r="K147" s="11"/>
      <c r="L147" s="11"/>
      <c r="M147" s="12"/>
    </row>
    <row r="148" spans="1:13" ht="20" customHeight="1">
      <c r="A148" s="10"/>
      <c r="B148" s="10"/>
      <c r="C148" s="33"/>
      <c r="D148" s="33"/>
      <c r="E148" s="33"/>
      <c r="F148" s="33"/>
      <c r="G148" s="33"/>
      <c r="H148" s="11"/>
      <c r="I148" s="11"/>
      <c r="J148" s="11"/>
      <c r="K148" s="11"/>
      <c r="L148" s="11"/>
      <c r="M148" s="12"/>
    </row>
    <row r="149" spans="1:13" ht="20" customHeight="1">
      <c r="A149" s="10"/>
      <c r="B149" s="10"/>
      <c r="C149" s="33"/>
      <c r="D149" s="33"/>
      <c r="E149" s="33"/>
      <c r="F149" s="33"/>
      <c r="G149" s="33"/>
      <c r="H149" s="11"/>
      <c r="I149" s="11"/>
      <c r="J149" s="11"/>
      <c r="K149" s="11"/>
      <c r="L149" s="11"/>
      <c r="M149" s="12"/>
    </row>
    <row r="150" spans="1:13" ht="20" customHeight="1">
      <c r="A150" s="10"/>
      <c r="B150" s="10"/>
      <c r="C150" s="33"/>
      <c r="D150" s="33"/>
      <c r="E150" s="33"/>
      <c r="F150" s="33"/>
      <c r="G150" s="33"/>
      <c r="H150" s="11"/>
      <c r="I150" s="11"/>
      <c r="J150" s="11"/>
      <c r="K150" s="11"/>
      <c r="L150" s="11"/>
      <c r="M150" s="12"/>
    </row>
    <row r="151" spans="1:13" ht="20" customHeight="1">
      <c r="A151" s="10"/>
      <c r="B151" s="10"/>
      <c r="C151" s="33"/>
      <c r="D151" s="33"/>
      <c r="E151" s="33"/>
      <c r="F151" s="33"/>
      <c r="G151" s="33"/>
      <c r="H151" s="11"/>
      <c r="I151" s="11"/>
      <c r="J151" s="11"/>
      <c r="K151" s="11"/>
      <c r="L151" s="11"/>
      <c r="M151" s="12"/>
    </row>
    <row r="152" spans="1:13" ht="20" customHeight="1">
      <c r="A152" s="10"/>
      <c r="B152" s="10"/>
      <c r="C152" s="33"/>
      <c r="D152" s="33"/>
      <c r="E152" s="33"/>
      <c r="F152" s="33"/>
      <c r="G152" s="33"/>
      <c r="H152" s="11"/>
      <c r="I152" s="11"/>
      <c r="J152" s="11"/>
      <c r="K152" s="11"/>
      <c r="L152" s="11"/>
      <c r="M152" s="12"/>
    </row>
    <row r="153" spans="1:13" ht="20" customHeight="1">
      <c r="A153" s="10"/>
      <c r="B153" s="10"/>
      <c r="C153" s="33"/>
      <c r="D153" s="33"/>
      <c r="E153" s="33"/>
      <c r="F153" s="33"/>
      <c r="G153" s="33"/>
      <c r="H153" s="11"/>
      <c r="I153" s="11"/>
      <c r="J153" s="11"/>
      <c r="K153" s="11"/>
      <c r="L153" s="11"/>
      <c r="M153" s="12"/>
    </row>
    <row r="154" spans="1:13" ht="20" customHeight="1">
      <c r="A154" s="10"/>
      <c r="B154" s="10"/>
      <c r="C154" s="33"/>
      <c r="D154" s="33"/>
      <c r="E154" s="33"/>
      <c r="F154" s="33"/>
      <c r="G154" s="33"/>
      <c r="H154" s="11"/>
      <c r="I154" s="11"/>
      <c r="J154" s="11"/>
      <c r="K154" s="11"/>
      <c r="L154" s="11"/>
      <c r="M154" s="12"/>
    </row>
    <row r="155" spans="1:13" ht="20" customHeight="1">
      <c r="A155" s="10"/>
      <c r="B155" s="10"/>
      <c r="C155" s="33"/>
      <c r="D155" s="33"/>
      <c r="E155" s="33"/>
      <c r="F155" s="33"/>
      <c r="G155" s="33"/>
      <c r="H155" s="11"/>
      <c r="I155" s="11"/>
      <c r="J155" s="11"/>
      <c r="K155" s="11"/>
      <c r="L155" s="11"/>
      <c r="M155" s="12"/>
    </row>
    <row r="156" spans="1:13" ht="20" customHeight="1">
      <c r="A156" s="10"/>
      <c r="B156" s="10"/>
      <c r="C156" s="33"/>
      <c r="D156" s="33"/>
      <c r="E156" s="33"/>
      <c r="F156" s="33"/>
      <c r="G156" s="33"/>
      <c r="H156" s="11"/>
      <c r="I156" s="11"/>
      <c r="J156" s="11"/>
      <c r="K156" s="11"/>
      <c r="L156" s="11"/>
      <c r="M156" s="12"/>
    </row>
    <row r="157" spans="1:13" ht="20" customHeight="1">
      <c r="A157" s="10"/>
      <c r="B157" s="10"/>
      <c r="C157" s="33"/>
      <c r="D157" s="33"/>
      <c r="E157" s="33"/>
      <c r="F157" s="33"/>
      <c r="G157" s="33"/>
      <c r="H157" s="11"/>
      <c r="I157" s="11"/>
      <c r="J157" s="11"/>
      <c r="K157" s="11"/>
      <c r="L157" s="11"/>
      <c r="M157" s="12"/>
    </row>
    <row r="158" spans="1:13" ht="20" customHeight="1">
      <c r="A158" s="10"/>
      <c r="B158" s="10"/>
      <c r="C158" s="33"/>
      <c r="D158" s="33"/>
      <c r="E158" s="33"/>
      <c r="F158" s="33"/>
      <c r="G158" s="33"/>
      <c r="H158" s="11"/>
      <c r="I158" s="11"/>
      <c r="J158" s="11"/>
      <c r="K158" s="11"/>
      <c r="L158" s="11"/>
      <c r="M158" s="12"/>
    </row>
    <row r="159" spans="1:13" ht="20" customHeight="1">
      <c r="A159" s="10"/>
      <c r="B159" s="10"/>
      <c r="C159" s="33"/>
      <c r="D159" s="33"/>
      <c r="E159" s="33"/>
      <c r="F159" s="33"/>
      <c r="G159" s="33"/>
      <c r="H159" s="11"/>
      <c r="I159" s="11"/>
      <c r="J159" s="11"/>
      <c r="K159" s="11"/>
      <c r="L159" s="11"/>
      <c r="M159" s="12"/>
    </row>
    <row r="160" spans="1:13" ht="20" customHeight="1">
      <c r="A160" s="10"/>
      <c r="B160" s="10"/>
      <c r="C160" s="33"/>
      <c r="D160" s="33"/>
      <c r="E160" s="33"/>
      <c r="F160" s="33"/>
      <c r="G160" s="33"/>
      <c r="H160" s="11"/>
      <c r="I160" s="11"/>
      <c r="J160" s="11"/>
      <c r="K160" s="11"/>
      <c r="L160" s="11"/>
      <c r="M160" s="12"/>
    </row>
    <row r="161" spans="1:13" ht="20" customHeight="1">
      <c r="A161" s="10"/>
      <c r="B161" s="10"/>
      <c r="C161" s="33"/>
      <c r="D161" s="33"/>
      <c r="E161" s="33"/>
      <c r="F161" s="33"/>
      <c r="G161" s="33"/>
      <c r="H161" s="11"/>
      <c r="I161" s="11"/>
      <c r="J161" s="11"/>
      <c r="K161" s="11"/>
      <c r="L161" s="11"/>
      <c r="M161" s="12"/>
    </row>
    <row r="162" spans="1:13" ht="20" customHeight="1">
      <c r="A162" s="10"/>
      <c r="B162" s="10"/>
      <c r="C162" s="33"/>
      <c r="D162" s="33"/>
      <c r="E162" s="33"/>
      <c r="F162" s="33"/>
      <c r="G162" s="33"/>
      <c r="H162" s="11"/>
      <c r="I162" s="11"/>
      <c r="J162" s="11"/>
      <c r="K162" s="11"/>
      <c r="L162" s="11"/>
      <c r="M162" s="12"/>
    </row>
    <row r="163" spans="1:13" ht="20" customHeight="1">
      <c r="A163" s="10"/>
      <c r="B163" s="10"/>
      <c r="C163" s="33"/>
      <c r="D163" s="33"/>
      <c r="E163" s="33"/>
      <c r="F163" s="33"/>
      <c r="G163" s="33"/>
      <c r="H163" s="11"/>
      <c r="I163" s="11"/>
      <c r="J163" s="11"/>
      <c r="K163" s="11"/>
      <c r="L163" s="11"/>
      <c r="M163" s="12"/>
    </row>
    <row r="164" spans="1:13" ht="20" customHeight="1">
      <c r="A164" s="10"/>
      <c r="B164" s="10"/>
      <c r="C164" s="33"/>
      <c r="D164" s="33"/>
      <c r="E164" s="33"/>
      <c r="F164" s="33"/>
      <c r="G164" s="33"/>
      <c r="H164" s="11"/>
      <c r="I164" s="11"/>
      <c r="J164" s="11"/>
      <c r="K164" s="11"/>
      <c r="L164" s="11"/>
      <c r="M164" s="12"/>
    </row>
    <row r="165" spans="1:13" ht="20" customHeight="1">
      <c r="A165" s="10"/>
      <c r="B165" s="10"/>
      <c r="C165" s="33"/>
      <c r="D165" s="33"/>
      <c r="E165" s="33"/>
      <c r="F165" s="33"/>
      <c r="G165" s="33"/>
      <c r="H165" s="11"/>
      <c r="I165" s="11"/>
      <c r="J165" s="11"/>
      <c r="K165" s="11"/>
      <c r="L165" s="11"/>
      <c r="M165" s="12"/>
    </row>
    <row r="166" spans="1:13" ht="20" customHeight="1">
      <c r="A166" s="10"/>
      <c r="B166" s="10"/>
      <c r="C166" s="33"/>
      <c r="D166" s="33"/>
      <c r="E166" s="33"/>
      <c r="F166" s="33"/>
      <c r="G166" s="33"/>
      <c r="H166" s="11"/>
      <c r="I166" s="11"/>
      <c r="J166" s="11"/>
      <c r="K166" s="11"/>
      <c r="L166" s="11"/>
      <c r="M166" s="12"/>
    </row>
    <row r="167" spans="1:13" ht="20" customHeight="1">
      <c r="A167" s="10"/>
      <c r="B167" s="10"/>
      <c r="C167" s="33"/>
      <c r="D167" s="33"/>
      <c r="E167" s="33"/>
      <c r="F167" s="33"/>
      <c r="G167" s="33"/>
      <c r="H167" s="11"/>
      <c r="I167" s="11"/>
      <c r="J167" s="11"/>
      <c r="K167" s="11"/>
      <c r="L167" s="11"/>
      <c r="M167" s="12"/>
    </row>
    <row r="168" spans="1:13" ht="20" customHeight="1">
      <c r="A168" s="10"/>
      <c r="B168" s="10"/>
      <c r="C168" s="33"/>
      <c r="D168" s="33"/>
      <c r="E168" s="33"/>
      <c r="F168" s="33"/>
      <c r="G168" s="33"/>
      <c r="H168" s="11"/>
      <c r="I168" s="11"/>
      <c r="J168" s="11"/>
      <c r="K168" s="11"/>
      <c r="L168" s="11"/>
      <c r="M168" s="12"/>
    </row>
    <row r="169" spans="1:13" ht="20" customHeight="1">
      <c r="A169" s="10"/>
      <c r="B169" s="10"/>
      <c r="C169" s="33"/>
      <c r="D169" s="33"/>
      <c r="E169" s="33"/>
      <c r="F169" s="33"/>
      <c r="G169" s="33"/>
      <c r="H169" s="11"/>
      <c r="I169" s="11"/>
      <c r="J169" s="11"/>
      <c r="K169" s="11"/>
      <c r="L169" s="11"/>
      <c r="M169" s="12"/>
    </row>
    <row r="170" spans="1:13" ht="20" customHeight="1">
      <c r="A170" s="10"/>
      <c r="B170" s="10"/>
      <c r="C170" s="33"/>
      <c r="D170" s="33"/>
      <c r="E170" s="33"/>
      <c r="F170" s="33"/>
      <c r="G170" s="33"/>
      <c r="H170" s="11"/>
      <c r="I170" s="11"/>
      <c r="J170" s="11"/>
      <c r="K170" s="11"/>
      <c r="L170" s="11"/>
      <c r="M170" s="12"/>
    </row>
    <row r="171" spans="1:13" ht="20" customHeight="1">
      <c r="A171" s="10"/>
      <c r="B171" s="10"/>
      <c r="C171" s="33"/>
      <c r="D171" s="33"/>
      <c r="E171" s="33"/>
      <c r="F171" s="33"/>
      <c r="G171" s="33"/>
      <c r="H171" s="11"/>
      <c r="I171" s="11"/>
      <c r="J171" s="11"/>
      <c r="K171" s="11"/>
      <c r="L171" s="11"/>
      <c r="M171" s="12"/>
    </row>
    <row r="172" spans="1:13" ht="20" customHeight="1">
      <c r="A172" s="10"/>
      <c r="B172" s="10"/>
      <c r="C172" s="33"/>
      <c r="D172" s="33"/>
      <c r="E172" s="33"/>
      <c r="F172" s="33"/>
      <c r="G172" s="33"/>
      <c r="H172" s="11"/>
      <c r="I172" s="11"/>
      <c r="J172" s="11"/>
      <c r="K172" s="11"/>
      <c r="L172" s="11"/>
      <c r="M172" s="12"/>
    </row>
    <row r="173" spans="1:13" ht="20" customHeight="1">
      <c r="A173" s="10"/>
      <c r="B173" s="10"/>
      <c r="C173" s="33"/>
      <c r="D173" s="33"/>
      <c r="E173" s="33"/>
      <c r="F173" s="33"/>
      <c r="G173" s="33"/>
      <c r="H173" s="11"/>
      <c r="I173" s="11"/>
      <c r="J173" s="11"/>
      <c r="K173" s="11"/>
      <c r="L173" s="11"/>
      <c r="M173" s="12"/>
    </row>
    <row r="174" spans="1:13" ht="20" customHeight="1">
      <c r="A174" s="10"/>
      <c r="B174" s="10"/>
      <c r="C174" s="33"/>
      <c r="D174" s="33"/>
      <c r="E174" s="33"/>
      <c r="F174" s="33"/>
      <c r="G174" s="33"/>
      <c r="H174" s="11"/>
      <c r="I174" s="11"/>
      <c r="J174" s="11"/>
      <c r="K174" s="11"/>
      <c r="L174" s="11"/>
      <c r="M174" s="12"/>
    </row>
    <row r="175" spans="1:13" ht="20" customHeight="1">
      <c r="A175" s="10"/>
      <c r="B175" s="10"/>
      <c r="C175" s="33"/>
      <c r="D175" s="33"/>
      <c r="E175" s="33"/>
      <c r="F175" s="33"/>
      <c r="G175" s="33"/>
      <c r="H175" s="11"/>
      <c r="I175" s="11"/>
      <c r="J175" s="11"/>
      <c r="K175" s="11"/>
      <c r="L175" s="11"/>
      <c r="M175" s="12"/>
    </row>
    <row r="176" spans="1:13" ht="20" customHeight="1">
      <c r="A176" s="10"/>
      <c r="B176" s="10"/>
      <c r="C176" s="33"/>
      <c r="D176" s="33"/>
      <c r="E176" s="33"/>
      <c r="F176" s="33"/>
      <c r="G176" s="33"/>
      <c r="H176" s="11"/>
      <c r="I176" s="11"/>
      <c r="J176" s="11"/>
      <c r="K176" s="11"/>
      <c r="L176" s="11"/>
      <c r="M176" s="12"/>
    </row>
    <row r="177" spans="1:13" ht="20" customHeight="1">
      <c r="A177" s="10"/>
      <c r="B177" s="10"/>
      <c r="C177" s="33"/>
      <c r="D177" s="33"/>
      <c r="E177" s="33"/>
      <c r="F177" s="33"/>
      <c r="G177" s="33"/>
      <c r="H177" s="11"/>
      <c r="I177" s="11"/>
      <c r="J177" s="11"/>
      <c r="K177" s="11"/>
      <c r="L177" s="11"/>
      <c r="M177" s="12"/>
    </row>
    <row r="178" spans="1:13" ht="20" customHeight="1">
      <c r="A178" s="10"/>
      <c r="B178" s="10"/>
      <c r="C178" s="33"/>
      <c r="D178" s="33"/>
      <c r="E178" s="33"/>
      <c r="F178" s="33"/>
      <c r="G178" s="33"/>
      <c r="H178" s="11"/>
      <c r="I178" s="11"/>
      <c r="J178" s="11"/>
      <c r="K178" s="11"/>
      <c r="L178" s="11"/>
      <c r="M178" s="12"/>
    </row>
    <row r="179" spans="1:13" ht="20" customHeight="1">
      <c r="A179" s="10"/>
      <c r="B179" s="10"/>
      <c r="C179" s="33"/>
      <c r="D179" s="33"/>
      <c r="E179" s="33"/>
      <c r="F179" s="33"/>
      <c r="G179" s="33"/>
      <c r="H179" s="11"/>
      <c r="I179" s="11"/>
      <c r="J179" s="11"/>
      <c r="K179" s="11"/>
      <c r="L179" s="11"/>
      <c r="M179" s="12"/>
    </row>
    <row r="180" spans="1:13" s="36" customFormat="1">
      <c r="B180" s="37"/>
    </row>
  </sheetData>
  <mergeCells count="4">
    <mergeCell ref="H1:M1"/>
    <mergeCell ref="A1:B3"/>
    <mergeCell ref="E1:G1"/>
    <mergeCell ref="C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FF33-EB8E-A042-8991-3FDDE7651E71}">
  <dimension ref="A1:U4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3" sqref="J3"/>
    </sheetView>
  </sheetViews>
  <sheetFormatPr baseColWidth="10" defaultColWidth="8.83203125" defaultRowHeight="16"/>
  <cols>
    <col min="1" max="1" width="25.83203125" style="2" customWidth="1"/>
    <col min="2" max="2" width="15.83203125" style="2" customWidth="1"/>
    <col min="3" max="9" width="20.83203125" style="2" customWidth="1"/>
    <col min="10" max="10" width="25.83203125" style="2" customWidth="1"/>
    <col min="11" max="17" width="20.83203125" style="2" customWidth="1"/>
    <col min="18" max="18" width="25.83203125" style="2" customWidth="1"/>
    <col min="19" max="19" width="20.83203125" style="2" customWidth="1"/>
    <col min="20" max="20" width="8.83203125" style="2" bestFit="1" customWidth="1"/>
    <col min="22" max="16384" width="8.83203125" style="2"/>
  </cols>
  <sheetData>
    <row r="1" spans="1:20" ht="35" customHeight="1">
      <c r="A1" s="221" t="s">
        <v>563</v>
      </c>
      <c r="B1" s="221"/>
      <c r="C1" s="223" t="s">
        <v>0</v>
      </c>
      <c r="D1" s="224"/>
      <c r="E1" s="224"/>
      <c r="F1" s="224"/>
      <c r="G1" s="224"/>
      <c r="H1" s="224"/>
      <c r="I1" s="224"/>
      <c r="J1" s="225"/>
      <c r="K1" s="219" t="s">
        <v>858</v>
      </c>
      <c r="L1" s="220"/>
      <c r="M1" s="220"/>
      <c r="N1" s="220"/>
      <c r="O1" s="220"/>
      <c r="P1" s="220"/>
      <c r="Q1" s="220"/>
      <c r="R1" s="220"/>
      <c r="S1" s="42"/>
    </row>
    <row r="2" spans="1:20" ht="35" customHeight="1">
      <c r="A2" s="221"/>
      <c r="B2" s="221"/>
      <c r="C2" s="3">
        <v>1</v>
      </c>
      <c r="D2" s="4">
        <v>2</v>
      </c>
      <c r="E2" s="3">
        <v>3</v>
      </c>
      <c r="F2" s="4">
        <v>4</v>
      </c>
      <c r="G2" s="3">
        <v>5</v>
      </c>
      <c r="H2" s="4">
        <v>6</v>
      </c>
      <c r="I2" s="3">
        <v>7</v>
      </c>
      <c r="J2" s="3">
        <v>8</v>
      </c>
      <c r="K2" s="6">
        <v>0.12</v>
      </c>
      <c r="L2" s="6">
        <v>0.16</v>
      </c>
      <c r="M2" s="6">
        <v>0.12</v>
      </c>
      <c r="N2" s="6">
        <v>0.12</v>
      </c>
      <c r="O2" s="6">
        <v>0.12</v>
      </c>
      <c r="P2" s="6">
        <v>0.08</v>
      </c>
      <c r="Q2" s="6">
        <v>0.08</v>
      </c>
      <c r="R2" s="6">
        <v>0.2</v>
      </c>
      <c r="S2" s="7">
        <f>SUM(K2:R2)</f>
        <v>1</v>
      </c>
    </row>
    <row r="3" spans="1:20" ht="50" customHeight="1">
      <c r="A3" s="222"/>
      <c r="B3" s="222"/>
      <c r="C3" s="14" t="s">
        <v>564</v>
      </c>
      <c r="D3" s="14" t="s">
        <v>565</v>
      </c>
      <c r="E3" s="14" t="s">
        <v>566</v>
      </c>
      <c r="F3" s="14" t="s">
        <v>865</v>
      </c>
      <c r="G3" s="14" t="s">
        <v>866</v>
      </c>
      <c r="H3" s="14" t="s">
        <v>867</v>
      </c>
      <c r="I3" s="14" t="s">
        <v>868</v>
      </c>
      <c r="J3" s="14" t="s">
        <v>862</v>
      </c>
      <c r="K3" s="16" t="s">
        <v>564</v>
      </c>
      <c r="L3" s="16" t="s">
        <v>565</v>
      </c>
      <c r="M3" s="16" t="s">
        <v>566</v>
      </c>
      <c r="N3" s="16" t="s">
        <v>865</v>
      </c>
      <c r="O3" s="16" t="s">
        <v>866</v>
      </c>
      <c r="P3" s="16" t="s">
        <v>867</v>
      </c>
      <c r="Q3" s="16" t="s">
        <v>868</v>
      </c>
      <c r="R3" s="16" t="s">
        <v>862</v>
      </c>
      <c r="S3" s="47" t="s">
        <v>563</v>
      </c>
    </row>
    <row r="4" spans="1:20" ht="50" customHeight="1">
      <c r="A4" s="8" t="s">
        <v>840</v>
      </c>
      <c r="B4" s="14" t="s">
        <v>3</v>
      </c>
      <c r="C4" s="14" t="s">
        <v>440</v>
      </c>
      <c r="D4" s="14" t="s">
        <v>575</v>
      </c>
      <c r="E4" s="14" t="s">
        <v>576</v>
      </c>
      <c r="F4" s="14" t="s">
        <v>568</v>
      </c>
      <c r="G4" s="14" t="s">
        <v>569</v>
      </c>
      <c r="H4" s="14" t="s">
        <v>567</v>
      </c>
      <c r="I4" s="14" t="s">
        <v>886</v>
      </c>
      <c r="J4" s="14" t="s">
        <v>869</v>
      </c>
      <c r="K4" s="16" t="s">
        <v>7</v>
      </c>
      <c r="L4" s="16" t="s">
        <v>8</v>
      </c>
      <c r="M4" s="16" t="s">
        <v>9</v>
      </c>
      <c r="N4" s="16" t="s">
        <v>10</v>
      </c>
      <c r="O4" s="16" t="s">
        <v>11</v>
      </c>
      <c r="P4" s="16" t="s">
        <v>12</v>
      </c>
      <c r="Q4" s="16" t="s">
        <v>554</v>
      </c>
      <c r="R4" s="16" t="s">
        <v>863</v>
      </c>
      <c r="S4" s="47" t="s">
        <v>13</v>
      </c>
    </row>
    <row r="5" spans="1:20" ht="20" customHeight="1">
      <c r="A5" s="35" t="str" cm="1">
        <f t="array" ref="A5:B40">_xlfn._xlws.FILTER(Screening!$A$2:$B$216,Screening!$L$2:$L$216="Yes","")</f>
        <v>Australia</v>
      </c>
      <c r="B5" s="35" t="str">
        <v>AUS</v>
      </c>
      <c r="C5" s="61">
        <f>_xlfn.XLOOKUP($B5,[1]pillars_WIP!$B$7:$B$501,[1]pillars_WIP!$H$7:$H$501,"Missing",0)</f>
        <v>67.981481481481495</v>
      </c>
      <c r="D5" s="61">
        <f>_xlfn.XLOOKUP($B5,[1]pillars_WIP!$B$7:$B$501,[1]pillars_WIP!$I$7:$I$501,"Missing",0)</f>
        <v>8.3521145432851648E-2</v>
      </c>
      <c r="E5" s="61">
        <f>_xlfn.XLOOKUP($B5,[1]pillars_WIP!$B$7:$B$501,[1]pillars_WIP!$J$7:$J$501,"Missing",0)</f>
        <v>0</v>
      </c>
      <c r="F5" s="61">
        <f>_xlfn.XLOOKUP($B5,[1]pillars_WIP!$B$7:$B$501,[1]pillars_WIP!$K$7:$K$501,"Missing",0)</f>
        <v>-2.3854285714285708</v>
      </c>
      <c r="G5" s="61">
        <f>_xlfn.XLOOKUP($B5,[1]pillars_WIP!$B$7:$B$501,[1]pillars_WIP!$L$7:$L$501,"Missing",0)</f>
        <v>3.036285714285714</v>
      </c>
      <c r="H5" s="61">
        <f>_xlfn.XLOOKUP($B5,[1]pillars_WIP!$B$7:$B$501,[1]pillars_WIP!$M$7:$M$501,"Missing",0)</f>
        <v>-24.75028571428571</v>
      </c>
      <c r="I5" s="33">
        <f>_xlfn.XLOOKUP($B5,[1]pillars_WIP!$B$7:$B$501,[1]pillars_WIP!$N$7:$N$501,"Missing",0)</f>
        <v>100</v>
      </c>
      <c r="J5" s="58">
        <f>IF($B5="","",_xlfn.XLOOKUP($B5,[1]pillars_WIP!$B$7:$B$501,[1]pillars_WIP!$O$7:$O$501,"Missing",0))</f>
        <v>0</v>
      </c>
      <c r="K5" s="11">
        <f>IF(ISNUMBER(C5),C5,"")</f>
        <v>67.981481481481495</v>
      </c>
      <c r="L5" s="11">
        <f>IF(ISNUMBER(D5),IF(Params!$G$16=0,100,(1-MIN(MAX(D5,0),Params!$G$16)/Params!$G$16)*100),"")</f>
        <v>94.050398941462888</v>
      </c>
      <c r="M5" s="11">
        <f>IF(ISNUMBER(E5),IF(Params!$G$17=0,100,(1-MIN(MAX(E5,0),Params!$G$17)/Params!$G$17)*100),"")</f>
        <v>100</v>
      </c>
      <c r="N5" s="11">
        <f>IF(ISNUMBER(F5),(Params!$G$19-MAX(Params!$G$18,MIN(Params!$G$19,F5)))/(Params!$G$19-Params!$G$18)*100,"")</f>
        <v>82.282873526444007</v>
      </c>
      <c r="O5" s="11">
        <f>IF(ISNUMBER(G5),(MAX(Params!$G$20,MIN(Params!$G$21,G5))-Params!$G$20)/(Params!$G$21-Params!$G$20)*100,"")</f>
        <v>81.444233195330398</v>
      </c>
      <c r="P5" s="11">
        <f>IF(ISNUMBER(H5),(Params!$G$23-MAX(Params!$G$22,MIN(Params!$G$23,H5)))/(Params!$G$23-Params!$G$22)*100,"")</f>
        <v>86.61953266464127</v>
      </c>
      <c r="Q5" s="11">
        <f>IF(ISNUMBER(I5),I5,"")</f>
        <v>100</v>
      </c>
      <c r="R5" s="11">
        <f>IF(ISNUMBER(J5),J5,"")</f>
        <v>0</v>
      </c>
      <c r="S5" s="12">
        <f>IF(COUNT(K5:R5)=8,SUMPRODUCT(K5:R5,$K$2:$R$2),"")</f>
        <v>69.78265702819607</v>
      </c>
      <c r="T5"/>
    </row>
    <row r="6" spans="1:20" ht="20" customHeight="1">
      <c r="A6" s="35" t="str">
        <v>Bangladesh</v>
      </c>
      <c r="B6" s="35" t="str">
        <v>BGD</v>
      </c>
      <c r="C6" s="61">
        <f>_xlfn.XLOOKUP($B6,[1]pillars_WIP!$B$7:$B$501,[1]pillars_WIP!$H$7:$H$501,"Missing",0)</f>
        <v>26.785714285714199</v>
      </c>
      <c r="D6" s="61">
        <f>_xlfn.XLOOKUP($B6,[1]pillars_WIP!$B$7:$B$501,[1]pillars_WIP!$I$7:$I$501,"Missing",0)</f>
        <v>0.65006915629322271</v>
      </c>
      <c r="E6" s="61">
        <f>_xlfn.XLOOKUP($B6,[1]pillars_WIP!$B$7:$B$501,[1]pillars_WIP!$J$7:$J$501,"Missing",0)</f>
        <v>0.18257261410788381</v>
      </c>
      <c r="F6" s="61">
        <f>_xlfn.XLOOKUP($B6,[1]pillars_WIP!$B$7:$B$501,[1]pillars_WIP!$K$7:$K$501,"Missing",0)</f>
        <v>3.2231428571428573</v>
      </c>
      <c r="G6" s="61">
        <f>_xlfn.XLOOKUP($B6,[1]pillars_WIP!$B$7:$B$501,[1]pillars_WIP!$L$7:$L$501,"Missing",0)</f>
        <v>9.6857142857142864E-2</v>
      </c>
      <c r="H6" s="61">
        <f>_xlfn.XLOOKUP($B6,[1]pillars_WIP!$B$7:$B$501,[1]pillars_WIP!$M$7:$M$501,"Missing",0)</f>
        <v>3.1762857142857261</v>
      </c>
      <c r="I6" s="33">
        <f>_xlfn.XLOOKUP($B6,[1]pillars_WIP!$B$7:$B$501,[1]pillars_WIP!$N$7:$N$501,"Missing",0)</f>
        <v>0</v>
      </c>
      <c r="J6" s="58">
        <f>IF($B6="","",_xlfn.XLOOKUP($B6,[1]pillars_WIP!$B$7:$B$501,[1]pillars_WIP!$O$7:$O$501,"Missing",0))</f>
        <v>0</v>
      </c>
      <c r="K6" s="11">
        <f t="shared" ref="K6:K40" si="0">IF(ISNUMBER(C6),C6,"")</f>
        <v>26.785714285714199</v>
      </c>
      <c r="L6" s="11">
        <f>IF(ISNUMBER(D6),IF(Params!$G$16=0,100,(1-MIN(MAX(D6,0),Params!$G$16)/Params!$G$16)*100),"")</f>
        <v>53.692539531633265</v>
      </c>
      <c r="M6" s="11">
        <f>IF(ISNUMBER(E6),IF(Params!$G$17=0,100,(1-MIN(MAX(E6,0),Params!$G$17)/Params!$G$17)*100),"")</f>
        <v>0</v>
      </c>
      <c r="N6" s="11">
        <f>IF(ISNUMBER(F6),(Params!$G$19-MAX(Params!$G$18,MIN(Params!$G$19,F6)))/(Params!$G$19-Params!$G$18)*100,"")</f>
        <v>0</v>
      </c>
      <c r="O6" s="11">
        <f>IF(ISNUMBER(G6),(MAX(Params!$G$20,MIN(Params!$G$21,G6))-Params!$G$20)/(Params!$G$21-Params!$G$20)*100,"")</f>
        <v>8.3228202349011209</v>
      </c>
      <c r="P6" s="11">
        <f>IF(ISNUMBER(H6),(Params!$G$23-MAX(Params!$G$22,MIN(Params!$G$23,H6)))/(Params!$G$23-Params!$G$22)*100,"")</f>
        <v>2.1387485576735785</v>
      </c>
      <c r="Q6" s="11">
        <f t="shared" ref="Q6:Q40" si="1">IF(ISNUMBER(I6),I6,"")</f>
        <v>0</v>
      </c>
      <c r="R6" s="11">
        <f t="shared" ref="R6:R40" si="2">IF(ISNUMBER(J6),J6,"")</f>
        <v>0</v>
      </c>
      <c r="S6" s="12">
        <f t="shared" ref="S6:S40" si="3">IF(COUNT(K6:R6)=8,SUMPRODUCT(K6:R6,$K$2:$R$2),"")</f>
        <v>12.974930352149048</v>
      </c>
      <c r="T6"/>
    </row>
    <row r="7" spans="1:20" ht="20" customHeight="1">
      <c r="A7" s="35" t="str">
        <v>Bosnia and Herzegovina</v>
      </c>
      <c r="B7" s="35" t="str">
        <v>BIH</v>
      </c>
      <c r="C7" s="61">
        <f>_xlfn.XLOOKUP($B7,[1]pillars_WIP!$B$7:$B$501,[1]pillars_WIP!$H$7:$H$501,"Missing",0)</f>
        <v>35.8333333333333</v>
      </c>
      <c r="D7" s="61">
        <f>_xlfn.XLOOKUP($B7,[1]pillars_WIP!$B$7:$B$501,[1]pillars_WIP!$I$7:$I$501,"Missing",0)</f>
        <v>1.0552763819095476</v>
      </c>
      <c r="E7" s="61">
        <f>_xlfn.XLOOKUP($B7,[1]pillars_WIP!$B$7:$B$501,[1]pillars_WIP!$J$7:$J$501,"Missing",0)</f>
        <v>0</v>
      </c>
      <c r="F7" s="61">
        <f>_xlfn.XLOOKUP($B7,[1]pillars_WIP!$B$7:$B$501,[1]pillars_WIP!$K$7:$K$501,"Missing",0)</f>
        <v>-1.6234285714285717</v>
      </c>
      <c r="G7" s="61">
        <f>_xlfn.XLOOKUP($B7,[1]pillars_WIP!$B$7:$B$501,[1]pillars_WIP!$L$7:$L$501,"Missing",0)</f>
        <v>1.5148571428571431</v>
      </c>
      <c r="H7" s="61">
        <f>_xlfn.XLOOKUP($B7,[1]pillars_WIP!$B$7:$B$501,[1]pillars_WIP!$M$7:$M$501,"Missing",0)</f>
        <v>-14.808857142857155</v>
      </c>
      <c r="I7" s="33">
        <f>_xlfn.XLOOKUP($B7,[1]pillars_WIP!$B$7:$B$501,[1]pillars_WIP!$N$7:$N$501,"Missing",0)</f>
        <v>0</v>
      </c>
      <c r="J7" s="58">
        <f>IF($B7="","",_xlfn.XLOOKUP($B7,[1]pillars_WIP!$B$7:$B$501,[1]pillars_WIP!$O$7:$O$501,"Missing",0))</f>
        <v>0</v>
      </c>
      <c r="K7" s="11">
        <f t="shared" si="0"/>
        <v>35.8333333333333</v>
      </c>
      <c r="L7" s="11">
        <f>IF(ISNUMBER(D7),IF(Params!$G$16=0,100,(1-MIN(MAX(D7,0),Params!$G$16)/Params!$G$16)*100),"")</f>
        <v>24.827737379320858</v>
      </c>
      <c r="M7" s="11">
        <f>IF(ISNUMBER(E7),IF(Params!$G$17=0,100,(1-MIN(MAX(E7,0),Params!$G$17)/Params!$G$17)*100),"")</f>
        <v>100</v>
      </c>
      <c r="N7" s="11">
        <f>IF(ISNUMBER(F7),(Params!$G$19-MAX(Params!$G$18,MIN(Params!$G$19,F7)))/(Params!$G$19-Params!$G$18)*100,"")</f>
        <v>69.155612433243917</v>
      </c>
      <c r="O7" s="11">
        <f>IF(ISNUMBER(G7),(MAX(Params!$G$20,MIN(Params!$G$21,G7))-Params!$G$20)/(Params!$G$21-Params!$G$20)*100,"")</f>
        <v>43.597078839353934</v>
      </c>
      <c r="P7" s="11">
        <f>IF(ISNUMBER(H7),(Params!$G$23-MAX(Params!$G$22,MIN(Params!$G$23,H7)))/(Params!$G$23-Params!$G$22)*100,"")</f>
        <v>56.545676910245213</v>
      </c>
      <c r="Q7" s="11">
        <f t="shared" si="1"/>
        <v>0</v>
      </c>
      <c r="R7" s="11">
        <f t="shared" si="2"/>
        <v>0</v>
      </c>
      <c r="S7" s="12">
        <f t="shared" si="3"/>
        <v>38.326415086222688</v>
      </c>
      <c r="T7"/>
    </row>
    <row r="8" spans="1:20" ht="20" customHeight="1">
      <c r="A8" s="35" t="str">
        <v>Brazil</v>
      </c>
      <c r="B8" s="35" t="str">
        <v>BRA</v>
      </c>
      <c r="C8" s="61">
        <f>_xlfn.XLOOKUP($B8,[1]pillars_WIP!$B$7:$B$501,[1]pillars_WIP!$H$7:$H$501,"Missing",0)</f>
        <v>65.092592592592595</v>
      </c>
      <c r="D8" s="61">
        <f>_xlfn.XLOOKUP($B8,[1]pillars_WIP!$B$7:$B$501,[1]pillars_WIP!$I$7:$I$501,"Missing",0)</f>
        <v>0</v>
      </c>
      <c r="E8" s="61">
        <f>_xlfn.XLOOKUP($B8,[1]pillars_WIP!$B$7:$B$501,[1]pillars_WIP!$J$7:$J$501,"Missing",0)</f>
        <v>0</v>
      </c>
      <c r="F8" s="61">
        <f>_xlfn.XLOOKUP($B8,[1]pillars_WIP!$B$7:$B$501,[1]pillars_WIP!$K$7:$K$501,"Missing",0)</f>
        <v>-0.30371428571428571</v>
      </c>
      <c r="G8" s="61">
        <f>_xlfn.XLOOKUP($B8,[1]pillars_WIP!$B$7:$B$501,[1]pillars_WIP!$L$7:$L$501,"Missing",0)</f>
        <v>1.6460000000000008</v>
      </c>
      <c r="H8" s="61">
        <f>_xlfn.XLOOKUP($B8,[1]pillars_WIP!$B$7:$B$501,[1]pillars_WIP!$M$7:$M$501,"Missing",0)</f>
        <v>-10.152285714285716</v>
      </c>
      <c r="I8" s="33">
        <f>_xlfn.XLOOKUP($B8,[1]pillars_WIP!$B$7:$B$501,[1]pillars_WIP!$N$7:$N$501,"Missing",0)</f>
        <v>70</v>
      </c>
      <c r="J8" s="58">
        <f>IF($B8="","",_xlfn.XLOOKUP($B8,[1]pillars_WIP!$B$7:$B$501,[1]pillars_WIP!$O$7:$O$501,"Missing",0))</f>
        <v>0</v>
      </c>
      <c r="K8" s="11">
        <f t="shared" si="0"/>
        <v>65.092592592592595</v>
      </c>
      <c r="L8" s="11">
        <f>IF(ISNUMBER(D8),IF(Params!$G$16=0,100,(1-MIN(MAX(D8,0),Params!$G$16)/Params!$G$16)*100),"")</f>
        <v>100</v>
      </c>
      <c r="M8" s="11">
        <f>IF(ISNUMBER(E8),IF(Params!$G$17=0,100,(1-MIN(MAX(E8,0),Params!$G$17)/Params!$G$17)*100),"")</f>
        <v>100</v>
      </c>
      <c r="N8" s="11">
        <f>IF(ISNUMBER(F8),(Params!$G$19-MAX(Params!$G$18,MIN(Params!$G$19,F8)))/(Params!$G$19-Params!$G$18)*100,"")</f>
        <v>46.420397214087075</v>
      </c>
      <c r="O8" s="11">
        <f>IF(ISNUMBER(G8),(MAX(Params!$G$20,MIN(Params!$G$21,G8))-Params!$G$20)/(Params!$G$21-Params!$G$20)*100,"")</f>
        <v>46.859396933136708</v>
      </c>
      <c r="P8" s="11">
        <f>IF(ISNUMBER(H8),(Params!$G$23-MAX(Params!$G$22,MIN(Params!$G$23,H8)))/(Params!$G$23-Params!$G$22)*100,"")</f>
        <v>42.459063859946333</v>
      </c>
      <c r="Q8" s="11">
        <f t="shared" si="1"/>
        <v>70</v>
      </c>
      <c r="R8" s="11">
        <f t="shared" si="2"/>
        <v>0</v>
      </c>
      <c r="S8" s="12">
        <f t="shared" si="3"/>
        <v>56.001411517573672</v>
      </c>
      <c r="T8"/>
    </row>
    <row r="9" spans="1:20" ht="20" customHeight="1">
      <c r="A9" s="35" t="str">
        <v>Bulgaria</v>
      </c>
      <c r="B9" s="35" t="str">
        <v>BGR</v>
      </c>
      <c r="C9" s="61">
        <v>27.63</v>
      </c>
      <c r="D9" s="61">
        <f>_xlfn.XLOOKUP($B9,[1]pillars_WIP!$B$7:$B$501,[1]pillars_WIP!$I$7:$I$501,"Missing",0)</f>
        <v>0</v>
      </c>
      <c r="E9" s="61">
        <f>_xlfn.XLOOKUP($B9,[1]pillars_WIP!$B$7:$B$501,[1]pillars_WIP!$J$7:$J$501,"Missing",0)</f>
        <v>0</v>
      </c>
      <c r="F9" s="61">
        <f>_xlfn.XLOOKUP($B9,[1]pillars_WIP!$B$7:$B$501,[1]pillars_WIP!$K$7:$K$501,"Missing",0)</f>
        <v>-2.5248571428571429</v>
      </c>
      <c r="G9" s="61">
        <f>_xlfn.XLOOKUP($B9,[1]pillars_WIP!$B$7:$B$501,[1]pillars_WIP!$L$7:$L$501,"Missing",0)</f>
        <v>2.302285714285714</v>
      </c>
      <c r="H9" s="61">
        <f>_xlfn.XLOOKUP($B9,[1]pillars_WIP!$B$7:$B$501,[1]pillars_WIP!$M$7:$M$501,"Missing",0)</f>
        <v>-24.99942857142857</v>
      </c>
      <c r="I9" s="33">
        <f>_xlfn.XLOOKUP($B9,[1]pillars_WIP!$B$7:$B$501,[1]pillars_WIP!$N$7:$N$501,"Missing",0)</f>
        <v>100</v>
      </c>
      <c r="J9" s="58">
        <f>IF($B9="","",_xlfn.XLOOKUP($B9,[1]pillars_WIP!$B$7:$B$501,[1]pillars_WIP!$O$7:$O$501,"Missing",0))</f>
        <v>25</v>
      </c>
      <c r="K9" s="11">
        <f t="shared" si="0"/>
        <v>27.63</v>
      </c>
      <c r="L9" s="11">
        <f>IF(ISNUMBER(D9),IF(Params!$G$16=0,100,(1-MIN(MAX(D9,0),Params!$G$16)/Params!$G$16)*100),"")</f>
        <v>100</v>
      </c>
      <c r="M9" s="11">
        <f>IF(ISNUMBER(E9),IF(Params!$G$17=0,100,(1-MIN(MAX(E9,0),Params!$G$17)/Params!$G$17)*100),"")</f>
        <v>100</v>
      </c>
      <c r="N9" s="11">
        <f>IF(ISNUMBER(F9),(Params!$G$19-MAX(Params!$G$18,MIN(Params!$G$19,F9)))/(Params!$G$19-Params!$G$18)*100,"")</f>
        <v>84.684862057933202</v>
      </c>
      <c r="O9" s="11">
        <f>IF(ISNUMBER(G9),(MAX(Params!$G$20,MIN(Params!$G$21,G9))-Params!$G$20)/(Params!$G$21-Params!$G$20)*100,"")</f>
        <v>63.185202295705309</v>
      </c>
      <c r="P9" s="11">
        <f>IF(ISNUMBER(H9),(Params!$G$23-MAX(Params!$G$22,MIN(Params!$G$23,H9)))/(Params!$G$23-Params!$G$22)*100,"")</f>
        <v>87.373215728812397</v>
      </c>
      <c r="Q9" s="11">
        <f t="shared" si="1"/>
        <v>100</v>
      </c>
      <c r="R9" s="11">
        <f t="shared" si="2"/>
        <v>25</v>
      </c>
      <c r="S9" s="12">
        <f t="shared" si="3"/>
        <v>69.049864980741603</v>
      </c>
      <c r="T9"/>
    </row>
    <row r="10" spans="1:20" ht="20" customHeight="1">
      <c r="A10" s="35" t="str">
        <v>Cambodia</v>
      </c>
      <c r="B10" s="35" t="str">
        <v>KHM</v>
      </c>
      <c r="C10" s="61">
        <f>_xlfn.XLOOKUP($B10,[1]pillars_WIP!$B$7:$B$501,[1]pillars_WIP!$H$7:$H$501,"Missing",0)</f>
        <v>16.507936507936499</v>
      </c>
      <c r="D10" s="61">
        <f>_xlfn.XLOOKUP($B10,[1]pillars_WIP!$B$7:$B$501,[1]pillars_WIP!$I$7:$I$501,"Missing",0)</f>
        <v>0</v>
      </c>
      <c r="E10" s="61">
        <f>_xlfn.XLOOKUP($B10,[1]pillars_WIP!$B$7:$B$501,[1]pillars_WIP!$J$7:$J$501,"Missing",0)</f>
        <v>0.18213058419243985</v>
      </c>
      <c r="F10" s="61">
        <f>_xlfn.XLOOKUP($B10,[1]pillars_WIP!$B$7:$B$501,[1]pillars_WIP!$K$7:$K$501,"Missing",0)</f>
        <v>4.0277142857142856</v>
      </c>
      <c r="G10" s="61">
        <f>_xlfn.XLOOKUP($B10,[1]pillars_WIP!$B$7:$B$501,[1]pillars_WIP!$L$7:$L$501,"Missing",0)</f>
        <v>-2.7694285714285716</v>
      </c>
      <c r="H10" s="61">
        <f>_xlfn.XLOOKUP($B10,[1]pillars_WIP!$B$7:$B$501,[1]pillars_WIP!$M$7:$M$501,"Missing",0)</f>
        <v>21.459714285714284</v>
      </c>
      <c r="I10" s="33">
        <f>_xlfn.XLOOKUP($B10,[1]pillars_WIP!$B$7:$B$501,[1]pillars_WIP!$N$7:$N$501,"Missing",0)</f>
        <v>0</v>
      </c>
      <c r="J10" s="58">
        <f>IF($B10="","",_xlfn.XLOOKUP($B10,[1]pillars_WIP!$B$7:$B$501,[1]pillars_WIP!$O$7:$O$501,"Missing",0))</f>
        <v>0</v>
      </c>
      <c r="K10" s="11">
        <f t="shared" si="0"/>
        <v>16.507936507936499</v>
      </c>
      <c r="L10" s="11">
        <f>IF(ISNUMBER(D10),IF(Params!$G$16=0,100,(1-MIN(MAX(D10,0),Params!$G$16)/Params!$G$16)*100),"")</f>
        <v>100</v>
      </c>
      <c r="M10" s="11">
        <f>IF(ISNUMBER(E10),IF(Params!$G$17=0,100,(1-MIN(MAX(E10,0),Params!$G$17)/Params!$G$17)*100),"")</f>
        <v>6.063806897090851E-2</v>
      </c>
      <c r="N10" s="11">
        <f>IF(ISNUMBER(F10),(Params!$G$19-MAX(Params!$G$18,MIN(Params!$G$19,F10)))/(Params!$G$19-Params!$G$18)*100,"")</f>
        <v>0</v>
      </c>
      <c r="O10" s="11">
        <f>IF(ISNUMBER(G10),(MAX(Params!$G$20,MIN(Params!$G$21,G10))-Params!$G$20)/(Params!$G$21-Params!$G$20)*100,"")</f>
        <v>0</v>
      </c>
      <c r="P10" s="11">
        <f>IF(ISNUMBER(H10),(Params!$G$23-MAX(Params!$G$22,MIN(Params!$G$23,H10)))/(Params!$G$23-Params!$G$22)*100,"")</f>
        <v>0</v>
      </c>
      <c r="Q10" s="11">
        <f t="shared" si="1"/>
        <v>0</v>
      </c>
      <c r="R10" s="11">
        <f t="shared" si="2"/>
        <v>0</v>
      </c>
      <c r="S10" s="12">
        <f t="shared" si="3"/>
        <v>17.98822894922889</v>
      </c>
      <c r="T10"/>
    </row>
    <row r="11" spans="1:20" ht="20" customHeight="1">
      <c r="A11" s="35" t="str">
        <v>Canada</v>
      </c>
      <c r="B11" s="35" t="str">
        <v>CAN</v>
      </c>
      <c r="C11" s="61">
        <v>33.648148148148103</v>
      </c>
      <c r="D11" s="61">
        <f>_xlfn.XLOOKUP($B11,[1]pillars_WIP!$B$7:$B$501,[1]pillars_WIP!$I$7:$I$501,"Missing",0)</f>
        <v>0</v>
      </c>
      <c r="E11" s="61">
        <f>_xlfn.XLOOKUP($B11,[1]pillars_WIP!$B$7:$B$501,[1]pillars_WIP!$J$7:$J$501,"Missing",0)</f>
        <v>0</v>
      </c>
      <c r="F11" s="61">
        <f>_xlfn.XLOOKUP($B11,[1]pillars_WIP!$B$7:$B$501,[1]pillars_WIP!$K$7:$K$501,"Missing",0)</f>
        <v>-0.76</v>
      </c>
      <c r="G11" s="61">
        <f>_xlfn.XLOOKUP($B11,[1]pillars_WIP!$B$7:$B$501,[1]pillars_WIP!$L$7:$L$501,"Missing",0)</f>
        <v>-0.2202857142857145</v>
      </c>
      <c r="H11" s="61">
        <f>_xlfn.XLOOKUP($B11,[1]pillars_WIP!$B$7:$B$501,[1]pillars_WIP!$M$7:$M$501,"Missing",0)</f>
        <v>3.1448571428571412</v>
      </c>
      <c r="I11" s="33">
        <f>_xlfn.XLOOKUP($B11,[1]pillars_WIP!$B$7:$B$501,[1]pillars_WIP!$N$7:$N$501,"Missing",0)</f>
        <v>100</v>
      </c>
      <c r="J11" s="58">
        <f>IF($B11="","",_xlfn.XLOOKUP($B11,[1]pillars_WIP!$B$7:$B$501,[1]pillars_WIP!$O$7:$O$501,"Missing",0))</f>
        <v>75</v>
      </c>
      <c r="K11" s="11">
        <f t="shared" si="0"/>
        <v>33.648148148148103</v>
      </c>
      <c r="L11" s="11">
        <f>IF(ISNUMBER(D11),IF(Params!$G$16=0,100,(1-MIN(MAX(D11,0),Params!$G$16)/Params!$G$16)*100),"")</f>
        <v>100</v>
      </c>
      <c r="M11" s="11">
        <f>IF(ISNUMBER(E11),IF(Params!$G$17=0,100,(1-MIN(MAX(E11,0),Params!$G$17)/Params!$G$17)*100),"")</f>
        <v>100</v>
      </c>
      <c r="N11" s="11">
        <f>IF(ISNUMBER(F11),(Params!$G$19-MAX(Params!$G$18,MIN(Params!$G$19,F11)))/(Params!$G$19-Params!$G$18)*100,"")</f>
        <v>54.281003125538362</v>
      </c>
      <c r="O11" s="11">
        <f>IF(ISNUMBER(G11),(MAX(Params!$G$20,MIN(Params!$G$21,G11))-Params!$G$20)/(Params!$G$21-Params!$G$20)*100,"")</f>
        <v>0.43355425647221668</v>
      </c>
      <c r="P11" s="11">
        <f>IF(ISNUMBER(H11),(Params!$G$23-MAX(Params!$G$22,MIN(Params!$G$23,H11)))/(Params!$G$23-Params!$G$22)*100,"")</f>
        <v>2.2338232561355702</v>
      </c>
      <c r="Q11" s="11">
        <f t="shared" si="1"/>
        <v>100</v>
      </c>
      <c r="R11" s="11">
        <f t="shared" si="2"/>
        <v>75</v>
      </c>
      <c r="S11" s="12">
        <f t="shared" si="3"/>
        <v>61.782230524109885</v>
      </c>
      <c r="T11"/>
    </row>
    <row r="12" spans="1:20" ht="20" customHeight="1">
      <c r="A12" s="35" t="str">
        <v>Chile</v>
      </c>
      <c r="B12" s="35" t="str">
        <v>CHL</v>
      </c>
      <c r="C12" s="61">
        <f>_xlfn.XLOOKUP($B12,[1]pillars_WIP!$B$7:$B$501,[1]pillars_WIP!$H$7:$H$501,"Missing",0)</f>
        <v>67.0555555555555</v>
      </c>
      <c r="D12" s="61">
        <f>_xlfn.XLOOKUP($B12,[1]pillars_WIP!$B$7:$B$501,[1]pillars_WIP!$I$7:$I$501,"Missing",0)</f>
        <v>0</v>
      </c>
      <c r="E12" s="61">
        <f>_xlfn.XLOOKUP($B12,[1]pillars_WIP!$B$7:$B$501,[1]pillars_WIP!$J$7:$J$501,"Missing",0)</f>
        <v>0</v>
      </c>
      <c r="F12" s="61">
        <f>_xlfn.XLOOKUP($B12,[1]pillars_WIP!$B$7:$B$501,[1]pillars_WIP!$K$7:$K$501,"Missing",0)</f>
        <v>-4.0505714285714287</v>
      </c>
      <c r="G12" s="61">
        <f>_xlfn.XLOOKUP($B12,[1]pillars_WIP!$B$7:$B$501,[1]pillars_WIP!$L$7:$L$501,"Missing",0)</f>
        <v>4.8477142857142868</v>
      </c>
      <c r="H12" s="61">
        <f>_xlfn.XLOOKUP($B12,[1]pillars_WIP!$B$7:$B$501,[1]pillars_WIP!$M$7:$M$501,"Missing",0)</f>
        <v>-41.159142857142854</v>
      </c>
      <c r="I12" s="33">
        <f>_xlfn.XLOOKUP($B12,[1]pillars_WIP!$B$7:$B$501,[1]pillars_WIP!$N$7:$N$501,"Missing",0)</f>
        <v>100</v>
      </c>
      <c r="J12" s="58">
        <f>IF($B12="","",_xlfn.XLOOKUP($B12,[1]pillars_WIP!$B$7:$B$501,[1]pillars_WIP!$O$7:$O$501,"Missing",0))</f>
        <v>100</v>
      </c>
      <c r="K12" s="11">
        <f t="shared" si="0"/>
        <v>67.0555555555555</v>
      </c>
      <c r="L12" s="11">
        <f>IF(ISNUMBER(D12),IF(Params!$G$16=0,100,(1-MIN(MAX(D12,0),Params!$G$16)/Params!$G$16)*100),"")</f>
        <v>100</v>
      </c>
      <c r="M12" s="11">
        <f>IF(ISNUMBER(E12),IF(Params!$G$17=0,100,(1-MIN(MAX(E12,0),Params!$G$17)/Params!$G$17)*100),"")</f>
        <v>100</v>
      </c>
      <c r="N12" s="11">
        <f>IF(ISNUMBER(F12),(Params!$G$19-MAX(Params!$G$18,MIN(Params!$G$19,F12)))/(Params!$G$19-Params!$G$18)*100,"")</f>
        <v>100</v>
      </c>
      <c r="O12" s="11">
        <f>IF(ISNUMBER(G12),(MAX(Params!$G$20,MIN(Params!$G$21,G12))-Params!$G$20)/(Params!$G$21-Params!$G$20)*100,"")</f>
        <v>100</v>
      </c>
      <c r="P12" s="11">
        <f>IF(ISNUMBER(H12),(Params!$G$23-MAX(Params!$G$22,MIN(Params!$G$23,H12)))/(Params!$G$23-Params!$G$22)*100,"")</f>
        <v>100</v>
      </c>
      <c r="Q12" s="11">
        <f t="shared" si="1"/>
        <v>100</v>
      </c>
      <c r="R12" s="11">
        <f t="shared" si="2"/>
        <v>100</v>
      </c>
      <c r="S12" s="12">
        <f t="shared" si="3"/>
        <v>96.046666666666653</v>
      </c>
      <c r="T12"/>
    </row>
    <row r="13" spans="1:20" ht="20" customHeight="1">
      <c r="A13" s="35" t="str">
        <v>China</v>
      </c>
      <c r="B13" s="35" t="str">
        <v>CHN</v>
      </c>
      <c r="C13" s="61">
        <f>_xlfn.XLOOKUP($B13,[1]pillars_WIP!$B$7:$B$501,[1]pillars_WIP!$H$7:$H$501,"Missing",0)</f>
        <v>58.410052910052897</v>
      </c>
      <c r="D13" s="61">
        <f>_xlfn.XLOOKUP($B13,[1]pillars_WIP!$B$7:$B$501,[1]pillars_WIP!$I$7:$I$501,"Missing",0)</f>
        <v>0.34141126491882545</v>
      </c>
      <c r="E13" s="61">
        <f>_xlfn.XLOOKUP($B13,[1]pillars_WIP!$B$7:$B$501,[1]pillars_WIP!$J$7:$J$501,"Missing",0)</f>
        <v>0.166551548971939</v>
      </c>
      <c r="F13" s="61">
        <f>_xlfn.XLOOKUP($B13,[1]pillars_WIP!$B$7:$B$501,[1]pillars_WIP!$K$7:$K$501,"Missing",0)</f>
        <v>-1.2379999999999991</v>
      </c>
      <c r="G13" s="61">
        <f>_xlfn.XLOOKUP($B13,[1]pillars_WIP!$B$7:$B$501,[1]pillars_WIP!$L$7:$L$501,"Missing",0)</f>
        <v>1.2371428571428573</v>
      </c>
      <c r="H13" s="61">
        <f>_xlfn.XLOOKUP($B13,[1]pillars_WIP!$B$7:$B$501,[1]pillars_WIP!$M$7:$M$501,"Missing",0)</f>
        <v>-11.520000000000001</v>
      </c>
      <c r="I13" s="33">
        <f>_xlfn.XLOOKUP($B13,[1]pillars_WIP!$B$7:$B$501,[1]pillars_WIP!$N$7:$N$501,"Missing",0)</f>
        <v>100</v>
      </c>
      <c r="J13" s="58">
        <f>IF($B13="","",_xlfn.XLOOKUP($B13,[1]pillars_WIP!$B$7:$B$501,[1]pillars_WIP!$O$7:$O$501,"Missing",0))</f>
        <v>0</v>
      </c>
      <c r="K13" s="11">
        <f t="shared" si="0"/>
        <v>58.410052910052897</v>
      </c>
      <c r="L13" s="11">
        <f>IF(ISNUMBER(D13),IF(Params!$G$16=0,100,(1-MIN(MAX(D13,0),Params!$G$16)/Params!$G$16)*100),"")</f>
        <v>75.679681922099491</v>
      </c>
      <c r="M13" s="11">
        <f>IF(ISNUMBER(E13),IF(Params!$G$17=0,100,(1-MIN(MAX(E13,0),Params!$G$17)/Params!$G$17)*100),"")</f>
        <v>8.6092233949411892</v>
      </c>
      <c r="N13" s="11">
        <f>IF(ISNUMBER(F13),(Params!$G$19-MAX(Params!$G$18,MIN(Params!$G$19,F13)))/(Params!$G$19-Params!$G$18)*100,"")</f>
        <v>62.515689218123185</v>
      </c>
      <c r="O13" s="11">
        <f>IF(ISNUMBER(G13),(MAX(Params!$G$20,MIN(Params!$G$21,G13))-Params!$G$20)/(Params!$G$21-Params!$G$20)*100,"")</f>
        <v>36.688640523108084</v>
      </c>
      <c r="P13" s="11">
        <f>IF(ISNUMBER(H13),(Params!$G$23-MAX(Params!$G$22,MIN(Params!$G$23,H13)))/(Params!$G$23-Params!$G$22)*100,"")</f>
        <v>46.596541873922313</v>
      </c>
      <c r="Q13" s="11">
        <f t="shared" si="1"/>
        <v>100</v>
      </c>
      <c r="R13" s="11">
        <f t="shared" si="2"/>
        <v>0</v>
      </c>
      <c r="S13" s="12">
        <f t="shared" si="3"/>
        <v>43.783305182996749</v>
      </c>
      <c r="T13"/>
    </row>
    <row r="14" spans="1:20" ht="20" customHeight="1">
      <c r="A14" s="35" t="str">
        <v>Czech Republic</v>
      </c>
      <c r="B14" s="35" t="str">
        <v>CZE</v>
      </c>
      <c r="C14" s="61">
        <f>_xlfn.XLOOKUP($B14,[1]pillars_WIP!$B$7:$B$501,[1]pillars_WIP!$H$7:$H$501,"Missing",0)</f>
        <v>77.703703703703695</v>
      </c>
      <c r="D14" s="61">
        <f>_xlfn.XLOOKUP($B14,[1]pillars_WIP!$B$7:$B$501,[1]pillars_WIP!$I$7:$I$501,"Missing",0)</f>
        <v>0</v>
      </c>
      <c r="E14" s="61">
        <f>_xlfn.XLOOKUP($B14,[1]pillars_WIP!$B$7:$B$501,[1]pillars_WIP!$J$7:$J$501,"Missing",0)</f>
        <v>0</v>
      </c>
      <c r="F14" s="61">
        <f>_xlfn.XLOOKUP($B14,[1]pillars_WIP!$B$7:$B$501,[1]pillars_WIP!$K$7:$K$501,"Missing",0)</f>
        <v>-0.85885714285714254</v>
      </c>
      <c r="G14" s="61">
        <f>_xlfn.XLOOKUP($B14,[1]pillars_WIP!$B$7:$B$501,[1]pillars_WIP!$L$7:$L$501,"Missing",0)</f>
        <v>0.89314285714285713</v>
      </c>
      <c r="H14" s="61">
        <f>_xlfn.XLOOKUP($B14,[1]pillars_WIP!$B$7:$B$501,[1]pillars_WIP!$M$7:$M$501,"Missing",0)</f>
        <v>-13.785428571428568</v>
      </c>
      <c r="I14" s="33">
        <f>_xlfn.XLOOKUP($B14,[1]pillars_WIP!$B$7:$B$501,[1]pillars_WIP!$N$7:$N$501,"Missing",0)</f>
        <v>100</v>
      </c>
      <c r="J14" s="58">
        <f>IF($B14="","",_xlfn.XLOOKUP($B14,[1]pillars_WIP!$B$7:$B$501,[1]pillars_WIP!$O$7:$O$501,"Missing",0))</f>
        <v>75</v>
      </c>
      <c r="K14" s="11">
        <f t="shared" si="0"/>
        <v>77.703703703703695</v>
      </c>
      <c r="L14" s="11">
        <f>IF(ISNUMBER(D14),IF(Params!$G$16=0,100,(1-MIN(MAX(D14,0),Params!$G$16)/Params!$G$16)*100),"")</f>
        <v>100</v>
      </c>
      <c r="M14" s="11">
        <f>IF(ISNUMBER(E14),IF(Params!$G$17=0,100,(1-MIN(MAX(E14,0),Params!$G$17)/Params!$G$17)*100),"")</f>
        <v>100</v>
      </c>
      <c r="N14" s="11">
        <f>IF(ISNUMBER(F14),(Params!$G$19-MAX(Params!$G$18,MIN(Params!$G$19,F14)))/(Params!$G$19-Params!$G$18)*100,"")</f>
        <v>55.98405237122536</v>
      </c>
      <c r="O14" s="11">
        <f>IF(ISNUMBER(G14),(MAX(Params!$G$20,MIN(Params!$G$21,G14))-Params!$G$20)/(Params!$G$21-Params!$G$20)*100,"")</f>
        <v>28.131274542902325</v>
      </c>
      <c r="P14" s="11">
        <f>IF(ISNUMBER(H14),(Params!$G$23-MAX(Params!$G$22,MIN(Params!$G$23,H14)))/(Params!$G$23-Params!$G$22)*100,"")</f>
        <v>53.449699002147824</v>
      </c>
      <c r="Q14" s="11">
        <f t="shared" si="1"/>
        <v>100</v>
      </c>
      <c r="R14" s="11">
        <f t="shared" si="2"/>
        <v>75</v>
      </c>
      <c r="S14" s="12">
        <f t="shared" si="3"/>
        <v>74.694259594311589</v>
      </c>
      <c r="T14"/>
    </row>
    <row r="15" spans="1:20" ht="20" customHeight="1">
      <c r="A15" s="35" t="str">
        <v>Dominican Republic</v>
      </c>
      <c r="B15" s="35" t="str">
        <v>DOM</v>
      </c>
      <c r="C15" s="61">
        <f>_xlfn.XLOOKUP($B15,[1]pillars_WIP!$B$7:$B$501,[1]pillars_WIP!$H$7:$H$501,"Missing",0)</f>
        <v>31.2486772486772</v>
      </c>
      <c r="D15" s="61">
        <f>_xlfn.XLOOKUP($B15,[1]pillars_WIP!$B$7:$B$501,[1]pillars_WIP!$I$7:$I$501,"Missing",0)</f>
        <v>0</v>
      </c>
      <c r="E15" s="61">
        <f>_xlfn.XLOOKUP($B15,[1]pillars_WIP!$B$7:$B$501,[1]pillars_WIP!$J$7:$J$501,"Missing",0)</f>
        <v>0</v>
      </c>
      <c r="F15" s="61">
        <f>_xlfn.XLOOKUP($B15,[1]pillars_WIP!$B$7:$B$501,[1]pillars_WIP!$K$7:$K$501,"Missing",0)</f>
        <v>2.1134285714285714</v>
      </c>
      <c r="G15" s="61">
        <f>_xlfn.XLOOKUP($B15,[1]pillars_WIP!$B$7:$B$501,[1]pillars_WIP!$L$7:$L$501,"Missing",0)</f>
        <v>1.0151428571428571</v>
      </c>
      <c r="H15" s="61">
        <f>_xlfn.XLOOKUP($B15,[1]pillars_WIP!$B$7:$B$501,[1]pillars_WIP!$M$7:$M$501,"Missing",0)</f>
        <v>-1.7060000000000108</v>
      </c>
      <c r="I15" s="33">
        <f>_xlfn.XLOOKUP($B15,[1]pillars_WIP!$B$7:$B$501,[1]pillars_WIP!$N$7:$N$501,"Missing",0)</f>
        <v>20</v>
      </c>
      <c r="J15" s="58">
        <f>IF($B15="","",_xlfn.XLOOKUP($B15,[1]pillars_WIP!$B$7:$B$501,[1]pillars_WIP!$O$7:$O$501,"Missing",0))</f>
        <v>0</v>
      </c>
      <c r="K15" s="11">
        <f t="shared" si="0"/>
        <v>31.2486772486772</v>
      </c>
      <c r="L15" s="11">
        <f>IF(ISNUMBER(D15),IF(Params!$G$16=0,100,(1-MIN(MAX(D15,0),Params!$G$16)/Params!$G$16)*100),"")</f>
        <v>100</v>
      </c>
      <c r="M15" s="11">
        <f>IF(ISNUMBER(E15),IF(Params!$G$17=0,100,(1-MIN(MAX(E15,0),Params!$G$17)/Params!$G$17)*100),"")</f>
        <v>100</v>
      </c>
      <c r="N15" s="11">
        <f>IF(ISNUMBER(F15),(Params!$G$19-MAX(Params!$G$18,MIN(Params!$G$19,F15)))/(Params!$G$19-Params!$G$18)*100,"")</f>
        <v>4.7793665247458987</v>
      </c>
      <c r="O15" s="11">
        <f>IF(ISNUMBER(G15),(MAX(Params!$G$20,MIN(Params!$G$21,G15))-Params!$G$20)/(Params!$G$21-Params!$G$20)*100,"")</f>
        <v>31.166154338207853</v>
      </c>
      <c r="P15" s="11">
        <f>IF(ISNUMBER(H15),(Params!$G$23-MAX(Params!$G$22,MIN(Params!$G$23,H15)))/(Params!$G$23-Params!$G$22)*100,"")</f>
        <v>16.908170806017402</v>
      </c>
      <c r="Q15" s="11">
        <f t="shared" si="1"/>
        <v>20</v>
      </c>
      <c r="R15" s="11">
        <f t="shared" si="2"/>
        <v>0</v>
      </c>
      <c r="S15" s="12">
        <f t="shared" si="3"/>
        <v>39.015957437877105</v>
      </c>
      <c r="T15"/>
    </row>
    <row r="16" spans="1:20" ht="20" customHeight="1">
      <c r="A16" s="35" t="str">
        <v>Germany</v>
      </c>
      <c r="B16" s="35" t="str">
        <v>DEU</v>
      </c>
      <c r="C16" s="61">
        <f>_xlfn.XLOOKUP($B16,[1]pillars_WIP!$B$7:$B$501,[1]pillars_WIP!$H$7:$H$501,"Missing",0)</f>
        <v>85.941798941798893</v>
      </c>
      <c r="D16" s="61">
        <f>_xlfn.XLOOKUP($B16,[1]pillars_WIP!$B$7:$B$501,[1]pillars_WIP!$I$7:$I$501,"Missing",0)</f>
        <v>0</v>
      </c>
      <c r="E16" s="61">
        <f>_xlfn.XLOOKUP($B16,[1]pillars_WIP!$B$7:$B$501,[1]pillars_WIP!$J$7:$J$501,"Missing",0)</f>
        <v>0</v>
      </c>
      <c r="F16" s="61">
        <f>_xlfn.XLOOKUP($B16,[1]pillars_WIP!$B$7:$B$501,[1]pillars_WIP!$K$7:$K$501,"Missing",0)</f>
        <v>-0.84914285714285709</v>
      </c>
      <c r="G16" s="61">
        <f>_xlfn.XLOOKUP($B16,[1]pillars_WIP!$B$7:$B$501,[1]pillars_WIP!$L$7:$L$501,"Missing",0)</f>
        <v>3.640857142857143</v>
      </c>
      <c r="H16" s="61">
        <f>_xlfn.XLOOKUP($B16,[1]pillars_WIP!$B$7:$B$501,[1]pillars_WIP!$M$7:$M$501,"Missing",0)</f>
        <v>-6.6748571428571415</v>
      </c>
      <c r="I16" s="33">
        <f>_xlfn.XLOOKUP($B16,[1]pillars_WIP!$B$7:$B$501,[1]pillars_WIP!$N$7:$N$501,"Missing",0)</f>
        <v>100</v>
      </c>
      <c r="J16" s="58">
        <f>IF($B16="","",_xlfn.XLOOKUP($B16,[1]pillars_WIP!$B$7:$B$501,[1]pillars_WIP!$O$7:$O$501,"Missing",0))</f>
        <v>100</v>
      </c>
      <c r="K16" s="11">
        <f t="shared" si="0"/>
        <v>85.941798941798893</v>
      </c>
      <c r="L16" s="11">
        <f>IF(ISNUMBER(D16),IF(Params!$G$16=0,100,(1-MIN(MAX(D16,0),Params!$G$16)/Params!$G$16)*100),"")</f>
        <v>100</v>
      </c>
      <c r="M16" s="11">
        <f>IF(ISNUMBER(E16),IF(Params!$G$17=0,100,(1-MIN(MAX(E16,0),Params!$G$17)/Params!$G$17)*100),"")</f>
        <v>100</v>
      </c>
      <c r="N16" s="11">
        <f>IF(ISNUMBER(F16),(Params!$G$19-MAX(Params!$G$18,MIN(Params!$G$19,F16)))/(Params!$G$19-Params!$G$18)*100,"")</f>
        <v>55.816700711244557</v>
      </c>
      <c r="O16" s="11">
        <f>IF(ISNUMBER(G16),(MAX(Params!$G$20,MIN(Params!$G$21,G16))-Params!$G$20)/(Params!$G$21-Params!$G$20)*100,"")</f>
        <v>96.483590682137205</v>
      </c>
      <c r="P16" s="11">
        <f>IF(ISNUMBER(H16),(Params!$G$23-MAX(Params!$G$22,MIN(Params!$G$23,H16)))/(Params!$G$23-Params!$G$22)*100,"")</f>
        <v>31.939480632851769</v>
      </c>
      <c r="Q16" s="11">
        <f t="shared" si="1"/>
        <v>100</v>
      </c>
      <c r="R16" s="11">
        <f t="shared" si="2"/>
        <v>100</v>
      </c>
      <c r="S16" s="12">
        <f t="shared" si="3"/>
        <v>87.14420929084983</v>
      </c>
      <c r="T16"/>
    </row>
    <row r="17" spans="1:20" ht="20" customHeight="1">
      <c r="A17" s="35" t="str">
        <v>Hong Kong</v>
      </c>
      <c r="B17" s="35" t="str">
        <v>HKG</v>
      </c>
      <c r="C17" s="87">
        <v>59.825396825396794</v>
      </c>
      <c r="D17" s="61">
        <f>_xlfn.XLOOKUP($B17,[1]pillars_WIP!$B$7:$B$501,[1]pillars_WIP!$I$7:$I$501,"Missing",0)</f>
        <v>0</v>
      </c>
      <c r="E17" s="61">
        <f>_xlfn.XLOOKUP($B17,[1]pillars_WIP!$B$7:$B$501,[1]pillars_WIP!$J$7:$J$501,"Missing",0)</f>
        <v>0</v>
      </c>
      <c r="F17" s="61">
        <f>_xlfn.XLOOKUP($B17,[1]pillars_WIP!$B$7:$B$501,[1]pillars_WIP!$K$7:$K$501,"Missing",0)</f>
        <v>-3.5694285714285714</v>
      </c>
      <c r="G17" s="61">
        <f>_xlfn.XLOOKUP($B17,[1]pillars_WIP!$B$7:$B$501,[1]pillars_WIP!$L$7:$L$501,"Missing",0)</f>
        <v>0.12628571428571428</v>
      </c>
      <c r="H17" s="61">
        <f>_xlfn.XLOOKUP($B17,[1]pillars_WIP!$B$7:$B$501,[1]pillars_WIP!$M$7:$M$501,"Missing",0)</f>
        <v>-15.553142857142845</v>
      </c>
      <c r="I17" s="33">
        <f>_xlfn.XLOOKUP($B17,[1]pillars_WIP!$B$7:$B$501,[1]pillars_WIP!$N$7:$N$501,"Missing",0)</f>
        <v>0</v>
      </c>
      <c r="J17" s="58">
        <f>IF($B17="","",_xlfn.XLOOKUP($B17,[1]pillars_WIP!$B$7:$B$501,[1]pillars_WIP!$O$7:$O$501,"Missing",0))</f>
        <v>75</v>
      </c>
      <c r="K17" s="85">
        <f t="shared" si="0"/>
        <v>59.825396825396794</v>
      </c>
      <c r="L17" s="11">
        <f>IF(ISNUMBER(D17),IF(Params!$G$16=0,100,(1-MIN(MAX(D17,0),Params!$G$16)/Params!$G$16)*100),"")</f>
        <v>100</v>
      </c>
      <c r="M17" s="11">
        <f>IF(ISNUMBER(E17),IF(Params!$G$17=0,100,(1-MIN(MAX(E17,0),Params!$G$17)/Params!$G$17)*100),"")</f>
        <v>100</v>
      </c>
      <c r="N17" s="11">
        <f>IF(ISNUMBER(F17),(Params!$G$19-MAX(Params!$G$18,MIN(Params!$G$19,F17)))/(Params!$G$19-Params!$G$18)*100,"")</f>
        <v>100</v>
      </c>
      <c r="O17" s="11">
        <f>IF(ISNUMBER(G17),(MAX(Params!$G$20,MIN(Params!$G$21,G17))-Params!$G$20)/(Params!$G$21-Params!$G$20)*100,"")</f>
        <v>9.0548872581247011</v>
      </c>
      <c r="P17" s="11">
        <f>IF(ISNUMBER(H17),(Params!$G$23-MAX(Params!$G$22,MIN(Params!$G$23,H17)))/(Params!$G$23-Params!$G$22)*100,"")</f>
        <v>58.797218632912241</v>
      </c>
      <c r="Q17" s="11">
        <f t="shared" si="1"/>
        <v>0</v>
      </c>
      <c r="R17" s="11">
        <f t="shared" si="2"/>
        <v>75</v>
      </c>
      <c r="S17" s="86">
        <f t="shared" si="3"/>
        <v>67.96941158065556</v>
      </c>
      <c r="T17"/>
    </row>
    <row r="18" spans="1:20" ht="20" customHeight="1">
      <c r="A18" s="35" t="str">
        <v>India</v>
      </c>
      <c r="B18" s="35" t="str">
        <v>IND</v>
      </c>
      <c r="C18" s="61">
        <f>_xlfn.XLOOKUP($B18,[1]pillars_WIP!$B$7:$B$501,[1]pillars_WIP!$H$7:$H$501,"Missing",0)</f>
        <v>67.785185185185099</v>
      </c>
      <c r="D18" s="61">
        <f>_xlfn.XLOOKUP($B18,[1]pillars_WIP!$B$7:$B$501,[1]pillars_WIP!$I$7:$I$501,"Missing",0)</f>
        <v>0.72016670888816581</v>
      </c>
      <c r="E18" s="61">
        <f>_xlfn.XLOOKUP($B18,[1]pillars_WIP!$B$7:$B$501,[1]pillars_WIP!$J$7:$J$501,"Missing",0)</f>
        <v>9.4007868806796416E-2</v>
      </c>
      <c r="F18" s="61">
        <f>_xlfn.XLOOKUP($B18,[1]pillars_WIP!$B$7:$B$501,[1]pillars_WIP!$K$7:$K$501,"Missing",0)</f>
        <v>0.12942857142857186</v>
      </c>
      <c r="G18" s="61">
        <f>_xlfn.XLOOKUP($B18,[1]pillars_WIP!$B$7:$B$501,[1]pillars_WIP!$L$7:$L$501,"Missing",0)</f>
        <v>0.37657142857142806</v>
      </c>
      <c r="H18" s="61">
        <f>_xlfn.XLOOKUP($B18,[1]pillars_WIP!$B$7:$B$501,[1]pillars_WIP!$M$7:$M$501,"Missing",0)</f>
        <v>-2.3711428571428508</v>
      </c>
      <c r="I18" s="33">
        <f>_xlfn.XLOOKUP($B18,[1]pillars_WIP!$B$7:$B$501,[1]pillars_WIP!$N$7:$N$501,"Missing",0)</f>
        <v>100</v>
      </c>
      <c r="J18" s="58">
        <f>IF($B18="","",_xlfn.XLOOKUP($B18,[1]pillars_WIP!$B$7:$B$501,[1]pillars_WIP!$O$7:$O$501,"Missing",0))</f>
        <v>0</v>
      </c>
      <c r="K18" s="11">
        <f t="shared" si="0"/>
        <v>67.785185185185099</v>
      </c>
      <c r="L18" s="11">
        <f>IF(ISNUMBER(D18),IF(Params!$G$16=0,100,(1-MIN(MAX(D18,0),Params!$G$16)/Params!$G$16)*100),"")</f>
        <v>48.69916365109016</v>
      </c>
      <c r="M18" s="11">
        <f>IF(ISNUMBER(E18),IF(Params!$G$17=0,100,(1-MIN(MAX(E18,0),Params!$G$17)/Params!$G$17)*100),"")</f>
        <v>48.415657553043133</v>
      </c>
      <c r="N18" s="11">
        <f>IF(ISNUMBER(F18),(Params!$G$19-MAX(Params!$G$18,MIN(Params!$G$19,F18)))/(Params!$G$19-Params!$G$18)*100,"")</f>
        <v>38.958482022001817</v>
      </c>
      <c r="O18" s="11">
        <f>IF(ISNUMBER(G18),(MAX(Params!$G$20,MIN(Params!$G$21,G18))-Params!$G$20)/(Params!$G$21-Params!$G$20)*100,"")</f>
        <v>15.281010678938845</v>
      </c>
      <c r="P18" s="11">
        <f>IF(ISNUMBER(H18),(Params!$G$23-MAX(Params!$G$22,MIN(Params!$G$23,H18)))/(Params!$G$23-Params!$G$22)*100,"")</f>
        <v>18.920297151648455</v>
      </c>
      <c r="Q18" s="11">
        <f t="shared" si="1"/>
        <v>100</v>
      </c>
      <c r="R18" s="11">
        <f t="shared" si="2"/>
        <v>0</v>
      </c>
      <c r="S18" s="12">
        <f t="shared" si="3"/>
        <v>37.758330209006573</v>
      </c>
      <c r="T18"/>
    </row>
    <row r="19" spans="1:20" ht="20" customHeight="1">
      <c r="A19" s="35" t="str">
        <v>Indonesia</v>
      </c>
      <c r="B19" s="35" t="str">
        <v>IDN</v>
      </c>
      <c r="C19" s="61">
        <f>_xlfn.XLOOKUP($B19,[1]pillars_WIP!$B$7:$B$501,[1]pillars_WIP!$H$7:$H$501,"Missing",0)</f>
        <v>46.6666666666666</v>
      </c>
      <c r="D19" s="61">
        <f>_xlfn.XLOOKUP($B19,[1]pillars_WIP!$B$7:$B$501,[1]pillars_WIP!$I$7:$I$501,"Missing",0)</f>
        <v>0.24553328742797087</v>
      </c>
      <c r="E19" s="61">
        <f>_xlfn.XLOOKUP($B19,[1]pillars_WIP!$B$7:$B$501,[1]pillars_WIP!$J$7:$J$501,"Missing",0)</f>
        <v>5.1725898861041834E-2</v>
      </c>
      <c r="F19" s="61">
        <f>_xlfn.XLOOKUP($B19,[1]pillars_WIP!$B$7:$B$501,[1]pillars_WIP!$K$7:$K$501,"Missing",0)</f>
        <v>0.33714285714285647</v>
      </c>
      <c r="G19" s="61">
        <f>_xlfn.XLOOKUP($B19,[1]pillars_WIP!$B$7:$B$501,[1]pillars_WIP!$L$7:$L$501,"Missing",0)</f>
        <v>0.34199999999999986</v>
      </c>
      <c r="H19" s="61">
        <f>_xlfn.XLOOKUP($B19,[1]pillars_WIP!$B$7:$B$501,[1]pillars_WIP!$M$7:$M$501,"Missing",0)</f>
        <v>-2.5557142857142807</v>
      </c>
      <c r="I19" s="33">
        <f>_xlfn.XLOOKUP($B19,[1]pillars_WIP!$B$7:$B$501,[1]pillars_WIP!$N$7:$N$501,"Missing",0)</f>
        <v>100</v>
      </c>
      <c r="J19" s="58">
        <f>IF($B19="","",_xlfn.XLOOKUP($B19,[1]pillars_WIP!$B$7:$B$501,[1]pillars_WIP!$O$7:$O$501,"Missing",0))</f>
        <v>0</v>
      </c>
      <c r="K19" s="11">
        <f t="shared" si="0"/>
        <v>46.6666666666666</v>
      </c>
      <c r="L19" s="11">
        <f>IF(ISNUMBER(D19),IF(Params!$G$16=0,100,(1-MIN(MAX(D19,0),Params!$G$16)/Params!$G$16)*100),"")</f>
        <v>82.509517808732525</v>
      </c>
      <c r="M19" s="11">
        <f>IF(ISNUMBER(E19),IF(Params!$G$17=0,100,(1-MIN(MAX(E19,0),Params!$G$17)/Params!$G$17)*100),"")</f>
        <v>71.61677512646969</v>
      </c>
      <c r="N19" s="11">
        <f>IF(ISNUMBER(F19),(Params!$G$19-MAX(Params!$G$18,MIN(Params!$G$19,F19)))/(Params!$G$19-Params!$G$18)*100,"")</f>
        <v>35.380109763000533</v>
      </c>
      <c r="O19" s="11">
        <f>IF(ISNUMBER(G19),(MAX(Params!$G$20,MIN(Params!$G$21,G19))-Params!$G$20)/(Params!$G$21-Params!$G$20)*100,"")</f>
        <v>14.42100961282183</v>
      </c>
      <c r="P19" s="11">
        <f>IF(ISNUMBER(H19),(Params!$G$23-MAX(Params!$G$22,MIN(Params!$G$23,H19)))/(Params!$G$23-Params!$G$22)*100,"")</f>
        <v>19.478644926252276</v>
      </c>
      <c r="Q19" s="11">
        <f t="shared" si="1"/>
        <v>100</v>
      </c>
      <c r="R19" s="11">
        <f t="shared" si="2"/>
        <v>0</v>
      </c>
      <c r="S19" s="12">
        <f t="shared" si="3"/>
        <v>42.92996178377242</v>
      </c>
      <c r="T19"/>
    </row>
    <row r="20" spans="1:20" ht="20" customHeight="1">
      <c r="A20" s="35" t="str">
        <v>Japan</v>
      </c>
      <c r="B20" s="35" t="str">
        <v>JPN</v>
      </c>
      <c r="C20" s="61">
        <f>_xlfn.XLOOKUP($B20,[1]pillars_WIP!$B$7:$B$501,[1]pillars_WIP!$H$7:$H$501,"Missing",0)</f>
        <v>63.537037037037003</v>
      </c>
      <c r="D20" s="61">
        <f>_xlfn.XLOOKUP($B20,[1]pillars_WIP!$B$7:$B$501,[1]pillars_WIP!$I$7:$I$501,"Missing",0)</f>
        <v>1.8867924528301886E-2</v>
      </c>
      <c r="E20" s="61">
        <f>_xlfn.XLOOKUP($B20,[1]pillars_WIP!$B$7:$B$501,[1]pillars_WIP!$J$7:$J$501,"Missing",0)</f>
        <v>0</v>
      </c>
      <c r="F20" s="61">
        <f>_xlfn.XLOOKUP($B20,[1]pillars_WIP!$B$7:$B$501,[1]pillars_WIP!$K$7:$K$501,"Missing",0)</f>
        <v>-0.28485714285714342</v>
      </c>
      <c r="G20" s="61">
        <f>_xlfn.XLOOKUP($B20,[1]pillars_WIP!$B$7:$B$501,[1]pillars_WIP!$L$7:$L$501,"Missing",0)</f>
        <v>1.1414285714285712</v>
      </c>
      <c r="H20" s="61">
        <f>_xlfn.XLOOKUP($B20,[1]pillars_WIP!$B$7:$B$501,[1]pillars_WIP!$M$7:$M$501,"Missing",0)</f>
        <v>-9.3168571428571436</v>
      </c>
      <c r="I20" s="33">
        <f>_xlfn.XLOOKUP($B20,[1]pillars_WIP!$B$7:$B$501,[1]pillars_WIP!$N$7:$N$501,"Missing",0)</f>
        <v>100</v>
      </c>
      <c r="J20" s="58">
        <f>IF($B20="","",_xlfn.XLOOKUP($B20,[1]pillars_WIP!$B$7:$B$501,[1]pillars_WIP!$O$7:$O$501,"Missing",0))</f>
        <v>0</v>
      </c>
      <c r="K20" s="11">
        <f t="shared" si="0"/>
        <v>63.537037037037003</v>
      </c>
      <c r="L20" s="11">
        <f>IF(ISNUMBER(D20),IF(Params!$G$16=0,100,(1-MIN(MAX(D20,0),Params!$G$16)/Params!$G$16)*100),"")</f>
        <v>98.655949662038168</v>
      </c>
      <c r="M20" s="11">
        <f>IF(ISNUMBER(E20),IF(Params!$G$17=0,100,(1-MIN(MAX(E20,0),Params!$G$17)/Params!$G$17)*100),"")</f>
        <v>100</v>
      </c>
      <c r="N20" s="11">
        <f>IF(ISNUMBER(F20),(Params!$G$19-MAX(Params!$G$18,MIN(Params!$G$19,F20)))/(Params!$G$19-Params!$G$18)*100,"")</f>
        <v>46.095538109418463</v>
      </c>
      <c r="O20" s="11">
        <f>IF(ISNUMBER(G20),(MAX(Params!$G$20,MIN(Params!$G$21,G20))-Params!$G$20)/(Params!$G$21-Params!$G$20)*100,"")</f>
        <v>34.307645835924582</v>
      </c>
      <c r="P20" s="11">
        <f>IF(ISNUMBER(H20),(Params!$G$23-MAX(Params!$G$22,MIN(Params!$G$23,H20)))/(Params!$G$23-Params!$G$22)*100,"")</f>
        <v>39.931805511739569</v>
      </c>
      <c r="Q20" s="11">
        <f t="shared" si="1"/>
        <v>100</v>
      </c>
      <c r="R20" s="11">
        <f t="shared" si="2"/>
        <v>0</v>
      </c>
      <c r="S20" s="12">
        <f t="shared" si="3"/>
        <v>56.252322904750876</v>
      </c>
      <c r="T20"/>
    </row>
    <row r="21" spans="1:20" ht="20" customHeight="1">
      <c r="A21" s="35" t="str">
        <v>Kazakhstan</v>
      </c>
      <c r="B21" s="35" t="str">
        <v>KAZ</v>
      </c>
      <c r="C21" s="61">
        <f>_xlfn.XLOOKUP($B21,[1]pillars_WIP!$B$7:$B$501,[1]pillars_WIP!$H$7:$H$501,"Missing",0)</f>
        <v>24.923280423280399</v>
      </c>
      <c r="D21" s="61">
        <f>_xlfn.XLOOKUP($B21,[1]pillars_WIP!$B$7:$B$501,[1]pillars_WIP!$I$7:$I$501,"Missing",0)</f>
        <v>0.89381933438985739</v>
      </c>
      <c r="E21" s="61">
        <f>_xlfn.XLOOKUP($B21,[1]pillars_WIP!$B$7:$B$501,[1]pillars_WIP!$J$7:$J$501,"Missing",0)</f>
        <v>1.0565240359218173E-2</v>
      </c>
      <c r="F21" s="61">
        <f>_xlfn.XLOOKUP($B21,[1]pillars_WIP!$B$7:$B$501,[1]pillars_WIP!$K$7:$K$501,"Missing",0)</f>
        <v>-3.2697142857142865</v>
      </c>
      <c r="G21" s="61">
        <f>_xlfn.XLOOKUP($B21,[1]pillars_WIP!$B$7:$B$501,[1]pillars_WIP!$L$7:$L$501,"Missing",0)</f>
        <v>0.85628571428571443</v>
      </c>
      <c r="H21" s="61">
        <f>_xlfn.XLOOKUP($B21,[1]pillars_WIP!$B$7:$B$501,[1]pillars_WIP!$M$7:$M$501,"Missing",0)</f>
        <v>-6.1928571428571457</v>
      </c>
      <c r="I21" s="33">
        <f>_xlfn.XLOOKUP($B21,[1]pillars_WIP!$B$7:$B$501,[1]pillars_WIP!$N$7:$N$501,"Missing",0)</f>
        <v>100</v>
      </c>
      <c r="J21" s="58">
        <f>IF($B21="","",_xlfn.XLOOKUP($B21,[1]pillars_WIP!$B$7:$B$501,[1]pillars_WIP!$O$7:$O$501,"Missing",0))</f>
        <v>0</v>
      </c>
      <c r="K21" s="11">
        <f t="shared" si="0"/>
        <v>24.923280423280399</v>
      </c>
      <c r="L21" s="11">
        <f>IF(ISNUMBER(D21),IF(Params!$G$16=0,100,(1-MIN(MAX(D21,0),Params!$G$16)/Params!$G$16)*100),"")</f>
        <v>36.329076541434269</v>
      </c>
      <c r="M21" s="11">
        <f>IF(ISNUMBER(E21),IF(Params!$G$17=0,100,(1-MIN(MAX(E21,0),Params!$G$17)/Params!$G$17)*100),"")</f>
        <v>94.202602573148454</v>
      </c>
      <c r="N21" s="11">
        <f>IF(ISNUMBER(F21),(Params!$G$19-MAX(Params!$G$18,MIN(Params!$G$19,F21)))/(Params!$G$19-Params!$G$18)*100,"")</f>
        <v>97.516796692343689</v>
      </c>
      <c r="O21" s="11">
        <f>IF(ISNUMBER(G21),(MAX(Params!$G$20,MIN(Params!$G$21,G21))-Params!$G$20)/(Params!$G$21-Params!$G$20)*100,"")</f>
        <v>27.214413902165997</v>
      </c>
      <c r="P21" s="11">
        <f>IF(ISNUMBER(H21),(Params!$G$23-MAX(Params!$G$22,MIN(Params!$G$23,H21)))/(Params!$G$23-Params!$G$22)*100,"")</f>
        <v>30.481380484621685</v>
      </c>
      <c r="Q21" s="11">
        <f t="shared" si="1"/>
        <v>100</v>
      </c>
      <c r="R21" s="11">
        <f t="shared" si="2"/>
        <v>0</v>
      </c>
      <c r="S21" s="12">
        <f t="shared" si="3"/>
        <v>45.514013916311839</v>
      </c>
      <c r="T21"/>
    </row>
    <row r="22" spans="1:20" ht="20" customHeight="1">
      <c r="A22" s="35" t="str">
        <v>Laos</v>
      </c>
      <c r="B22" s="35" t="str">
        <v>LAO</v>
      </c>
      <c r="C22" s="61">
        <f>_xlfn.XLOOKUP($B22,[1]pillars_WIP!$B$7:$B$501,[1]pillars_WIP!$H$7:$H$501,"Missing",0)</f>
        <v>23.8941798941798</v>
      </c>
      <c r="D22" s="61">
        <f>_xlfn.XLOOKUP($B22,[1]pillars_WIP!$B$7:$B$501,[1]pillars_WIP!$I$7:$I$501,"Missing",0)</f>
        <v>2.4494142705005326</v>
      </c>
      <c r="E22" s="61">
        <f>_xlfn.XLOOKUP($B22,[1]pillars_WIP!$B$7:$B$501,[1]pillars_WIP!$J$7:$J$501,"Missing",0)</f>
        <v>0.15974440894568689</v>
      </c>
      <c r="F22" s="61">
        <f>_xlfn.XLOOKUP($B22,[1]pillars_WIP!$B$7:$B$501,[1]pillars_WIP!$K$7:$K$501,"Missing",0)</f>
        <v>-2.4037142857142859</v>
      </c>
      <c r="G22" s="61">
        <f>_xlfn.XLOOKUP($B22,[1]pillars_WIP!$B$7:$B$501,[1]pillars_WIP!$L$7:$L$501,"Missing",0)</f>
        <v>2.4037142857142859</v>
      </c>
      <c r="H22" s="61">
        <f>_xlfn.XLOOKUP($B22,[1]pillars_WIP!$B$7:$B$501,[1]pillars_WIP!$M$7:$M$501,"Missing",0)</f>
        <v>-21.513428571428566</v>
      </c>
      <c r="I22" s="33">
        <f>_xlfn.XLOOKUP($B22,[1]pillars_WIP!$B$7:$B$501,[1]pillars_WIP!$N$7:$N$501,"Missing",0)</f>
        <v>0</v>
      </c>
      <c r="J22" s="58">
        <f>IF($B22="","",_xlfn.XLOOKUP($B22,[1]pillars_WIP!$B$7:$B$501,[1]pillars_WIP!$O$7:$O$501,"Missing",0))</f>
        <v>0</v>
      </c>
      <c r="K22" s="11">
        <f t="shared" si="0"/>
        <v>23.8941798941798</v>
      </c>
      <c r="L22" s="11">
        <f>IF(ISNUMBER(D22),IF(Params!$G$16=0,100,(1-MIN(MAX(D22,0),Params!$G$16)/Params!$G$16)*100),"")</f>
        <v>0</v>
      </c>
      <c r="M22" s="11">
        <f>IF(ISNUMBER(E22),IF(Params!$G$17=0,100,(1-MIN(MAX(E22,0),Params!$G$17)/Params!$G$17)*100),"")</f>
        <v>12.344462228194997</v>
      </c>
      <c r="N22" s="11">
        <f>IF(ISNUMBER(F22),(Params!$G$19-MAX(Params!$G$18,MIN(Params!$G$19,F22)))/(Params!$G$19-Params!$G$18)*100,"")</f>
        <v>82.597888415819654</v>
      </c>
      <c r="O22" s="11">
        <f>IF(ISNUMBER(G22),(MAX(Params!$G$20,MIN(Params!$G$21,G22))-Params!$G$20)/(Params!$G$21-Params!$G$20)*100,"")</f>
        <v>65.708345919437093</v>
      </c>
      <c r="P22" s="11">
        <f>IF(ISNUMBER(H22),(Params!$G$23-MAX(Params!$G$22,MIN(Params!$G$23,H22)))/(Params!$G$23-Params!$G$22)*100,"")</f>
        <v>76.827703038500914</v>
      </c>
      <c r="Q22" s="11">
        <f t="shared" si="1"/>
        <v>0</v>
      </c>
      <c r="R22" s="11">
        <f t="shared" si="2"/>
        <v>0</v>
      </c>
      <c r="S22" s="12">
        <f t="shared" si="3"/>
        <v>28.291601417995857</v>
      </c>
      <c r="T22"/>
    </row>
    <row r="23" spans="1:20" ht="20" customHeight="1">
      <c r="A23" s="35" t="str">
        <v>Malaysia</v>
      </c>
      <c r="B23" s="35" t="str">
        <v>MYS</v>
      </c>
      <c r="C23" s="61">
        <f>_xlfn.XLOOKUP($B23,[1]pillars_WIP!$B$7:$B$501,[1]pillars_WIP!$H$7:$H$501,"Missing",0)</f>
        <v>27.955026455026399</v>
      </c>
      <c r="D23" s="61">
        <f>_xlfn.XLOOKUP($B23,[1]pillars_WIP!$B$7:$B$501,[1]pillars_WIP!$I$7:$I$501,"Missing",0)</f>
        <v>0</v>
      </c>
      <c r="E23" s="61">
        <f>_xlfn.XLOOKUP($B23,[1]pillars_WIP!$B$7:$B$501,[1]pillars_WIP!$J$7:$J$501,"Missing",0)</f>
        <v>0</v>
      </c>
      <c r="F23" s="61">
        <f>_xlfn.XLOOKUP($B23,[1]pillars_WIP!$B$7:$B$501,[1]pillars_WIP!$K$7:$K$501,"Missing",0)</f>
        <v>-0.71342857142857186</v>
      </c>
      <c r="G23" s="61">
        <f>_xlfn.XLOOKUP($B23,[1]pillars_WIP!$B$7:$B$501,[1]pillars_WIP!$L$7:$L$501,"Missing",0)</f>
        <v>0.74485714285714288</v>
      </c>
      <c r="H23" s="61">
        <f>_xlfn.XLOOKUP($B23,[1]pillars_WIP!$B$7:$B$501,[1]pillars_WIP!$M$7:$M$501,"Missing",0)</f>
        <v>-6.0831428571428496</v>
      </c>
      <c r="I23" s="33">
        <f>_xlfn.XLOOKUP($B23,[1]pillars_WIP!$B$7:$B$501,[1]pillars_WIP!$N$7:$N$501,"Missing",0)</f>
        <v>70</v>
      </c>
      <c r="J23" s="58">
        <f>IF($B23="","",_xlfn.XLOOKUP($B23,[1]pillars_WIP!$B$7:$B$501,[1]pillars_WIP!$O$7:$O$501,"Missing",0))</f>
        <v>100</v>
      </c>
      <c r="K23" s="11">
        <f t="shared" si="0"/>
        <v>27.955026455026399</v>
      </c>
      <c r="L23" s="11">
        <f>IF(ISNUMBER(D23),IF(Params!$G$16=0,100,(1-MIN(MAX(D23,0),Params!$G$16)/Params!$G$16)*100),"")</f>
        <v>100</v>
      </c>
      <c r="M23" s="11">
        <f>IF(ISNUMBER(E23),IF(Params!$G$17=0,100,(1-MIN(MAX(E23,0),Params!$G$17)/Params!$G$17)*100),"")</f>
        <v>100</v>
      </c>
      <c r="N23" s="11">
        <f>IF(ISNUMBER(F23),(Params!$G$19-MAX(Params!$G$18,MIN(Params!$G$19,F23)))/(Params!$G$19-Params!$G$18)*100,"")</f>
        <v>53.478699579159809</v>
      </c>
      <c r="O23" s="11">
        <f>IF(ISNUMBER(G23),(MAX(Params!$G$20,MIN(Params!$G$21,G23))-Params!$G$20)/(Params!$G$21-Params!$G$20)*100,"")</f>
        <v>24.442509639474761</v>
      </c>
      <c r="P23" s="11">
        <f>IF(ISNUMBER(H23),(Params!$G$23-MAX(Params!$G$22,MIN(Params!$G$23,H23)))/(Params!$G$23-Params!$G$22)*100,"")</f>
        <v>30.149483355445383</v>
      </c>
      <c r="Q23" s="11">
        <f t="shared" si="1"/>
        <v>70</v>
      </c>
      <c r="R23" s="11">
        <f t="shared" si="2"/>
        <v>100</v>
      </c>
      <c r="S23" s="12">
        <f t="shared" si="3"/>
        <v>68.71710694927495</v>
      </c>
      <c r="T23"/>
    </row>
    <row r="24" spans="1:20" ht="20" customHeight="1">
      <c r="A24" s="35" t="str">
        <v>Mexico</v>
      </c>
      <c r="B24" s="35" t="str">
        <v>MEX</v>
      </c>
      <c r="C24" s="61">
        <f>_xlfn.XLOOKUP($B24,[1]pillars_WIP!$B$7:$B$501,[1]pillars_WIP!$H$7:$H$501,"Missing",0)</f>
        <v>74.962962962962905</v>
      </c>
      <c r="D24" s="61">
        <f>_xlfn.XLOOKUP($B24,[1]pillars_WIP!$B$7:$B$501,[1]pillars_WIP!$I$7:$I$501,"Missing",0)</f>
        <v>0</v>
      </c>
      <c r="E24" s="61">
        <f>_xlfn.XLOOKUP($B24,[1]pillars_WIP!$B$7:$B$501,[1]pillars_WIP!$J$7:$J$501,"Missing",0)</f>
        <v>0</v>
      </c>
      <c r="F24" s="61">
        <f>_xlfn.XLOOKUP($B24,[1]pillars_WIP!$B$7:$B$501,[1]pillars_WIP!$K$7:$K$501,"Missing",0)</f>
        <v>-0.90571428571428581</v>
      </c>
      <c r="G24" s="61">
        <f>_xlfn.XLOOKUP($B24,[1]pillars_WIP!$B$7:$B$501,[1]pillars_WIP!$L$7:$L$501,"Missing",0)</f>
        <v>0.53085714285714303</v>
      </c>
      <c r="H24" s="61">
        <f>_xlfn.XLOOKUP($B24,[1]pillars_WIP!$B$7:$B$501,[1]pillars_WIP!$M$7:$M$501,"Missing",0)</f>
        <v>-5.4234285714285759</v>
      </c>
      <c r="I24" s="33">
        <f>_xlfn.XLOOKUP($B24,[1]pillars_WIP!$B$7:$B$501,[1]pillars_WIP!$N$7:$N$501,"Missing",0)</f>
        <v>100</v>
      </c>
      <c r="J24" s="58">
        <f>IF($B24="","",_xlfn.XLOOKUP($B24,[1]pillars_WIP!$B$7:$B$501,[1]pillars_WIP!$O$7:$O$501,"Missing",0))</f>
        <v>0</v>
      </c>
      <c r="K24" s="11">
        <f t="shared" si="0"/>
        <v>74.962962962962905</v>
      </c>
      <c r="L24" s="11">
        <f>IF(ISNUMBER(D24),IF(Params!$G$16=0,100,(1-MIN(MAX(D24,0),Params!$G$16)/Params!$G$16)*100),"")</f>
        <v>100</v>
      </c>
      <c r="M24" s="11">
        <f>IF(ISNUMBER(E24),IF(Params!$G$17=0,100,(1-MIN(MAX(E24,0),Params!$G$17)/Params!$G$17)*100),"")</f>
        <v>100</v>
      </c>
      <c r="N24" s="11">
        <f>IF(ISNUMBER(F24),(Params!$G$19-MAX(Params!$G$18,MIN(Params!$G$19,F24)))/(Params!$G$19-Params!$G$18)*100,"")</f>
        <v>56.791278025250413</v>
      </c>
      <c r="O24" s="11">
        <f>IF(ISNUMBER(G24),(MAX(Params!$G$20,MIN(Params!$G$21,G24))-Params!$G$20)/(Params!$G$21-Params!$G$20)*100,"")</f>
        <v>19.11903196574211</v>
      </c>
      <c r="P24" s="11">
        <f>IF(ISNUMBER(H24),(Params!$G$23-MAX(Params!$G$22,MIN(Params!$G$23,H24)))/(Params!$G$23-Params!$G$22)*100,"")</f>
        <v>28.153779003185026</v>
      </c>
      <c r="Q24" s="11">
        <f t="shared" si="1"/>
        <v>100</v>
      </c>
      <c r="R24" s="11">
        <f t="shared" si="2"/>
        <v>0</v>
      </c>
      <c r="S24" s="12">
        <f t="shared" si="3"/>
        <v>56.35709507472945</v>
      </c>
      <c r="T24"/>
    </row>
    <row r="25" spans="1:20" ht="20" customHeight="1">
      <c r="A25" s="35" t="str">
        <v>Mongolia</v>
      </c>
      <c r="B25" s="35" t="str">
        <v>MNG</v>
      </c>
      <c r="C25" s="61">
        <f>_xlfn.XLOOKUP($B25,[1]pillars_WIP!$B$7:$B$501,[1]pillars_WIP!$H$7:$H$501,"Missing",0)</f>
        <v>9.7777777777777803</v>
      </c>
      <c r="D25" s="61">
        <f>_xlfn.XLOOKUP($B25,[1]pillars_WIP!$B$7:$B$501,[1]pillars_WIP!$I$7:$I$501,"Missing",0)</f>
        <v>4.9266409266409266</v>
      </c>
      <c r="E25" s="61">
        <f>_xlfn.XLOOKUP($B25,[1]pillars_WIP!$B$7:$B$501,[1]pillars_WIP!$J$7:$J$501,"Missing",0)</f>
        <v>0.30888030888030887</v>
      </c>
      <c r="F25" s="61">
        <f>_xlfn.XLOOKUP($B25,[1]pillars_WIP!$B$7:$B$501,[1]pillars_WIP!$K$7:$K$501,"Missing",0)</f>
        <v>9.5714285714285141E-2</v>
      </c>
      <c r="G25" s="61">
        <f>_xlfn.XLOOKUP($B25,[1]pillars_WIP!$B$7:$B$501,[1]pillars_WIP!$L$7:$L$501,"Missing",0)</f>
        <v>-0.28999999999999992</v>
      </c>
      <c r="H25" s="61">
        <f>_xlfn.XLOOKUP($B25,[1]pillars_WIP!$B$7:$B$501,[1]pillars_WIP!$M$7:$M$501,"Missing",0)</f>
        <v>0.59714285714285975</v>
      </c>
      <c r="I25" s="33">
        <f>_xlfn.XLOOKUP($B25,[1]pillars_WIP!$B$7:$B$501,[1]pillars_WIP!$N$7:$N$501,"Missing",0)</f>
        <v>0</v>
      </c>
      <c r="J25" s="58">
        <f>IF($B25="","",_xlfn.XLOOKUP($B25,[1]pillars_WIP!$B$7:$B$501,[1]pillars_WIP!$O$7:$O$501,"Missing",0))</f>
        <v>0</v>
      </c>
      <c r="K25" s="11">
        <f t="shared" si="0"/>
        <v>9.7777777777777803</v>
      </c>
      <c r="L25" s="11">
        <f>IF(ISNUMBER(D25),IF(Params!$G$16=0,100,(1-MIN(MAX(D25,0),Params!$G$16)/Params!$G$16)*100),"")</f>
        <v>0</v>
      </c>
      <c r="M25" s="11">
        <f>IF(ISNUMBER(E25),IF(Params!$G$17=0,100,(1-MIN(MAX(E25,0),Params!$G$17)/Params!$G$17)*100),"")</f>
        <v>0</v>
      </c>
      <c r="N25" s="11">
        <f>IF(ISNUMBER(F25),(Params!$G$19-MAX(Params!$G$18,MIN(Params!$G$19,F25)))/(Params!$G$19-Params!$G$18)*100,"")</f>
        <v>39.539290724288151</v>
      </c>
      <c r="O25" s="11">
        <f>IF(ISNUMBER(G25),(MAX(Params!$G$20,MIN(Params!$G$21,G25))-Params!$G$20)/(Params!$G$21-Params!$G$20)*100,"")</f>
        <v>0</v>
      </c>
      <c r="P25" s="11">
        <f>IF(ISNUMBER(H25),(Params!$G$23-MAX(Params!$G$22,MIN(Params!$G$23,H25)))/(Params!$G$23-Params!$G$22)*100,"")</f>
        <v>9.9409240396375047</v>
      </c>
      <c r="Q25" s="11">
        <f t="shared" si="1"/>
        <v>0</v>
      </c>
      <c r="R25" s="11">
        <f t="shared" si="2"/>
        <v>0</v>
      </c>
      <c r="S25" s="12">
        <f t="shared" si="3"/>
        <v>6.7133221434189121</v>
      </c>
      <c r="T25"/>
    </row>
    <row r="26" spans="1:20" ht="20" customHeight="1">
      <c r="A26" s="35" t="str">
        <v>Morocco</v>
      </c>
      <c r="B26" s="35" t="str">
        <v>MAR</v>
      </c>
      <c r="C26" s="61">
        <f>_xlfn.XLOOKUP($B26,[1]pillars_WIP!$B$7:$B$501,[1]pillars_WIP!$H$7:$H$501,"Missing",0)</f>
        <v>41.1719576719576</v>
      </c>
      <c r="D26" s="61">
        <f>_xlfn.XLOOKUP($B26,[1]pillars_WIP!$B$7:$B$501,[1]pillars_WIP!$I$7:$I$501,"Missing",0)</f>
        <v>0</v>
      </c>
      <c r="E26" s="61">
        <f>_xlfn.XLOOKUP($B26,[1]pillars_WIP!$B$7:$B$501,[1]pillars_WIP!$J$7:$J$501,"Missing",0)</f>
        <v>0</v>
      </c>
      <c r="F26" s="61">
        <f>_xlfn.XLOOKUP($B26,[1]pillars_WIP!$B$7:$B$501,[1]pillars_WIP!$K$7:$K$501,"Missing",0)</f>
        <v>-1.1817142857142862</v>
      </c>
      <c r="G26" s="61">
        <f>_xlfn.XLOOKUP($B26,[1]pillars_WIP!$B$7:$B$501,[1]pillars_WIP!$L$7:$L$501,"Missing",0)</f>
        <v>0.82971428571428563</v>
      </c>
      <c r="H26" s="61">
        <f>_xlfn.XLOOKUP($B26,[1]pillars_WIP!$B$7:$B$501,[1]pillars_WIP!$M$7:$M$501,"Missing",0)</f>
        <v>-7.1377142857142939</v>
      </c>
      <c r="I26" s="33">
        <f>_xlfn.XLOOKUP($B26,[1]pillars_WIP!$B$7:$B$501,[1]pillars_WIP!$N$7:$N$501,"Missing",0)</f>
        <v>20</v>
      </c>
      <c r="J26" s="58">
        <f>IF($B26="","",_xlfn.XLOOKUP($B26,[1]pillars_WIP!$B$7:$B$501,[1]pillars_WIP!$O$7:$O$501,"Missing",0))</f>
        <v>25</v>
      </c>
      <c r="K26" s="11">
        <f t="shared" si="0"/>
        <v>41.1719576719576</v>
      </c>
      <c r="L26" s="11">
        <f>IF(ISNUMBER(D26),IF(Params!$G$16=0,100,(1-MIN(MAX(D26,0),Params!$G$16)/Params!$G$16)*100),"")</f>
        <v>100</v>
      </c>
      <c r="M26" s="11">
        <f>IF(ISNUMBER(E26),IF(Params!$G$17=0,100,(1-MIN(MAX(E26,0),Params!$G$17)/Params!$G$17)*100),"")</f>
        <v>100</v>
      </c>
      <c r="N26" s="11">
        <f>IF(ISNUMBER(F26),(Params!$G$19-MAX(Params!$G$18,MIN(Params!$G$19,F26)))/(Params!$G$19-Params!$G$18)*100,"")</f>
        <v>61.546034011763837</v>
      </c>
      <c r="O26" s="11">
        <f>IF(ISNUMBER(G26),(MAX(Params!$G$20,MIN(Params!$G$21,G26))-Params!$G$20)/(Params!$G$21-Params!$G$20)*100,"")</f>
        <v>26.553421347216538</v>
      </c>
      <c r="P26" s="11">
        <f>IF(ISNUMBER(H26),(Params!$G$23-MAX(Params!$G$22,MIN(Params!$G$23,H26)))/(Params!$G$23-Params!$G$22)*100,"")</f>
        <v>33.339671646564163</v>
      </c>
      <c r="Q26" s="11">
        <f t="shared" si="1"/>
        <v>20</v>
      </c>
      <c r="R26" s="11">
        <f t="shared" si="2"/>
        <v>25</v>
      </c>
      <c r="S26" s="12">
        <f t="shared" si="3"/>
        <v>52.779743295437697</v>
      </c>
      <c r="T26"/>
    </row>
    <row r="27" spans="1:20" ht="20" customHeight="1">
      <c r="A27" s="35" t="str">
        <v>North Korea</v>
      </c>
      <c r="B27" s="35" t="str">
        <v>PRK</v>
      </c>
      <c r="C27" s="61">
        <v>59.83</v>
      </c>
      <c r="D27" s="61">
        <f>_xlfn.XLOOKUP($B27,[1]pillars_WIP!$B$7:$B$501,[1]pillars_WIP!$I$7:$I$501,"Missing",0)</f>
        <v>0</v>
      </c>
      <c r="E27" s="61">
        <f>_xlfn.XLOOKUP($B27,[1]pillars_WIP!$B$7:$B$501,[1]pillars_WIP!$J$7:$J$501,"Missing",0)</f>
        <v>0</v>
      </c>
      <c r="F27" s="61">
        <f>_xlfn.XLOOKUP($B27,[1]pillars_WIP!$B$7:$B$501,[1]pillars_WIP!$K$7:$K$501,"Missing",0)</f>
        <v>-2.9545714285714286</v>
      </c>
      <c r="G27" s="61">
        <f>_xlfn.XLOOKUP($B27,[1]pillars_WIP!$B$7:$B$501,[1]pillars_WIP!$L$7:$L$501,"Missing",0)</f>
        <v>3.2017142857142851</v>
      </c>
      <c r="H27" s="61">
        <f>_xlfn.XLOOKUP($B27,[1]pillars_WIP!$B$7:$B$501,[1]pillars_WIP!$M$7:$M$501,"Missing",0)</f>
        <v>-27.521714285714289</v>
      </c>
      <c r="I27" s="33">
        <f>_xlfn.XLOOKUP($B27,[1]pillars_WIP!$B$7:$B$501,[1]pillars_WIP!$N$7:$N$501,"Missing",0)</f>
        <v>0</v>
      </c>
      <c r="J27" s="58">
        <f>IF($B27="","",_xlfn.XLOOKUP($B27,[1]pillars_WIP!$B$7:$B$501,[1]pillars_WIP!$O$7:$O$501,"Missing",0))</f>
        <v>0</v>
      </c>
      <c r="K27" s="11">
        <f t="shared" si="0"/>
        <v>59.83</v>
      </c>
      <c r="L27" s="11">
        <f>IF(ISNUMBER(D27),IF(Params!$G$16=0,100,(1-MIN(MAX(D27,0),Params!$G$16)/Params!$G$16)*100),"")</f>
        <v>100</v>
      </c>
      <c r="M27" s="11">
        <f>IF(ISNUMBER(E27),IF(Params!$G$17=0,100,(1-MIN(MAX(E27,0),Params!$G$17)/Params!$G$17)*100),"")</f>
        <v>100</v>
      </c>
      <c r="N27" s="11">
        <f>IF(ISNUMBER(F27),(Params!$G$19-MAX(Params!$G$18,MIN(Params!$G$19,F27)))/(Params!$G$19-Params!$G$18)*100,"")</f>
        <v>92.087711958260542</v>
      </c>
      <c r="O27" s="11">
        <f>IF(ISNUMBER(G27),(MAX(Params!$G$20,MIN(Params!$G$21,G27))-Params!$G$20)/(Params!$G$21-Params!$G$20)*100,"")</f>
        <v>85.559444908402753</v>
      </c>
      <c r="P27" s="11">
        <f>IF(ISNUMBER(H27),(Params!$G$23-MAX(Params!$G$22,MIN(Params!$G$23,H27)))/(Params!$G$23-Params!$G$22)*100,"")</f>
        <v>95.003392438104228</v>
      </c>
      <c r="Q27" s="11">
        <f t="shared" si="1"/>
        <v>0</v>
      </c>
      <c r="R27" s="11">
        <f t="shared" si="2"/>
        <v>0</v>
      </c>
      <c r="S27" s="12">
        <f t="shared" si="3"/>
        <v>64.09753021904794</v>
      </c>
      <c r="T27"/>
    </row>
    <row r="28" spans="1:20" ht="20" customHeight="1">
      <c r="A28" s="35" t="str">
        <v>Pakistan</v>
      </c>
      <c r="B28" s="35" t="str">
        <v>PAK</v>
      </c>
      <c r="C28" s="61">
        <f>_xlfn.XLOOKUP($B28,[1]pillars_WIP!$B$7:$B$501,[1]pillars_WIP!$H$7:$H$501,"Missing",0)</f>
        <v>23.031746031746</v>
      </c>
      <c r="D28" s="61">
        <f>_xlfn.XLOOKUP($B28,[1]pillars_WIP!$B$7:$B$501,[1]pillars_WIP!$I$7:$I$501,"Missing",0)</f>
        <v>0.46821537907437422</v>
      </c>
      <c r="E28" s="61">
        <f>_xlfn.XLOOKUP($B28,[1]pillars_WIP!$B$7:$B$501,[1]pillars_WIP!$J$7:$J$501,"Missing",0)</f>
        <v>6.0027612701842844E-3</v>
      </c>
      <c r="F28" s="61">
        <f>_xlfn.XLOOKUP($B28,[1]pillars_WIP!$B$7:$B$501,[1]pillars_WIP!$K$7:$K$501,"Missing",0)</f>
        <v>-1.1385714285714288</v>
      </c>
      <c r="G28" s="61">
        <f>_xlfn.XLOOKUP($B28,[1]pillars_WIP!$B$7:$B$501,[1]pillars_WIP!$L$7:$L$501,"Missing",0)</f>
        <v>2.1619999999999999</v>
      </c>
      <c r="H28" s="87">
        <v>-2.3711428571428508</v>
      </c>
      <c r="I28" s="33">
        <f>_xlfn.XLOOKUP($B28,[1]pillars_WIP!$B$7:$B$501,[1]pillars_WIP!$N$7:$N$501,"Missing",0)</f>
        <v>20</v>
      </c>
      <c r="J28" s="58">
        <f>IF($B28="","",_xlfn.XLOOKUP($B28,[1]pillars_WIP!$B$7:$B$501,[1]pillars_WIP!$O$7:$O$501,"Missing",0))</f>
        <v>0</v>
      </c>
      <c r="K28" s="11">
        <f t="shared" si="0"/>
        <v>23.031746031746</v>
      </c>
      <c r="L28" s="11">
        <f>IF(ISNUMBER(D28),IF(Params!$G$16=0,100,(1-MIN(MAX(D28,0),Params!$G$16)/Params!$G$16)*100),"")</f>
        <v>66.646832960356576</v>
      </c>
      <c r="M28" s="11">
        <f>IF(ISNUMBER(E28),IF(Params!$G$17=0,100,(1-MIN(MAX(E28,0),Params!$G$17)/Params!$G$17)*100),"")</f>
        <v>96.70614282699141</v>
      </c>
      <c r="N28" s="11">
        <f>IF(ISNUMBER(F28),(Params!$G$19-MAX(Params!$G$18,MIN(Params!$G$19,F28)))/(Params!$G$19-Params!$G$18)*100,"")</f>
        <v>60.802795757143215</v>
      </c>
      <c r="O28" s="11">
        <f>IF(ISNUMBER(G28),(MAX(Params!$G$20,MIN(Params!$G$21,G28))-Params!$G$20)/(Params!$G$21-Params!$G$20)*100,"")</f>
        <v>59.695445903445332</v>
      </c>
      <c r="P28" s="85">
        <f>IF(ISNUMBER(H28),(Params!$G$23-MAX(Params!$G$22,MIN(Params!$G$23,H28)))/(Params!$G$23-Params!$G$22)*100,"")</f>
        <v>18.920297151648455</v>
      </c>
      <c r="Q28" s="11">
        <f t="shared" si="1"/>
        <v>20</v>
      </c>
      <c r="R28" s="11">
        <f t="shared" si="2"/>
        <v>0</v>
      </c>
      <c r="S28" s="86">
        <f t="shared" si="3"/>
        <v>42.605452708108047</v>
      </c>
      <c r="T28"/>
    </row>
    <row r="29" spans="1:20" ht="20" customHeight="1">
      <c r="A29" s="35" t="str">
        <v>Philippines</v>
      </c>
      <c r="B29" s="35" t="str">
        <v>PHL</v>
      </c>
      <c r="C29" s="61">
        <f>_xlfn.XLOOKUP($B29,[1]pillars_WIP!$B$7:$B$501,[1]pillars_WIP!$H$7:$H$501,"Missing",0)</f>
        <v>39.341269841269799</v>
      </c>
      <c r="D29" s="61">
        <f>_xlfn.XLOOKUP($B29,[1]pillars_WIP!$B$7:$B$501,[1]pillars_WIP!$I$7:$I$501,"Missing",0)</f>
        <v>0.38489527304942101</v>
      </c>
      <c r="E29" s="61">
        <f>_xlfn.XLOOKUP($B29,[1]pillars_WIP!$B$7:$B$501,[1]pillars_WIP!$J$7:$J$501,"Missing",0)</f>
        <v>7.672593811301652E-2</v>
      </c>
      <c r="F29" s="61">
        <f>_xlfn.XLOOKUP($B29,[1]pillars_WIP!$B$7:$B$501,[1]pillars_WIP!$K$7:$K$501,"Missing",0)</f>
        <v>1.8694285714285708</v>
      </c>
      <c r="G29" s="61">
        <f>_xlfn.XLOOKUP($B29,[1]pillars_WIP!$B$7:$B$501,[1]pillars_WIP!$L$7:$L$501,"Missing",0)</f>
        <v>-2.4857142857142987E-2</v>
      </c>
      <c r="H29" s="61">
        <f>_xlfn.XLOOKUP($B29,[1]pillars_WIP!$B$7:$B$501,[1]pillars_WIP!$M$7:$M$501,"Missing",0)</f>
        <v>5.7197142857142875</v>
      </c>
      <c r="I29" s="33">
        <f>_xlfn.XLOOKUP($B29,[1]pillars_WIP!$B$7:$B$501,[1]pillars_WIP!$N$7:$N$501,"Missing",0)</f>
        <v>20</v>
      </c>
      <c r="J29" s="58">
        <f>IF($B29="","",_xlfn.XLOOKUP($B29,[1]pillars_WIP!$B$7:$B$501,[1]pillars_WIP!$O$7:$O$501,"Missing",0))</f>
        <v>0</v>
      </c>
      <c r="K29" s="11">
        <f t="shared" si="0"/>
        <v>39.341269841269799</v>
      </c>
      <c r="L29" s="11">
        <f>IF(ISNUMBER(D29),IF(Params!$G$16=0,100,(1-MIN(MAX(D29,0),Params!$G$16)/Params!$G$16)*100),"")</f>
        <v>72.582113043434831</v>
      </c>
      <c r="M29" s="11">
        <f>IF(ISNUMBER(E29),IF(Params!$G$17=0,100,(1-MIN(MAX(E29,0),Params!$G$17)/Params!$G$17)*100),"")</f>
        <v>57.898661926694736</v>
      </c>
      <c r="N29" s="11">
        <f>IF(ISNUMBER(F29),(Params!$G$19-MAX(Params!$G$18,MIN(Params!$G$19,F29)))/(Params!$G$19-Params!$G$18)*100,"")</f>
        <v>8.9828464548519804</v>
      </c>
      <c r="O29" s="11">
        <f>IF(ISNUMBER(G29),(MAX(Params!$G$20,MIN(Params!$G$21,G29))-Params!$G$20)/(Params!$G$21-Params!$G$20)*100,"")</f>
        <v>5.2950478864229993</v>
      </c>
      <c r="P29" s="11">
        <f>IF(ISNUMBER(H29),(Params!$G$23-MAX(Params!$G$22,MIN(Params!$G$23,H29)))/(Params!$G$23-Params!$G$22)*100,"")</f>
        <v>0</v>
      </c>
      <c r="Q29" s="11">
        <f t="shared" si="1"/>
        <v>20</v>
      </c>
      <c r="R29" s="11">
        <f t="shared" si="2"/>
        <v>0</v>
      </c>
      <c r="S29" s="12">
        <f t="shared" si="3"/>
        <v>26.595277220058321</v>
      </c>
      <c r="T29"/>
    </row>
    <row r="30" spans="1:20" ht="20" customHeight="1">
      <c r="A30" s="35" t="str">
        <v>Poland</v>
      </c>
      <c r="B30" s="35" t="str">
        <v>POL</v>
      </c>
      <c r="C30" s="61">
        <f>_xlfn.XLOOKUP($B30,[1]pillars_WIP!$B$7:$B$501,[1]pillars_WIP!$H$7:$H$501,"Missing",0)</f>
        <v>62.886243386243301</v>
      </c>
      <c r="D30" s="61">
        <f>_xlfn.XLOOKUP($B30,[1]pillars_WIP!$B$7:$B$501,[1]pillars_WIP!$I$7:$I$501,"Missing",0)</f>
        <v>0</v>
      </c>
      <c r="E30" s="61">
        <f>_xlfn.XLOOKUP($B30,[1]pillars_WIP!$B$7:$B$501,[1]pillars_WIP!$J$7:$J$501,"Missing",0)</f>
        <v>3.6681094563861785E-3</v>
      </c>
      <c r="F30" s="61">
        <f>_xlfn.XLOOKUP($B30,[1]pillars_WIP!$B$7:$B$501,[1]pillars_WIP!$K$7:$K$501,"Missing",0)</f>
        <v>-3.3619999999999997</v>
      </c>
      <c r="G30" s="61">
        <f>_xlfn.XLOOKUP($B30,[1]pillars_WIP!$B$7:$B$501,[1]pillars_WIP!$L$7:$L$501,"Missing",0)</f>
        <v>3.1714285714285713</v>
      </c>
      <c r="H30" s="61">
        <f>_xlfn.XLOOKUP($B30,[1]pillars_WIP!$B$7:$B$501,[1]pillars_WIP!$M$7:$M$501,"Missing",0)</f>
        <v>-31.54514285714286</v>
      </c>
      <c r="I30" s="33">
        <f>_xlfn.XLOOKUP($B30,[1]pillars_WIP!$B$7:$B$501,[1]pillars_WIP!$N$7:$N$501,"Missing",0)</f>
        <v>100</v>
      </c>
      <c r="J30" s="58">
        <f>IF($B30="","",_xlfn.XLOOKUP($B30,[1]pillars_WIP!$B$7:$B$501,[1]pillars_WIP!$O$7:$O$501,"Missing",0))</f>
        <v>75</v>
      </c>
      <c r="K30" s="11">
        <f t="shared" si="0"/>
        <v>62.886243386243301</v>
      </c>
      <c r="L30" s="11">
        <f>IF(ISNUMBER(D30),IF(Params!$G$16=0,100,(1-MIN(MAX(D30,0),Params!$G$16)/Params!$G$16)*100),"")</f>
        <v>100</v>
      </c>
      <c r="M30" s="11">
        <f>IF(ISNUMBER(E30),IF(Params!$G$17=0,100,(1-MIN(MAX(E30,0),Params!$G$17)/Params!$G$17)*100),"")</f>
        <v>97.987221530146357</v>
      </c>
      <c r="N30" s="11">
        <f>IF(ISNUMBER(F30),(Params!$G$19-MAX(Params!$G$18,MIN(Params!$G$19,F30)))/(Params!$G$19-Params!$G$18)*100,"")</f>
        <v>99.106637462161302</v>
      </c>
      <c r="O30" s="11">
        <f>IF(ISNUMBER(G30),(MAX(Params!$G$20,MIN(Params!$G$21,G30))-Params!$G$20)/(Params!$G$21-Params!$G$20)*100,"")</f>
        <v>84.806055544696946</v>
      </c>
      <c r="P30" s="11">
        <f>IF(ISNUMBER(H30),(Params!$G$23-MAX(Params!$G$22,MIN(Params!$G$23,H30)))/(Params!$G$23-Params!$G$22)*100,"")</f>
        <v>100</v>
      </c>
      <c r="Q30" s="11">
        <f t="shared" si="1"/>
        <v>100</v>
      </c>
      <c r="R30" s="11">
        <f t="shared" si="2"/>
        <v>75</v>
      </c>
      <c r="S30" s="12">
        <f t="shared" si="3"/>
        <v>88.374338950789735</v>
      </c>
      <c r="T30"/>
    </row>
    <row r="31" spans="1:20" ht="20" customHeight="1">
      <c r="A31" s="35" t="str">
        <v>Russia</v>
      </c>
      <c r="B31" s="35" t="str">
        <v>RUS</v>
      </c>
      <c r="C31" s="61">
        <f>_xlfn.XLOOKUP($B31,[1]pillars_WIP!$B$7:$B$501,[1]pillars_WIP!$H$7:$H$501,"Missing",0)</f>
        <v>29.592592592592599</v>
      </c>
      <c r="D31" s="61">
        <f>_xlfn.XLOOKUP($B31,[1]pillars_WIP!$B$7:$B$501,[1]pillars_WIP!$I$7:$I$501,"Missing",0)</f>
        <v>0.17844755733605785</v>
      </c>
      <c r="E31" s="61">
        <f>_xlfn.XLOOKUP($B31,[1]pillars_WIP!$B$7:$B$501,[1]pillars_WIP!$J$7:$J$501,"Missing",0)</f>
        <v>3.5490549296910708E-2</v>
      </c>
      <c r="F31" s="61">
        <f>_xlfn.XLOOKUP($B31,[1]pillars_WIP!$B$7:$B$501,[1]pillars_WIP!$K$7:$K$501,"Missing",0)</f>
        <v>0.25657142857142839</v>
      </c>
      <c r="G31" s="61">
        <f>_xlfn.XLOOKUP($B31,[1]pillars_WIP!$B$7:$B$501,[1]pillars_WIP!$L$7:$L$501,"Missing",0)</f>
        <v>-0.14971428571428597</v>
      </c>
      <c r="H31" s="61">
        <f>_xlfn.XLOOKUP($B31,[1]pillars_WIP!$B$7:$B$501,[1]pillars_WIP!$M$7:$M$501,"Missing",0)</f>
        <v>3.2711428571428591</v>
      </c>
      <c r="I31" s="33">
        <f>_xlfn.XLOOKUP($B31,[1]pillars_WIP!$B$7:$B$501,[1]pillars_WIP!$N$7:$N$501,"Missing",0)</f>
        <v>0</v>
      </c>
      <c r="J31" s="58">
        <f>IF($B31="","",_xlfn.XLOOKUP($B31,[1]pillars_WIP!$B$7:$B$501,[1]pillars_WIP!$O$7:$O$501,"Missing",0))</f>
        <v>0</v>
      </c>
      <c r="K31" s="11">
        <f t="shared" si="0"/>
        <v>29.592592592592599</v>
      </c>
      <c r="L31" s="11">
        <f>IF(ISNUMBER(D31),IF(Params!$G$16=0,100,(1-MIN(MAX(D31,0),Params!$G$16)/Params!$G$16)*100),"")</f>
        <v>87.288347513462455</v>
      </c>
      <c r="M31" s="11">
        <f>IF(ISNUMBER(E31),IF(Params!$G$17=0,100,(1-MIN(MAX(E31,0),Params!$G$17)/Params!$G$17)*100),"")</f>
        <v>80.525495665421474</v>
      </c>
      <c r="N31" s="11">
        <f>IF(ISNUMBER(F31),(Params!$G$19-MAX(Params!$G$18,MIN(Params!$G$19,F31)))/(Params!$G$19-Params!$G$18)*100,"")</f>
        <v>36.768144119311899</v>
      </c>
      <c r="O31" s="11">
        <f>IF(ISNUMBER(G31),(MAX(Params!$G$20,MIN(Params!$G$21,G31))-Params!$G$20)/(Params!$G$21-Params!$G$20)*100,"")</f>
        <v>2.1890936228433309</v>
      </c>
      <c r="P31" s="11">
        <f>IF(ISNUMBER(H31),(Params!$G$23-MAX(Params!$G$22,MIN(Params!$G$23,H31)))/(Params!$G$23-Params!$G$22)*100,"")</f>
        <v>1.8517958314066303</v>
      </c>
      <c r="Q31" s="11">
        <f t="shared" si="1"/>
        <v>0</v>
      </c>
      <c r="R31" s="11">
        <f t="shared" si="2"/>
        <v>0</v>
      </c>
      <c r="S31" s="12">
        <f t="shared" si="3"/>
        <v>32.003318388686843</v>
      </c>
      <c r="T31"/>
    </row>
    <row r="32" spans="1:20" ht="20" customHeight="1">
      <c r="A32" s="35" t="str">
        <v>Serbia</v>
      </c>
      <c r="B32" s="35" t="str">
        <v>SRB</v>
      </c>
      <c r="C32" s="61">
        <f>_xlfn.XLOOKUP($B32,[1]pillars_WIP!$B$7:$B$501,[1]pillars_WIP!$H$7:$H$501,"Missing",0)</f>
        <v>50.711640211640201</v>
      </c>
      <c r="D32" s="61">
        <f>_xlfn.XLOOKUP($B32,[1]pillars_WIP!$B$7:$B$501,[1]pillars_WIP!$I$7:$I$501,"Missing",0)</f>
        <v>0</v>
      </c>
      <c r="E32" s="61">
        <f>_xlfn.XLOOKUP($B32,[1]pillars_WIP!$B$7:$B$501,[1]pillars_WIP!$J$7:$J$501,"Missing",0)</f>
        <v>0</v>
      </c>
      <c r="F32" s="61">
        <f>_xlfn.XLOOKUP($B32,[1]pillars_WIP!$B$7:$B$501,[1]pillars_WIP!$K$7:$K$501,"Missing",0)</f>
        <v>-1.781142857142858</v>
      </c>
      <c r="G32" s="61">
        <f>_xlfn.XLOOKUP($B32,[1]pillars_WIP!$B$7:$B$501,[1]pillars_WIP!$L$7:$L$501,"Missing",0)</f>
        <v>1.0100000000000002</v>
      </c>
      <c r="H32" s="61">
        <f>_xlfn.XLOOKUP($B32,[1]pillars_WIP!$B$7:$B$501,[1]pillars_WIP!$M$7:$M$501,"Missing",0)</f>
        <v>-14.917999999999997</v>
      </c>
      <c r="I32" s="33">
        <f>_xlfn.XLOOKUP($B32,[1]pillars_WIP!$B$7:$B$501,[1]pillars_WIP!$N$7:$N$501,"Missing",0)</f>
        <v>100</v>
      </c>
      <c r="J32" s="58">
        <f>IF($B32="","",_xlfn.XLOOKUP($B32,[1]pillars_WIP!$B$7:$B$501,[1]pillars_WIP!$O$7:$O$501,"Missing",0))</f>
        <v>75</v>
      </c>
      <c r="K32" s="11">
        <f t="shared" si="0"/>
        <v>50.711640211640201</v>
      </c>
      <c r="L32" s="11">
        <f>IF(ISNUMBER(D32),IF(Params!$G$16=0,100,(1-MIN(MAX(D32,0),Params!$G$16)/Params!$G$16)*100),"")</f>
        <v>100</v>
      </c>
      <c r="M32" s="11">
        <f>IF(ISNUMBER(E32),IF(Params!$G$17=0,100,(1-MIN(MAX(E32,0),Params!$G$17)/Params!$G$17)*100),"")</f>
        <v>100</v>
      </c>
      <c r="N32" s="11">
        <f>IF(ISNUMBER(F32),(Params!$G$19-MAX(Params!$G$18,MIN(Params!$G$19,F32)))/(Params!$G$19-Params!$G$18)*100,"")</f>
        <v>71.87261585410873</v>
      </c>
      <c r="O32" s="11">
        <f>IF(ISNUMBER(G32),(MAX(Params!$G$20,MIN(Params!$G$21,G32))-Params!$G$20)/(Params!$G$21-Params!$G$20)*100,"")</f>
        <v>31.038220295314417</v>
      </c>
      <c r="P32" s="11">
        <f>IF(ISNUMBER(H32),(Params!$G$23-MAX(Params!$G$22,MIN(Params!$G$23,H32)))/(Params!$G$23-Params!$G$22)*100,"")</f>
        <v>56.875845408540307</v>
      </c>
      <c r="Q32" s="11">
        <f t="shared" si="1"/>
        <v>100</v>
      </c>
      <c r="R32" s="11">
        <f t="shared" si="2"/>
        <v>75</v>
      </c>
      <c r="S32" s="12">
        <f t="shared" si="3"/>
        <v>73.984764796010836</v>
      </c>
      <c r="T32"/>
    </row>
    <row r="33" spans="1:21" ht="20" customHeight="1">
      <c r="A33" s="35" t="str">
        <v>South Africa</v>
      </c>
      <c r="B33" s="35" t="str">
        <v>ZAF</v>
      </c>
      <c r="C33" s="61">
        <f>_xlfn.XLOOKUP($B33,[1]pillars_WIP!$B$7:$B$501,[1]pillars_WIP!$H$7:$H$501,"Missing",0)</f>
        <v>54.018518518518498</v>
      </c>
      <c r="D33" s="61">
        <f>_xlfn.XLOOKUP($B33,[1]pillars_WIP!$B$7:$B$501,[1]pillars_WIP!$I$7:$I$501,"Missing",0)</f>
        <v>6.4632052611823448E-2</v>
      </c>
      <c r="E33" s="61">
        <f>_xlfn.XLOOKUP($B33,[1]pillars_WIP!$B$7:$B$501,[1]pillars_WIP!$J$7:$J$501,"Missing",0)</f>
        <v>0</v>
      </c>
      <c r="F33" s="61">
        <f>_xlfn.XLOOKUP($B33,[1]pillars_WIP!$B$7:$B$501,[1]pillars_WIP!$K$7:$K$501,"Missing",0)</f>
        <v>-1.3717142857142879</v>
      </c>
      <c r="G33" s="61">
        <f>_xlfn.XLOOKUP($B33,[1]pillars_WIP!$B$7:$B$501,[1]pillars_WIP!$L$7:$L$501,"Missing",0)</f>
        <v>1.6231428571428572</v>
      </c>
      <c r="H33" s="61">
        <f>_xlfn.XLOOKUP($B33,[1]pillars_WIP!$B$7:$B$501,[1]pillars_WIP!$M$7:$M$501,"Missing",0)</f>
        <v>-11.235428571428569</v>
      </c>
      <c r="I33" s="33">
        <f>_xlfn.XLOOKUP($B33,[1]pillars_WIP!$B$7:$B$501,[1]pillars_WIP!$N$7:$N$501,"Missing",0)</f>
        <v>100</v>
      </c>
      <c r="J33" s="58">
        <f>IF($B33="","",_xlfn.XLOOKUP($B33,[1]pillars_WIP!$B$7:$B$501,[1]pillars_WIP!$O$7:$O$501,"Missing",0))</f>
        <v>0</v>
      </c>
      <c r="K33" s="11">
        <f t="shared" si="0"/>
        <v>54.018518518518498</v>
      </c>
      <c r="L33" s="11">
        <f>IF(ISNUMBER(D33),IF(Params!$G$16=0,100,(1-MIN(MAX(D33,0),Params!$G$16)/Params!$G$16)*100),"")</f>
        <v>95.395957195727334</v>
      </c>
      <c r="M33" s="11">
        <f>IF(ISNUMBER(E33),IF(Params!$G$17=0,100,(1-MIN(MAX(E33,0),Params!$G$17)/Params!$G$17)*100),"")</f>
        <v>100</v>
      </c>
      <c r="N33" s="11">
        <f>IF(ISNUMBER(F33),(Params!$G$19-MAX(Params!$G$18,MIN(Params!$G$19,F33)))/(Params!$G$19-Params!$G$18)*100,"")</f>
        <v>64.819235596682546</v>
      </c>
      <c r="O33" s="11">
        <f>IF(ISNUMBER(G33),(MAX(Params!$G$20,MIN(Params!$G$21,G33))-Params!$G$20)/(Params!$G$21-Params!$G$20)*100,"")</f>
        <v>46.290801186943611</v>
      </c>
      <c r="P33" s="11">
        <f>IF(ISNUMBER(H33),(Params!$G$23-MAX(Params!$G$22,MIN(Params!$G$23,H33)))/(Params!$G$23-Params!$G$22)*100,"")</f>
        <v>45.735683695121374</v>
      </c>
      <c r="Q33" s="11">
        <f t="shared" si="1"/>
        <v>100</v>
      </c>
      <c r="R33" s="11">
        <f t="shared" si="2"/>
        <v>0</v>
      </c>
      <c r="S33" s="12">
        <f t="shared" si="3"/>
        <v>58.737634483183449</v>
      </c>
      <c r="T33"/>
    </row>
    <row r="34" spans="1:21" ht="20" customHeight="1">
      <c r="A34" s="35" t="str">
        <v>South Korea</v>
      </c>
      <c r="B34" s="35" t="str">
        <v>KOR</v>
      </c>
      <c r="C34" s="61">
        <f>_xlfn.XLOOKUP($B34,[1]pillars_WIP!$B$7:$B$501,[1]pillars_WIP!$H$7:$H$501,"Missing",0)</f>
        <v>61.240740740740698</v>
      </c>
      <c r="D34" s="61">
        <f>_xlfn.XLOOKUP($B34,[1]pillars_WIP!$B$7:$B$501,[1]pillars_WIP!$I$7:$I$501,"Missing",0)</f>
        <v>0</v>
      </c>
      <c r="E34" s="61">
        <f>_xlfn.XLOOKUP($B34,[1]pillars_WIP!$B$7:$B$501,[1]pillars_WIP!$J$7:$J$501,"Missing",0)</f>
        <v>0</v>
      </c>
      <c r="F34" s="61">
        <f>_xlfn.XLOOKUP($B34,[1]pillars_WIP!$B$7:$B$501,[1]pillars_WIP!$K$7:$K$501,"Missing",0)</f>
        <v>-1.9439999999999993</v>
      </c>
      <c r="G34" s="61">
        <f>_xlfn.XLOOKUP($B34,[1]pillars_WIP!$B$7:$B$501,[1]pillars_WIP!$L$7:$L$501,"Missing",0)</f>
        <v>0.82971428571428585</v>
      </c>
      <c r="H34" s="61">
        <f>_xlfn.XLOOKUP($B34,[1]pillars_WIP!$B$7:$B$501,[1]pillars_WIP!$M$7:$M$501,"Missing",0)</f>
        <v>-14.849142857142859</v>
      </c>
      <c r="I34" s="33">
        <f>_xlfn.XLOOKUP($B34,[1]pillars_WIP!$B$7:$B$501,[1]pillars_WIP!$N$7:$N$501,"Missing",0)</f>
        <v>100</v>
      </c>
      <c r="J34" s="58">
        <f>IF($B34="","",_xlfn.XLOOKUP($B34,[1]pillars_WIP!$B$7:$B$501,[1]pillars_WIP!$O$7:$O$501,"Missing",0))</f>
        <v>75</v>
      </c>
      <c r="K34" s="11">
        <f t="shared" si="0"/>
        <v>61.240740740740698</v>
      </c>
      <c r="L34" s="11">
        <f>IF(ISNUMBER(D34),IF(Params!$G$16=0,100,(1-MIN(MAX(D34,0),Params!$G$16)/Params!$G$16)*100),"")</f>
        <v>100</v>
      </c>
      <c r="M34" s="11">
        <f>IF(ISNUMBER(E34),IF(Params!$G$17=0,100,(1-MIN(MAX(E34,0),Params!$G$17)/Params!$G$17)*100),"")</f>
        <v>100</v>
      </c>
      <c r="N34" s="11">
        <f>IF(ISNUMBER(F34),(Params!$G$19-MAX(Params!$G$18,MIN(Params!$G$19,F34)))/(Params!$G$19-Params!$G$18)*100,"")</f>
        <v>74.678217212610434</v>
      </c>
      <c r="O34" s="11">
        <f>IF(ISNUMBER(G34),(MAX(Params!$G$20,MIN(Params!$G$21,G34))-Params!$G$20)/(Params!$G$21-Params!$G$20)*100,"")</f>
        <v>26.553421347216542</v>
      </c>
      <c r="P34" s="11">
        <f>IF(ISNUMBER(H34),(Params!$G$23-MAX(Params!$G$22,MIN(Params!$G$23,H34)))/(Params!$G$23-Params!$G$22)*100,"")</f>
        <v>56.667545387364584</v>
      </c>
      <c r="Q34" s="11">
        <f t="shared" si="1"/>
        <v>100</v>
      </c>
      <c r="R34" s="11">
        <f t="shared" si="2"/>
        <v>75</v>
      </c>
      <c r="S34" s="12">
        <f t="shared" si="3"/>
        <v>75.030089147057282</v>
      </c>
      <c r="T34"/>
    </row>
    <row r="35" spans="1:21" ht="20" customHeight="1">
      <c r="A35" s="35" t="str">
        <v>Sri Lanka</v>
      </c>
      <c r="B35" s="35" t="str">
        <v>LKA</v>
      </c>
      <c r="C35" s="61">
        <f>_xlfn.XLOOKUP($B35,[1]pillars_WIP!$B$7:$B$501,[1]pillars_WIP!$H$7:$H$501,"Missing",0)</f>
        <v>41.089947089947003</v>
      </c>
      <c r="D35" s="61">
        <f>_xlfn.XLOOKUP($B35,[1]pillars_WIP!$B$7:$B$501,[1]pillars_WIP!$I$7:$I$501,"Missing",0)</f>
        <v>0</v>
      </c>
      <c r="E35" s="61">
        <f>_xlfn.XLOOKUP($B35,[1]pillars_WIP!$B$7:$B$501,[1]pillars_WIP!$J$7:$J$501,"Missing",0)</f>
        <v>0</v>
      </c>
      <c r="F35" s="61">
        <f>_xlfn.XLOOKUP($B35,[1]pillars_WIP!$B$7:$B$501,[1]pillars_WIP!$K$7:$K$501,"Missing",0)</f>
        <v>-1.0091428571428565</v>
      </c>
      <c r="G35" s="61">
        <f>_xlfn.XLOOKUP($B35,[1]pillars_WIP!$B$7:$B$501,[1]pillars_WIP!$L$7:$L$501,"Missing",0)</f>
        <v>4.2062857142857153</v>
      </c>
      <c r="H35" s="61">
        <f>_xlfn.XLOOKUP($B35,[1]pillars_WIP!$B$7:$B$501,[1]pillars_WIP!$M$7:$M$501,"Missing",0)</f>
        <v>-28.382857142857137</v>
      </c>
      <c r="I35" s="33">
        <f>_xlfn.XLOOKUP($B35,[1]pillars_WIP!$B$7:$B$501,[1]pillars_WIP!$N$7:$N$501,"Missing",0)</f>
        <v>0</v>
      </c>
      <c r="J35" s="58">
        <f>IF($B35="","",_xlfn.XLOOKUP($B35,[1]pillars_WIP!$B$7:$B$501,[1]pillars_WIP!$O$7:$O$501,"Missing",0))</f>
        <v>100</v>
      </c>
      <c r="K35" s="11">
        <f t="shared" si="0"/>
        <v>41.089947089947003</v>
      </c>
      <c r="L35" s="11">
        <f>IF(ISNUMBER(D35),IF(Params!$G$16=0,100,(1-MIN(MAX(D35,0),Params!$G$16)/Params!$G$16)*100),"")</f>
        <v>100</v>
      </c>
      <c r="M35" s="11">
        <f>IF(ISNUMBER(E35),IF(Params!$G$17=0,100,(1-MIN(MAX(E35,0),Params!$G$17)/Params!$G$17)*100),"")</f>
        <v>100</v>
      </c>
      <c r="N35" s="11">
        <f>IF(ISNUMBER(F35),(Params!$G$19-MAX(Params!$G$18,MIN(Params!$G$19,F35)))/(Params!$G$19-Params!$G$18)*100,"")</f>
        <v>58.573080993281309</v>
      </c>
      <c r="O35" s="11">
        <f>IF(ISNUMBER(G35),(MAX(Params!$G$20,MIN(Params!$G$21,G35))-Params!$G$20)/(Params!$G$21-Params!$G$20)*100,"")</f>
        <v>100</v>
      </c>
      <c r="P35" s="11">
        <f>IF(ISNUMBER(H35),(Params!$G$23-MAX(Params!$G$22,MIN(Params!$G$23,H35)))/(Params!$G$23-Params!$G$22)*100,"")</f>
        <v>97.608439175961649</v>
      </c>
      <c r="Q35" s="11">
        <f t="shared" si="1"/>
        <v>0</v>
      </c>
      <c r="R35" s="11">
        <f t="shared" si="2"/>
        <v>100</v>
      </c>
      <c r="S35" s="12">
        <f t="shared" si="3"/>
        <v>79.768238504064328</v>
      </c>
      <c r="T35"/>
    </row>
    <row r="36" spans="1:21" ht="20" customHeight="1">
      <c r="A36" s="35" t="str">
        <v>Taiwan, China</v>
      </c>
      <c r="B36" s="35" t="str">
        <v>TWN</v>
      </c>
      <c r="C36" s="87">
        <v>59.825396825396794</v>
      </c>
      <c r="D36" s="61">
        <f>_xlfn.XLOOKUP($B36,[1]pillars_WIP!$B$7:$B$501,[1]pillars_WIP!$I$7:$I$501,"Missing",0)</f>
        <v>0</v>
      </c>
      <c r="E36" s="61">
        <f>_xlfn.XLOOKUP($B36,[1]pillars_WIP!$B$7:$B$501,[1]pillars_WIP!$J$7:$J$501,"Missing",0)</f>
        <v>0</v>
      </c>
      <c r="F36" s="61">
        <f>_xlfn.XLOOKUP($B36,[1]pillars_WIP!$B$7:$B$501,[1]pillars_WIP!$K$7:$K$501,"Missing",0)</f>
        <v>-1.3205714285714287</v>
      </c>
      <c r="G36" s="61">
        <f>_xlfn.XLOOKUP($B36,[1]pillars_WIP!$B$7:$B$501,[1]pillars_WIP!$L$7:$L$501,"Missing",0)</f>
        <v>1.2748571428571429</v>
      </c>
      <c r="H36" s="61">
        <f>_xlfn.XLOOKUP($B36,[1]pillars_WIP!$B$7:$B$501,[1]pillars_WIP!$M$7:$M$501,"Missing",0)</f>
        <v>-2.68171428571427</v>
      </c>
      <c r="I36" s="33">
        <f>_xlfn.XLOOKUP($B36,[1]pillars_WIP!$B$7:$B$501,[1]pillars_WIP!$N$7:$N$501,"Missing",0)</f>
        <v>100</v>
      </c>
      <c r="J36" s="58">
        <f>IF($B36="","",_xlfn.XLOOKUP($B36,[1]pillars_WIP!$B$7:$B$501,[1]pillars_WIP!$O$7:$O$501,"Missing",0))</f>
        <v>0</v>
      </c>
      <c r="K36" s="85">
        <f t="shared" si="0"/>
        <v>59.825396825396794</v>
      </c>
      <c r="L36" s="11">
        <f>IF(ISNUMBER(D36),IF(Params!$G$16=0,100,(1-MIN(MAX(D36,0),Params!$G$16)/Params!$G$16)*100),"")</f>
        <v>100</v>
      </c>
      <c r="M36" s="11">
        <f>IF(ISNUMBER(E36),IF(Params!$G$17=0,100,(1-MIN(MAX(E36,0),Params!$G$17)/Params!$G$17)*100),"")</f>
        <v>100</v>
      </c>
      <c r="N36" s="11">
        <f>IF(ISNUMBER(F36),(Params!$G$19-MAX(Params!$G$18,MIN(Params!$G$19,F36)))/(Params!$G$19-Params!$G$18)*100,"")</f>
        <v>63.938178327960038</v>
      </c>
      <c r="O36" s="11">
        <f>IF(ISNUMBER(G36),(MAX(Params!$G$20,MIN(Params!$G$21,G36))-Params!$G$20)/(Params!$G$21-Params!$G$20)*100,"")</f>
        <v>37.626823504326659</v>
      </c>
      <c r="P36" s="11">
        <f>IF(ISNUMBER(H36),(Params!$G$23-MAX(Params!$G$22,MIN(Params!$G$23,H36)))/(Params!$G$23-Params!$G$22)*100,"")</f>
        <v>19.85980803554061</v>
      </c>
      <c r="Q36" s="11">
        <f t="shared" si="1"/>
        <v>100</v>
      </c>
      <c r="R36" s="11">
        <f t="shared" si="2"/>
        <v>0</v>
      </c>
      <c r="S36" s="86">
        <f t="shared" si="3"/>
        <v>56.955632481765271</v>
      </c>
      <c r="T36"/>
    </row>
    <row r="37" spans="1:21" ht="20" customHeight="1">
      <c r="A37" s="35" t="str">
        <v>Thailand</v>
      </c>
      <c r="B37" s="35" t="str">
        <v>THA</v>
      </c>
      <c r="C37" s="61">
        <f>_xlfn.XLOOKUP($B37,[1]pillars_WIP!$B$7:$B$501,[1]pillars_WIP!$H$7:$H$501,"Missing",0)</f>
        <v>49.592592592592602</v>
      </c>
      <c r="D37" s="61">
        <f>_xlfn.XLOOKUP($B37,[1]pillars_WIP!$B$7:$B$501,[1]pillars_WIP!$I$7:$I$501,"Missing",0)</f>
        <v>0</v>
      </c>
      <c r="E37" s="61">
        <f>_xlfn.XLOOKUP($B37,[1]pillars_WIP!$B$7:$B$501,[1]pillars_WIP!$J$7:$J$501,"Missing",0)</f>
        <v>0</v>
      </c>
      <c r="F37" s="61">
        <f>_xlfn.XLOOKUP($B37,[1]pillars_WIP!$B$7:$B$501,[1]pillars_WIP!$K$7:$K$501,"Missing",0)</f>
        <v>-0.8028571428571426</v>
      </c>
      <c r="G37" s="61">
        <f>_xlfn.XLOOKUP($B37,[1]pillars_WIP!$B$7:$B$501,[1]pillars_WIP!$L$7:$L$501,"Missing",0)</f>
        <v>0.14000000000000007</v>
      </c>
      <c r="H37" s="61">
        <f>_xlfn.XLOOKUP($B37,[1]pillars_WIP!$B$7:$B$501,[1]pillars_WIP!$M$7:$M$501,"Missing",0)</f>
        <v>-3.0648571428571358</v>
      </c>
      <c r="I37" s="33">
        <f>_xlfn.XLOOKUP($B37,[1]pillars_WIP!$B$7:$B$501,[1]pillars_WIP!$N$7:$N$501,"Missing",0)</f>
        <v>70</v>
      </c>
      <c r="J37" s="58">
        <f>IF($B37="","",_xlfn.XLOOKUP($B37,[1]pillars_WIP!$B$7:$B$501,[1]pillars_WIP!$O$7:$O$501,"Missing",0))</f>
        <v>0</v>
      </c>
      <c r="K37" s="11">
        <f t="shared" si="0"/>
        <v>49.592592592592602</v>
      </c>
      <c r="L37" s="11">
        <f>IF(ISNUMBER(D37),IF(Params!$G$16=0,100,(1-MIN(MAX(D37,0),Params!$G$16)/Params!$G$16)*100),"")</f>
        <v>100</v>
      </c>
      <c r="M37" s="11">
        <f>IF(ISNUMBER(E37),IF(Params!$G$17=0,100,(1-MIN(MAX(E37,0),Params!$G$17)/Params!$G$17)*100),"")</f>
        <v>100</v>
      </c>
      <c r="N37" s="11">
        <f>IF(ISNUMBER(F37),(Params!$G$19-MAX(Params!$G$18,MIN(Params!$G$19,F37)))/(Params!$G$19-Params!$G$18)*100,"")</f>
        <v>55.01931927251249</v>
      </c>
      <c r="O37" s="11">
        <f>IF(ISNUMBER(G37),(MAX(Params!$G$20,MIN(Params!$G$21,G37))-Params!$G$20)/(Params!$G$21-Params!$G$20)*100,"")</f>
        <v>9.3960447058405485</v>
      </c>
      <c r="P37" s="11">
        <f>IF(ISNUMBER(H37),(Params!$G$23-MAX(Params!$G$22,MIN(Params!$G$23,H37)))/(Params!$G$23-Params!$G$22)*100,"")</f>
        <v>21.018855041335868</v>
      </c>
      <c r="Q37" s="11">
        <f t="shared" si="1"/>
        <v>70</v>
      </c>
      <c r="R37" s="11">
        <f t="shared" si="2"/>
        <v>0</v>
      </c>
      <c r="S37" s="12">
        <f t="shared" si="3"/>
        <v>48.962463191820348</v>
      </c>
      <c r="T37"/>
    </row>
    <row r="38" spans="1:21" ht="20" customHeight="1">
      <c r="A38" s="35" t="str">
        <v>Türkiye</v>
      </c>
      <c r="B38" s="35" t="str">
        <v>TUR</v>
      </c>
      <c r="C38" s="61">
        <f>_xlfn.XLOOKUP($B38,[1]pillars_WIP!$B$7:$B$501,[1]pillars_WIP!$H$7:$H$501,"Missing",0)</f>
        <v>54.936507936507901</v>
      </c>
      <c r="D38" s="61">
        <f>_xlfn.XLOOKUP($B38,[1]pillars_WIP!$B$7:$B$501,[1]pillars_WIP!$I$7:$I$501,"Missing",0)</f>
        <v>6.7209815759138772E-2</v>
      </c>
      <c r="E38" s="61">
        <f>_xlfn.XLOOKUP($B38,[1]pillars_WIP!$B$7:$B$501,[1]pillars_WIP!$J$7:$J$501,"Missing",0)</f>
        <v>0</v>
      </c>
      <c r="F38" s="61">
        <f>_xlfn.XLOOKUP($B38,[1]pillars_WIP!$B$7:$B$501,[1]pillars_WIP!$K$7:$K$501,"Missing",0)</f>
        <v>-4.0285714285715105E-2</v>
      </c>
      <c r="G38" s="61">
        <f>_xlfn.XLOOKUP($B38,[1]pillars_WIP!$B$7:$B$501,[1]pillars_WIP!$L$7:$L$501,"Missing",0)</f>
        <v>0.43085714285714283</v>
      </c>
      <c r="H38" s="61">
        <f>_xlfn.XLOOKUP($B38,[1]pillars_WIP!$B$7:$B$501,[1]pillars_WIP!$M$7:$M$501,"Missing",0)</f>
        <v>-2.0668571428571387</v>
      </c>
      <c r="I38" s="33">
        <f>_xlfn.XLOOKUP($B38,[1]pillars_WIP!$B$7:$B$501,[1]pillars_WIP!$N$7:$N$501,"Missing",0)</f>
        <v>0</v>
      </c>
      <c r="J38" s="58">
        <f>IF($B38="","",_xlfn.XLOOKUP($B38,[1]pillars_WIP!$B$7:$B$501,[1]pillars_WIP!$O$7:$O$501,"Missing",0))</f>
        <v>0</v>
      </c>
      <c r="K38" s="11">
        <f t="shared" si="0"/>
        <v>54.936507936507901</v>
      </c>
      <c r="L38" s="11">
        <f>IF(ISNUMBER(D38),IF(Params!$G$16=0,100,(1-MIN(MAX(D38,0),Params!$G$16)/Params!$G$16)*100),"")</f>
        <v>95.212331093972608</v>
      </c>
      <c r="M38" s="11">
        <f>IF(ISNUMBER(E38),IF(Params!$G$17=0,100,(1-MIN(MAX(E38,0),Params!$G$17)/Params!$G$17)*100),"")</f>
        <v>100</v>
      </c>
      <c r="N38" s="11">
        <f>IF(ISNUMBER(F38),(Params!$G$19-MAX(Params!$G$18,MIN(Params!$G$19,F38)))/(Params!$G$19-Params!$G$18)*100,"")</f>
        <v>41.882213964019407</v>
      </c>
      <c r="O38" s="11">
        <f>IF(ISNUMBER(G38),(MAX(Params!$G$20,MIN(Params!$G$21,G38))-Params!$G$20)/(Params!$G$21-Params!$G$20)*100,"")</f>
        <v>16.631425576147411</v>
      </c>
      <c r="P38" s="11">
        <f>IF(ISNUMBER(H38),(Params!$G$23-MAX(Params!$G$22,MIN(Params!$G$23,H38)))/(Params!$G$23-Params!$G$22)*100,"")</f>
        <v>17.999801207448666</v>
      </c>
      <c r="Q38" s="11">
        <f t="shared" si="1"/>
        <v>0</v>
      </c>
      <c r="R38" s="11">
        <f t="shared" si="2"/>
        <v>0</v>
      </c>
      <c r="S38" s="12">
        <f t="shared" si="3"/>
        <v>42.28797476883247</v>
      </c>
      <c r="T38"/>
    </row>
    <row r="39" spans="1:21" ht="20" customHeight="1">
      <c r="A39" s="35" t="str">
        <v>United States</v>
      </c>
      <c r="B39" s="35" t="str">
        <v>USA</v>
      </c>
      <c r="C39" s="61">
        <f>_xlfn.XLOOKUP($B39,[1]pillars_WIP!$B$7:$B$501,[1]pillars_WIP!$H$7:$H$501,"Missing",0)</f>
        <v>74.796296296296205</v>
      </c>
      <c r="D39" s="61">
        <f>_xlfn.XLOOKUP($B39,[1]pillars_WIP!$B$7:$B$501,[1]pillars_WIP!$I$7:$I$501,"Missing",0)</f>
        <v>1.1751157489012667E-2</v>
      </c>
      <c r="E39" s="61">
        <f>_xlfn.XLOOKUP($B39,[1]pillars_WIP!$B$7:$B$501,[1]pillars_WIP!$J$7:$J$501,"Missing",0)</f>
        <v>0</v>
      </c>
      <c r="F39" s="61">
        <f>_xlfn.XLOOKUP($B39,[1]pillars_WIP!$B$7:$B$501,[1]pillars_WIP!$K$7:$K$501,"Missing",0)</f>
        <v>-1.5371428571428574</v>
      </c>
      <c r="G39" s="61">
        <f>_xlfn.XLOOKUP($B39,[1]pillars_WIP!$B$7:$B$501,[1]pillars_WIP!$L$7:$L$501,"Missing",0)</f>
        <v>1.0728571428571427</v>
      </c>
      <c r="H39" s="61">
        <f>_xlfn.XLOOKUP($B39,[1]pillars_WIP!$B$7:$B$501,[1]pillars_WIP!$M$7:$M$501,"Missing",0)</f>
        <v>-9.9502857142857195</v>
      </c>
      <c r="I39" s="33">
        <f>_xlfn.XLOOKUP($B39,[1]pillars_WIP!$B$7:$B$501,[1]pillars_WIP!$N$7:$N$501,"Missing",0)</f>
        <v>0</v>
      </c>
      <c r="J39" s="58">
        <f>IF($B39="","",_xlfn.XLOOKUP($B39,[1]pillars_WIP!$B$7:$B$501,[1]pillars_WIP!$O$7:$O$501,"Missing",0))</f>
        <v>75</v>
      </c>
      <c r="K39" s="11">
        <f t="shared" si="0"/>
        <v>74.796296296296205</v>
      </c>
      <c r="L39" s="11">
        <f>IF(ISNUMBER(D39),IF(Params!$G$16=0,100,(1-MIN(MAX(D39,0),Params!$G$16)/Params!$G$16)*100),"")</f>
        <v>99.162910198688849</v>
      </c>
      <c r="M39" s="11">
        <f>IF(ISNUMBER(E39),IF(Params!$G$17=0,100,(1-MIN(MAX(E39,0),Params!$G$17)/Params!$G$17)*100),"")</f>
        <v>100</v>
      </c>
      <c r="N39" s="11">
        <f>IF(ISNUMBER(F39),(Params!$G$19-MAX(Params!$G$18,MIN(Params!$G$19,F39)))/(Params!$G$19-Params!$G$18)*100,"")</f>
        <v>67.66913592400266</v>
      </c>
      <c r="O39" s="11">
        <f>IF(ISNUMBER(G39),(MAX(Params!$G$20,MIN(Params!$G$21,G39))-Params!$G$20)/(Params!$G$21-Params!$G$20)*100,"")</f>
        <v>32.601858597345363</v>
      </c>
      <c r="P39" s="11">
        <f>IF(ISNUMBER(H39),(Params!$G$23-MAX(Params!$G$22,MIN(Params!$G$23,H39)))/(Params!$G$23-Params!$G$22)*100,"")</f>
        <v>41.847992843468177</v>
      </c>
      <c r="Q39" s="11">
        <f t="shared" si="1"/>
        <v>0</v>
      </c>
      <c r="R39" s="11">
        <f t="shared" si="2"/>
        <v>75</v>
      </c>
      <c r="S39" s="12">
        <f t="shared" si="3"/>
        <v>67.221979957384974</v>
      </c>
      <c r="T39"/>
    </row>
    <row r="40" spans="1:21" ht="20" customHeight="1">
      <c r="A40" s="35" t="str">
        <v>Vietnam</v>
      </c>
      <c r="B40" s="35" t="str">
        <v>VNM</v>
      </c>
      <c r="C40" s="61">
        <v>27.629629629629601</v>
      </c>
      <c r="D40" s="61">
        <f>_xlfn.XLOOKUP($B40,[1]pillars_WIP!$B$7:$B$501,[1]pillars_WIP!$I$7:$I$501,"Missing",0)</f>
        <v>0.23305314044518199</v>
      </c>
      <c r="E40" s="61">
        <f>_xlfn.XLOOKUP($B40,[1]pillars_WIP!$B$7:$B$501,[1]pillars_WIP!$J$7:$J$501,"Missing",0)</f>
        <v>0.12168548648941159</v>
      </c>
      <c r="F40" s="61">
        <f>_xlfn.XLOOKUP($B40,[1]pillars_WIP!$B$7:$B$501,[1]pillars_WIP!$K$7:$K$501,"Missing",0)</f>
        <v>-0.54942857142857138</v>
      </c>
      <c r="G40" s="61">
        <f>_xlfn.XLOOKUP($B40,[1]pillars_WIP!$B$7:$B$501,[1]pillars_WIP!$L$7:$L$501,"Missing",0)</f>
        <v>2.5862857142857147</v>
      </c>
      <c r="H40" s="61">
        <f>_xlfn.XLOOKUP($B40,[1]pillars_WIP!$B$7:$B$501,[1]pillars_WIP!$M$7:$M$501,"Missing",0)</f>
        <v>-16.446285714285718</v>
      </c>
      <c r="I40" s="33">
        <f>_xlfn.XLOOKUP($B40,[1]pillars_WIP!$B$7:$B$501,[1]pillars_WIP!$N$7:$N$501,"Missing",0)</f>
        <v>100</v>
      </c>
      <c r="J40" s="58">
        <f>IF($B40="","",_xlfn.XLOOKUP($B40,[1]pillars_WIP!$B$7:$B$501,[1]pillars_WIP!$O$7:$O$501,"Missing",0))</f>
        <v>50</v>
      </c>
      <c r="K40" s="11">
        <f t="shared" si="0"/>
        <v>27.629629629629601</v>
      </c>
      <c r="L40" s="11">
        <f>IF(ISNUMBER(D40),IF(Params!$G$16=0,100,(1-MIN(MAX(D40,0),Params!$G$16)/Params!$G$16)*100),"")</f>
        <v>83.39853693454414</v>
      </c>
      <c r="M40" s="11">
        <f>IF(ISNUMBER(E40),IF(Params!$G$17=0,100,(1-MIN(MAX(E40,0),Params!$G$17)/Params!$G$17)*100),"")</f>
        <v>33.228293699595682</v>
      </c>
      <c r="N40" s="11">
        <f>IF(ISNUMBER(F40),(Params!$G$19-MAX(Params!$G$18,MIN(Params!$G$19,F40)))/(Params!$G$19-Params!$G$18)*100,"")</f>
        <v>50.653409790072111</v>
      </c>
      <c r="O40" s="11">
        <f>IF(ISNUMBER(G40),(MAX(Params!$G$20,MIN(Params!$G$21,G40))-Params!$G$20)/(Params!$G$21-Params!$G$20)*100,"")</f>
        <v>70.250004442154264</v>
      </c>
      <c r="P40" s="11">
        <f>IF(ISNUMBER(H40),(Params!$G$23-MAX(Params!$G$22,MIN(Params!$G$23,H40)))/(Params!$G$23-Params!$G$22)*100,"")</f>
        <v>61.499068700112815</v>
      </c>
      <c r="Q40" s="11">
        <f t="shared" si="1"/>
        <v>100</v>
      </c>
      <c r="R40" s="11">
        <f t="shared" si="2"/>
        <v>50</v>
      </c>
      <c r="S40" s="12">
        <f t="shared" si="3"/>
        <v>58.075051912910283</v>
      </c>
      <c r="T40"/>
    </row>
    <row r="41" spans="1:21" s="36" customFormat="1" ht="20" customHeight="1">
      <c r="A41" s="45"/>
      <c r="B41" s="45"/>
      <c r="C41" s="83"/>
      <c r="D41" s="83"/>
      <c r="E41" s="83"/>
      <c r="F41" s="83"/>
      <c r="G41" s="83"/>
      <c r="H41" s="83"/>
      <c r="I41" s="84"/>
      <c r="J41" s="83"/>
      <c r="K41" s="49"/>
      <c r="L41" s="49"/>
      <c r="M41" s="49"/>
      <c r="N41" s="49"/>
      <c r="O41" s="49"/>
      <c r="P41" s="49"/>
      <c r="Q41" s="49"/>
      <c r="R41" s="49"/>
      <c r="S41" s="50"/>
      <c r="U41" s="50"/>
    </row>
    <row r="42" spans="1:21" ht="20" customHeight="1">
      <c r="A42" s="10"/>
      <c r="B42" s="10"/>
      <c r="C42" s="15"/>
      <c r="D42" s="15"/>
      <c r="E42" s="15"/>
      <c r="F42" s="15"/>
      <c r="G42" s="15"/>
      <c r="H42" s="15"/>
      <c r="I42" s="43"/>
      <c r="J42" s="15"/>
      <c r="K42" s="11"/>
      <c r="L42" s="11"/>
      <c r="M42" s="11"/>
      <c r="N42" s="11"/>
      <c r="O42" s="11"/>
      <c r="P42" s="11"/>
      <c r="Q42" s="11"/>
      <c r="R42" s="11"/>
      <c r="S42" s="12"/>
    </row>
    <row r="43" spans="1:21" ht="20" customHeight="1">
      <c r="A43" s="78" t="s">
        <v>706</v>
      </c>
      <c r="B43" s="78"/>
      <c r="C43" s="15"/>
      <c r="D43" s="15"/>
      <c r="E43" s="15"/>
      <c r="F43" s="15"/>
      <c r="G43" s="15"/>
      <c r="H43" s="15"/>
      <c r="I43" s="43"/>
      <c r="J43" s="15"/>
      <c r="K43" s="11"/>
      <c r="L43" s="11"/>
      <c r="M43" s="11"/>
      <c r="N43" s="11"/>
      <c r="O43" s="11"/>
      <c r="P43" s="11"/>
      <c r="Q43" s="11"/>
      <c r="R43" s="11"/>
      <c r="S43" s="12"/>
    </row>
    <row r="44" spans="1:21" ht="20" customHeight="1">
      <c r="A44" s="77" t="s">
        <v>711</v>
      </c>
      <c r="B44" s="77"/>
      <c r="C44" s="15"/>
      <c r="D44" s="15"/>
      <c r="E44" s="15"/>
      <c r="F44" s="15"/>
      <c r="G44" s="15"/>
      <c r="H44" s="15"/>
      <c r="I44" s="43"/>
      <c r="J44" s="15"/>
      <c r="K44" s="11"/>
      <c r="L44" s="11"/>
      <c r="M44" s="11"/>
      <c r="N44" s="11"/>
      <c r="O44" s="11"/>
      <c r="P44" s="11"/>
      <c r="Q44" s="11"/>
      <c r="R44" s="11"/>
      <c r="S44" s="12"/>
    </row>
    <row r="45" spans="1:21" ht="20" customHeight="1">
      <c r="A45" s="10"/>
      <c r="B45" s="10"/>
      <c r="C45" s="15"/>
      <c r="D45" s="15"/>
      <c r="E45" s="15"/>
      <c r="F45" s="15"/>
      <c r="G45" s="15"/>
      <c r="H45" s="15"/>
      <c r="I45" s="43"/>
      <c r="J45" s="15"/>
      <c r="K45" s="11"/>
      <c r="L45" s="11"/>
      <c r="M45" s="11"/>
      <c r="N45" s="11"/>
      <c r="O45" s="11"/>
      <c r="P45" s="11"/>
      <c r="Q45" s="11"/>
      <c r="R45" s="11"/>
      <c r="S45" s="12"/>
    </row>
    <row r="46" spans="1:21" ht="20" customHeight="1">
      <c r="A46" s="10"/>
      <c r="B46" s="10"/>
      <c r="C46" s="15"/>
      <c r="D46" s="15"/>
      <c r="E46" s="15"/>
      <c r="F46" s="15"/>
      <c r="G46" s="15"/>
      <c r="H46" s="15"/>
      <c r="I46" s="43"/>
      <c r="J46" s="15"/>
      <c r="K46" s="11"/>
      <c r="L46" s="11"/>
      <c r="M46" s="11"/>
      <c r="N46" s="11"/>
      <c r="O46" s="11"/>
      <c r="P46" s="11"/>
      <c r="Q46" s="11"/>
      <c r="R46" s="11"/>
      <c r="S46" s="12"/>
    </row>
    <row r="47" spans="1:21" ht="20" customHeight="1">
      <c r="A47" s="107" t="s">
        <v>745</v>
      </c>
      <c r="B47" s="106"/>
      <c r="C47" s="15"/>
      <c r="D47" s="15"/>
      <c r="E47" s="15"/>
      <c r="F47" s="15"/>
      <c r="G47" s="15"/>
      <c r="H47" s="15"/>
      <c r="I47" s="43"/>
      <c r="J47" s="15"/>
      <c r="K47" s="11"/>
      <c r="L47" s="11"/>
      <c r="M47" s="11"/>
      <c r="N47" s="11"/>
      <c r="O47" s="11"/>
      <c r="P47" s="11"/>
      <c r="Q47" s="11"/>
      <c r="R47" s="11"/>
      <c r="S47" s="12"/>
    </row>
    <row r="48" spans="1:21" ht="20" hidden="1" customHeight="1">
      <c r="A48" s="96" t="s">
        <v>82</v>
      </c>
      <c r="B48" s="96" t="s">
        <v>83</v>
      </c>
      <c r="C48" s="97">
        <v>27.629629629629601</v>
      </c>
      <c r="D48" s="98"/>
      <c r="E48" s="98"/>
      <c r="F48" s="98"/>
      <c r="G48" s="98"/>
      <c r="H48" s="98"/>
      <c r="I48" s="99"/>
      <c r="J48" s="98"/>
      <c r="K48" s="108" t="s">
        <v>714</v>
      </c>
      <c r="L48" s="93"/>
      <c r="M48" s="93"/>
      <c r="N48" s="93"/>
      <c r="O48" s="93"/>
      <c r="P48" s="93"/>
      <c r="Q48" s="93"/>
      <c r="R48" s="93"/>
      <c r="S48" s="93"/>
    </row>
    <row r="49" spans="1:19" ht="20" hidden="1" customHeight="1">
      <c r="A49" s="96" t="s">
        <v>78</v>
      </c>
      <c r="B49" s="96" t="s">
        <v>79</v>
      </c>
      <c r="C49" s="97">
        <v>33.648148148148096</v>
      </c>
      <c r="D49" s="98"/>
      <c r="E49" s="98"/>
      <c r="F49" s="98"/>
      <c r="G49" s="98"/>
      <c r="H49" s="98"/>
      <c r="I49" s="99"/>
      <c r="J49" s="98"/>
      <c r="K49" s="108" t="s">
        <v>715</v>
      </c>
      <c r="L49" s="93"/>
      <c r="M49" s="93"/>
      <c r="N49" s="93"/>
      <c r="O49" s="93"/>
      <c r="P49" s="93"/>
      <c r="Q49" s="93"/>
      <c r="R49" s="93"/>
      <c r="S49" s="93"/>
    </row>
    <row r="50" spans="1:19" ht="20" customHeight="1">
      <c r="A50" s="96" t="s">
        <v>476</v>
      </c>
      <c r="B50" s="96" t="s">
        <v>180</v>
      </c>
      <c r="C50" s="97">
        <v>59.825396825396794</v>
      </c>
      <c r="D50" s="98"/>
      <c r="E50" s="98"/>
      <c r="F50" s="98"/>
      <c r="G50" s="98"/>
      <c r="H50" s="98"/>
      <c r="I50" s="99"/>
      <c r="J50" s="98"/>
      <c r="K50" s="108" t="s">
        <v>716</v>
      </c>
      <c r="L50" s="93"/>
      <c r="M50" s="93"/>
      <c r="N50" s="93"/>
      <c r="O50" s="93"/>
      <c r="P50" s="93"/>
      <c r="Q50" s="93"/>
      <c r="R50" s="93"/>
      <c r="S50" s="93"/>
    </row>
    <row r="51" spans="1:19" ht="20" hidden="1" customHeight="1">
      <c r="A51" s="96" t="s">
        <v>282</v>
      </c>
      <c r="B51" s="96" t="s">
        <v>283</v>
      </c>
      <c r="C51" s="97">
        <v>27.629629629629601</v>
      </c>
      <c r="D51" s="98"/>
      <c r="E51" s="98"/>
      <c r="F51" s="98"/>
      <c r="G51" s="98"/>
      <c r="H51" s="98"/>
      <c r="I51" s="99"/>
      <c r="J51" s="98"/>
      <c r="K51" s="108" t="s">
        <v>714</v>
      </c>
      <c r="L51" s="93"/>
      <c r="M51" s="93"/>
      <c r="N51" s="93"/>
      <c r="O51" s="93"/>
      <c r="P51" s="93"/>
      <c r="Q51" s="93"/>
      <c r="R51" s="93"/>
      <c r="S51" s="93"/>
    </row>
    <row r="52" spans="1:19" ht="20" hidden="1" customHeight="1">
      <c r="A52" s="96" t="s">
        <v>288</v>
      </c>
      <c r="B52" s="96" t="s">
        <v>289</v>
      </c>
      <c r="C52" s="97">
        <v>27.629629629629601</v>
      </c>
      <c r="D52" s="98"/>
      <c r="E52" s="98"/>
      <c r="F52" s="98"/>
      <c r="G52" s="98"/>
      <c r="H52" s="98"/>
      <c r="I52" s="99"/>
      <c r="J52" s="98"/>
      <c r="K52" s="108" t="s">
        <v>714</v>
      </c>
      <c r="L52" s="93"/>
      <c r="M52" s="93"/>
      <c r="N52" s="93"/>
      <c r="O52" s="93"/>
      <c r="P52" s="93"/>
      <c r="Q52" s="93"/>
      <c r="R52" s="93"/>
      <c r="S52" s="93"/>
    </row>
    <row r="53" spans="1:19" ht="20" hidden="1" customHeight="1">
      <c r="A53" s="96" t="s">
        <v>290</v>
      </c>
      <c r="B53" s="96" t="s">
        <v>291</v>
      </c>
      <c r="C53" s="97">
        <v>63.6111111111111</v>
      </c>
      <c r="D53" s="98"/>
      <c r="E53" s="98"/>
      <c r="F53" s="98"/>
      <c r="G53" s="98"/>
      <c r="H53" s="98"/>
      <c r="I53" s="99"/>
      <c r="J53" s="98"/>
      <c r="K53" s="108" t="s">
        <v>717</v>
      </c>
      <c r="L53" s="93"/>
      <c r="M53" s="93"/>
      <c r="N53" s="93"/>
      <c r="O53" s="93"/>
      <c r="P53" s="93"/>
      <c r="Q53" s="93"/>
      <c r="R53" s="93"/>
      <c r="S53" s="93"/>
    </row>
    <row r="54" spans="1:19" ht="20" hidden="1" customHeight="1">
      <c r="A54" s="96" t="s">
        <v>478</v>
      </c>
      <c r="B54" s="96" t="s">
        <v>328</v>
      </c>
      <c r="C54" s="97">
        <v>46.251984126984119</v>
      </c>
      <c r="D54" s="98"/>
      <c r="E54" s="98"/>
      <c r="F54" s="98"/>
      <c r="G54" s="98"/>
      <c r="H54" s="98"/>
      <c r="I54" s="99"/>
      <c r="J54" s="98"/>
      <c r="K54" s="108" t="s">
        <v>718</v>
      </c>
      <c r="L54" s="93"/>
      <c r="M54" s="93"/>
      <c r="N54" s="93"/>
      <c r="O54" s="93"/>
      <c r="P54" s="93"/>
      <c r="Q54" s="93"/>
      <c r="R54" s="93"/>
      <c r="S54" s="93"/>
    </row>
    <row r="55" spans="1:19" ht="20" customHeight="1">
      <c r="A55" s="96" t="s">
        <v>312</v>
      </c>
      <c r="B55" s="96" t="s">
        <v>313</v>
      </c>
      <c r="C55" s="98"/>
      <c r="D55" s="98"/>
      <c r="E55" s="98"/>
      <c r="F55" s="98"/>
      <c r="G55" s="98"/>
      <c r="H55" s="97">
        <v>-2.3711428571428508</v>
      </c>
      <c r="I55" s="99"/>
      <c r="J55" s="98"/>
      <c r="K55" s="108" t="s">
        <v>719</v>
      </c>
      <c r="L55" s="93"/>
      <c r="M55" s="93"/>
      <c r="N55" s="93"/>
      <c r="O55" s="93"/>
      <c r="P55" s="93"/>
      <c r="Q55" s="93"/>
      <c r="R55" s="93"/>
      <c r="S55" s="93"/>
    </row>
    <row r="56" spans="1:19" ht="20" hidden="1" customHeight="1">
      <c r="A56" s="96" t="s">
        <v>373</v>
      </c>
      <c r="B56" s="96" t="s">
        <v>374</v>
      </c>
      <c r="C56" s="97">
        <v>65.7777777777777</v>
      </c>
      <c r="D56" s="98"/>
      <c r="E56" s="98"/>
      <c r="F56" s="98"/>
      <c r="G56" s="98"/>
      <c r="H56" s="98"/>
      <c r="I56" s="99"/>
      <c r="J56" s="98"/>
      <c r="K56" s="108" t="s">
        <v>720</v>
      </c>
      <c r="L56" s="93"/>
      <c r="M56" s="93"/>
      <c r="N56" s="93"/>
      <c r="O56" s="93"/>
      <c r="P56" s="93"/>
      <c r="Q56" s="93"/>
      <c r="R56" s="93"/>
      <c r="S56" s="93"/>
    </row>
    <row r="57" spans="1:19" ht="20" customHeight="1">
      <c r="A57" s="96" t="s">
        <v>405</v>
      </c>
      <c r="B57" s="96" t="s">
        <v>406</v>
      </c>
      <c r="C57" s="97">
        <v>59.825396825396794</v>
      </c>
      <c r="D57" s="98"/>
      <c r="E57" s="98"/>
      <c r="F57" s="98"/>
      <c r="G57" s="98"/>
      <c r="H57" s="98"/>
      <c r="I57" s="99"/>
      <c r="J57" s="98"/>
      <c r="K57" s="108" t="s">
        <v>716</v>
      </c>
      <c r="L57" s="93"/>
      <c r="M57" s="93"/>
      <c r="N57" s="93"/>
      <c r="O57" s="93"/>
      <c r="P57" s="93"/>
      <c r="Q57" s="93"/>
      <c r="R57" s="93"/>
      <c r="S57" s="93"/>
    </row>
    <row r="58" spans="1:19" ht="20" hidden="1" customHeight="1">
      <c r="A58" s="96" t="s">
        <v>411</v>
      </c>
      <c r="B58" s="96" t="s">
        <v>412</v>
      </c>
      <c r="C58" s="98"/>
      <c r="D58" s="98"/>
      <c r="E58" s="98"/>
      <c r="F58" s="97">
        <v>-1.1279999999999992</v>
      </c>
      <c r="G58" s="98"/>
      <c r="H58" s="98"/>
      <c r="I58" s="99"/>
      <c r="J58" s="98"/>
      <c r="K58" s="108" t="s">
        <v>721</v>
      </c>
      <c r="L58" s="93"/>
      <c r="M58" s="93"/>
      <c r="N58" s="93"/>
      <c r="O58" s="93"/>
      <c r="P58" s="93"/>
      <c r="Q58" s="93"/>
      <c r="R58" s="93"/>
      <c r="S58" s="93"/>
    </row>
    <row r="59" spans="1:19" ht="20" hidden="1" customHeight="1">
      <c r="A59" s="96" t="s">
        <v>411</v>
      </c>
      <c r="B59" s="96" t="s">
        <v>412</v>
      </c>
      <c r="C59" s="98"/>
      <c r="D59" s="98"/>
      <c r="E59" s="98"/>
      <c r="F59" s="98"/>
      <c r="G59" s="97">
        <v>1.5148571428571431</v>
      </c>
      <c r="H59" s="98"/>
      <c r="I59" s="99"/>
      <c r="J59" s="97"/>
      <c r="K59" s="108" t="s">
        <v>721</v>
      </c>
      <c r="L59" s="93"/>
      <c r="M59" s="93"/>
      <c r="N59" s="93"/>
      <c r="O59" s="93"/>
      <c r="P59" s="93"/>
      <c r="Q59" s="93"/>
      <c r="R59" s="93"/>
      <c r="S59" s="93"/>
    </row>
    <row r="60" spans="1:19" ht="20" hidden="1" customHeight="1">
      <c r="A60" s="96" t="s">
        <v>411</v>
      </c>
      <c r="B60" s="96" t="s">
        <v>412</v>
      </c>
      <c r="C60" s="98"/>
      <c r="D60" s="98"/>
      <c r="E60" s="98"/>
      <c r="F60" s="98"/>
      <c r="G60" s="98"/>
      <c r="H60" s="97">
        <v>-14.588285714285709</v>
      </c>
      <c r="I60" s="99"/>
      <c r="J60" s="98"/>
      <c r="K60" s="108" t="s">
        <v>721</v>
      </c>
      <c r="L60" s="93"/>
      <c r="M60" s="93"/>
      <c r="N60" s="93"/>
      <c r="O60" s="93"/>
      <c r="P60" s="93"/>
      <c r="Q60" s="93"/>
      <c r="R60" s="93"/>
      <c r="S60" s="93"/>
    </row>
    <row r="61" spans="1:19" ht="20" customHeight="1">
      <c r="A61" s="10"/>
      <c r="B61" s="10"/>
      <c r="C61" s="15"/>
      <c r="D61" s="15"/>
      <c r="E61" s="15"/>
      <c r="F61" s="15"/>
      <c r="G61" s="15"/>
      <c r="H61" s="15"/>
      <c r="I61" s="43"/>
      <c r="J61" s="15"/>
      <c r="K61" s="11"/>
      <c r="L61" s="11"/>
      <c r="M61" s="11"/>
      <c r="N61" s="11"/>
      <c r="O61" s="11"/>
      <c r="P61" s="11"/>
      <c r="Q61" s="11"/>
      <c r="R61" s="11"/>
      <c r="S61" s="12"/>
    </row>
    <row r="62" spans="1:19" ht="20" customHeight="1">
      <c r="A62" s="10"/>
      <c r="B62" s="10"/>
      <c r="C62" s="15"/>
      <c r="D62" s="15"/>
      <c r="E62" s="15"/>
      <c r="F62" s="15"/>
      <c r="G62" s="15"/>
      <c r="H62" s="15"/>
      <c r="I62" s="43"/>
      <c r="J62" s="15"/>
      <c r="K62" s="11"/>
      <c r="L62" s="11"/>
      <c r="M62" s="11"/>
      <c r="N62" s="11"/>
      <c r="O62" s="11"/>
      <c r="P62" s="11"/>
      <c r="Q62" s="11"/>
      <c r="R62" s="11"/>
      <c r="S62" s="12"/>
    </row>
    <row r="63" spans="1:19" s="1" customFormat="1" ht="20" hidden="1" customHeight="1">
      <c r="A63" s="107" t="s">
        <v>925</v>
      </c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1"/>
      <c r="M63" s="12"/>
    </row>
    <row r="64" spans="1:19" ht="20" hidden="1" customHeight="1">
      <c r="A64" s="46" t="s">
        <v>2</v>
      </c>
      <c r="B64" s="46" t="s">
        <v>443</v>
      </c>
      <c r="C64" s="186" t="s">
        <v>7</v>
      </c>
      <c r="D64" s="186" t="s">
        <v>8</v>
      </c>
      <c r="E64" s="186" t="s">
        <v>9</v>
      </c>
      <c r="F64" s="186" t="s">
        <v>10</v>
      </c>
      <c r="G64" s="186" t="s">
        <v>11</v>
      </c>
      <c r="H64" s="186" t="s">
        <v>12</v>
      </c>
      <c r="I64" s="185" t="s">
        <v>554</v>
      </c>
      <c r="J64" s="186" t="s">
        <v>863</v>
      </c>
      <c r="K64" s="187" t="s">
        <v>805</v>
      </c>
      <c r="L64" s="11"/>
      <c r="M64" s="11"/>
      <c r="N64" s="11"/>
      <c r="O64" s="11"/>
      <c r="P64" s="11"/>
      <c r="Q64" s="11"/>
      <c r="R64" s="11"/>
      <c r="S64" s="12"/>
    </row>
    <row r="65" spans="1:19" ht="20" hidden="1" customHeight="1">
      <c r="A65" s="10" t="str">
        <f>A5</f>
        <v>Australia</v>
      </c>
      <c r="B65" s="10" t="str">
        <f>B5</f>
        <v>AUS</v>
      </c>
      <c r="C65" s="43" cm="1">
        <f t="array" ref="C65">--(SUMPRODUCT(($B$48:$B$60=$B65)*(LEN($C$48:$C$60)&gt;0))&gt;0)</f>
        <v>0</v>
      </c>
      <c r="D65" s="43" cm="1">
        <f t="array" ref="D65">--(SUMPRODUCT(($B$48:$B$60=$B65)*(LEN($D$48:$D$60)&gt;0))&gt;0)</f>
        <v>0</v>
      </c>
      <c r="E65" s="43" cm="1">
        <f t="array" ref="E65">--(SUMPRODUCT(($B$48:$B$60=$B65)*(LEN($E$48:$E$60)&gt;0))&gt;0)</f>
        <v>0</v>
      </c>
      <c r="F65" s="43" cm="1">
        <f t="array" ref="F65">--(SUMPRODUCT(($B$48:$B$60=$B65)*(LEN($F$48:$F$60)&gt;0))&gt;0)</f>
        <v>0</v>
      </c>
      <c r="G65" s="43" cm="1">
        <f t="array" ref="G65">--(SUMPRODUCT(($B$48:$B$60=$B65)*(LEN($G$48:$G$60)&gt;0))&gt;0)</f>
        <v>0</v>
      </c>
      <c r="H65" s="43" cm="1">
        <f t="array" ref="H65">--(SUMPRODUCT(($B$48:$B$60=$B65)*(LEN($H$48:$H$60)&gt;0))&gt;0)</f>
        <v>0</v>
      </c>
      <c r="I65" s="43" cm="1">
        <f t="array" ref="I65">--(SUMPRODUCT(($B$48:$B$60=$B65)*(LEN($I$48:$I$60)&gt;0))&gt;0)</f>
        <v>0</v>
      </c>
      <c r="J65" s="43" cm="1">
        <f t="array" ref="J65">--(SUMPRODUCT(($B$48:$B$60=$B65)*(LEN($J$48:$J$60)&gt;0))&gt;0)</f>
        <v>0</v>
      </c>
      <c r="K65" s="188">
        <f>SUM(C65:J65)</f>
        <v>0</v>
      </c>
      <c r="L65" s="11"/>
      <c r="M65" s="11"/>
      <c r="N65" s="11"/>
      <c r="O65" s="11"/>
      <c r="P65" s="11"/>
      <c r="Q65" s="11"/>
      <c r="R65" s="11"/>
      <c r="S65" s="12"/>
    </row>
    <row r="66" spans="1:19" ht="20" hidden="1" customHeight="1">
      <c r="A66" s="10" t="str">
        <f t="shared" ref="A66:B66" si="4">A6</f>
        <v>Bangladesh</v>
      </c>
      <c r="B66" s="10" t="str">
        <f t="shared" si="4"/>
        <v>BGD</v>
      </c>
      <c r="C66" s="43" cm="1">
        <f t="array" ref="C66">--(SUMPRODUCT(($B$48:$B$60=$B66)*(LEN($C$48:$C$60)&gt;0))&gt;0)</f>
        <v>0</v>
      </c>
      <c r="D66" s="43" cm="1">
        <f t="array" ref="D66">--(SUMPRODUCT(($B$48:$B$60=$B66)*(LEN($D$48:$D$60)&gt;0))&gt;0)</f>
        <v>0</v>
      </c>
      <c r="E66" s="43" cm="1">
        <f t="array" ref="E66">--(SUMPRODUCT(($B$48:$B$60=$B66)*(LEN($E$48:$E$60)&gt;0))&gt;0)</f>
        <v>0</v>
      </c>
      <c r="F66" s="43" cm="1">
        <f t="array" ref="F66">--(SUMPRODUCT(($B$48:$B$60=$B66)*(LEN($F$48:$F$60)&gt;0))&gt;0)</f>
        <v>0</v>
      </c>
      <c r="G66" s="43" cm="1">
        <f t="array" ref="G66">--(SUMPRODUCT(($B$48:$B$60=$B66)*(LEN($G$48:$G$60)&gt;0))&gt;0)</f>
        <v>0</v>
      </c>
      <c r="H66" s="43" cm="1">
        <f t="array" ref="H66">--(SUMPRODUCT(($B$48:$B$60=$B66)*(LEN($H$48:$H$60)&gt;0))&gt;0)</f>
        <v>0</v>
      </c>
      <c r="I66" s="43" cm="1">
        <f t="array" ref="I66">--(SUMPRODUCT(($B$48:$B$60=$B66)*(LEN($I$48:$I$60)&gt;0))&gt;0)</f>
        <v>0</v>
      </c>
      <c r="J66" s="43" cm="1">
        <f t="array" ref="J66">--(SUMPRODUCT(($B$48:$B$60=$B66)*(LEN($J$48:$J$60)&gt;0))&gt;0)</f>
        <v>0</v>
      </c>
      <c r="K66" s="188">
        <f t="shared" ref="K66:K100" si="5">SUM(C66:J66)</f>
        <v>0</v>
      </c>
      <c r="L66" s="11"/>
      <c r="M66" s="11"/>
      <c r="N66" s="11"/>
      <c r="O66" s="11"/>
      <c r="P66" s="11"/>
      <c r="Q66" s="11"/>
      <c r="R66" s="11"/>
      <c r="S66" s="12"/>
    </row>
    <row r="67" spans="1:19" ht="20" hidden="1" customHeight="1">
      <c r="A67" s="10" t="str">
        <f t="shared" ref="A67:B67" si="6">A7</f>
        <v>Bosnia and Herzegovina</v>
      </c>
      <c r="B67" s="10" t="str">
        <f t="shared" si="6"/>
        <v>BIH</v>
      </c>
      <c r="C67" s="43" cm="1">
        <f t="array" ref="C67">--(SUMPRODUCT(($B$48:$B$60=$B67)*(LEN($C$48:$C$60)&gt;0))&gt;0)</f>
        <v>0</v>
      </c>
      <c r="D67" s="43" cm="1">
        <f t="array" ref="D67">--(SUMPRODUCT(($B$48:$B$60=$B67)*(LEN($D$48:$D$60)&gt;0))&gt;0)</f>
        <v>0</v>
      </c>
      <c r="E67" s="43" cm="1">
        <f t="array" ref="E67">--(SUMPRODUCT(($B$48:$B$60=$B67)*(LEN($E$48:$E$60)&gt;0))&gt;0)</f>
        <v>0</v>
      </c>
      <c r="F67" s="43" cm="1">
        <f t="array" ref="F67">--(SUMPRODUCT(($B$48:$B$60=$B67)*(LEN($F$48:$F$60)&gt;0))&gt;0)</f>
        <v>0</v>
      </c>
      <c r="G67" s="43" cm="1">
        <f t="array" ref="G67">--(SUMPRODUCT(($B$48:$B$60=$B67)*(LEN($G$48:$G$60)&gt;0))&gt;0)</f>
        <v>0</v>
      </c>
      <c r="H67" s="43" cm="1">
        <f t="array" ref="H67">--(SUMPRODUCT(($B$48:$B$60=$B67)*(LEN($H$48:$H$60)&gt;0))&gt;0)</f>
        <v>0</v>
      </c>
      <c r="I67" s="43" cm="1">
        <f t="array" ref="I67">--(SUMPRODUCT(($B$48:$B$60=$B67)*(LEN($I$48:$I$60)&gt;0))&gt;0)</f>
        <v>0</v>
      </c>
      <c r="J67" s="43" cm="1">
        <f t="array" ref="J67">--(SUMPRODUCT(($B$48:$B$60=$B67)*(LEN($J$48:$J$60)&gt;0))&gt;0)</f>
        <v>0</v>
      </c>
      <c r="K67" s="188">
        <f t="shared" si="5"/>
        <v>0</v>
      </c>
      <c r="L67" s="11"/>
      <c r="M67" s="11"/>
      <c r="N67" s="11"/>
      <c r="O67" s="11"/>
      <c r="P67" s="11"/>
      <c r="Q67" s="11"/>
      <c r="R67" s="11"/>
      <c r="S67" s="12"/>
    </row>
    <row r="68" spans="1:19" ht="20" hidden="1" customHeight="1">
      <c r="A68" s="10" t="str">
        <f t="shared" ref="A68:B68" si="7">A8</f>
        <v>Brazil</v>
      </c>
      <c r="B68" s="10" t="str">
        <f t="shared" si="7"/>
        <v>BRA</v>
      </c>
      <c r="C68" s="43" cm="1">
        <f t="array" ref="C68">--(SUMPRODUCT(($B$48:$B$60=$B68)*(LEN($C$48:$C$60)&gt;0))&gt;0)</f>
        <v>0</v>
      </c>
      <c r="D68" s="43" cm="1">
        <f t="array" ref="D68">--(SUMPRODUCT(($B$48:$B$60=$B68)*(LEN($D$48:$D$60)&gt;0))&gt;0)</f>
        <v>0</v>
      </c>
      <c r="E68" s="43" cm="1">
        <f t="array" ref="E68">--(SUMPRODUCT(($B$48:$B$60=$B68)*(LEN($E$48:$E$60)&gt;0))&gt;0)</f>
        <v>0</v>
      </c>
      <c r="F68" s="43" cm="1">
        <f t="array" ref="F68">--(SUMPRODUCT(($B$48:$B$60=$B68)*(LEN($F$48:$F$60)&gt;0))&gt;0)</f>
        <v>0</v>
      </c>
      <c r="G68" s="43" cm="1">
        <f t="array" ref="G68">--(SUMPRODUCT(($B$48:$B$60=$B68)*(LEN($G$48:$G$60)&gt;0))&gt;0)</f>
        <v>0</v>
      </c>
      <c r="H68" s="43" cm="1">
        <f t="array" ref="H68">--(SUMPRODUCT(($B$48:$B$60=$B68)*(LEN($H$48:$H$60)&gt;0))&gt;0)</f>
        <v>0</v>
      </c>
      <c r="I68" s="43" cm="1">
        <f t="array" ref="I68">--(SUMPRODUCT(($B$48:$B$60=$B68)*(LEN($I$48:$I$60)&gt;0))&gt;0)</f>
        <v>0</v>
      </c>
      <c r="J68" s="43" cm="1">
        <f t="array" ref="J68">--(SUMPRODUCT(($B$48:$B$60=$B68)*(LEN($J$48:$J$60)&gt;0))&gt;0)</f>
        <v>0</v>
      </c>
      <c r="K68" s="188">
        <f t="shared" si="5"/>
        <v>0</v>
      </c>
      <c r="L68" s="11"/>
      <c r="M68" s="11"/>
      <c r="N68" s="11"/>
      <c r="O68" s="11"/>
      <c r="P68" s="11"/>
      <c r="Q68" s="11"/>
      <c r="R68" s="11"/>
      <c r="S68" s="12"/>
    </row>
    <row r="69" spans="1:19" ht="20" hidden="1" customHeight="1">
      <c r="A69" s="10" t="str">
        <f t="shared" ref="A69:B69" si="8">A9</f>
        <v>Bulgaria</v>
      </c>
      <c r="B69" s="10" t="str">
        <f t="shared" si="8"/>
        <v>BGR</v>
      </c>
      <c r="C69" s="43" cm="1">
        <f t="array" ref="C69">--(SUMPRODUCT(($B$48:$B$60=$B69)*(LEN($C$48:$C$60)&gt;0))&gt;0)</f>
        <v>0</v>
      </c>
      <c r="D69" s="43" cm="1">
        <f t="array" ref="D69">--(SUMPRODUCT(($B$48:$B$60=$B69)*(LEN($D$48:$D$60)&gt;0))&gt;0)</f>
        <v>0</v>
      </c>
      <c r="E69" s="43" cm="1">
        <f t="array" ref="E69">--(SUMPRODUCT(($B$48:$B$60=$B69)*(LEN($E$48:$E$60)&gt;0))&gt;0)</f>
        <v>0</v>
      </c>
      <c r="F69" s="43" cm="1">
        <f t="array" ref="F69">--(SUMPRODUCT(($B$48:$B$60=$B69)*(LEN($F$48:$F$60)&gt;0))&gt;0)</f>
        <v>0</v>
      </c>
      <c r="G69" s="43" cm="1">
        <f t="array" ref="G69">--(SUMPRODUCT(($B$48:$B$60=$B69)*(LEN($G$48:$G$60)&gt;0))&gt;0)</f>
        <v>0</v>
      </c>
      <c r="H69" s="43" cm="1">
        <f t="array" ref="H69">--(SUMPRODUCT(($B$48:$B$60=$B69)*(LEN($H$48:$H$60)&gt;0))&gt;0)</f>
        <v>0</v>
      </c>
      <c r="I69" s="43" cm="1">
        <f t="array" ref="I69">--(SUMPRODUCT(($B$48:$B$60=$B69)*(LEN($I$48:$I$60)&gt;0))&gt;0)</f>
        <v>0</v>
      </c>
      <c r="J69" s="43" cm="1">
        <f t="array" ref="J69">--(SUMPRODUCT(($B$48:$B$60=$B69)*(LEN($J$48:$J$60)&gt;0))&gt;0)</f>
        <v>0</v>
      </c>
      <c r="K69" s="188">
        <f t="shared" si="5"/>
        <v>0</v>
      </c>
      <c r="L69" s="11"/>
      <c r="M69" s="11"/>
      <c r="N69" s="11"/>
      <c r="O69" s="11"/>
      <c r="P69" s="11"/>
      <c r="Q69" s="11"/>
      <c r="R69" s="11"/>
      <c r="S69" s="12"/>
    </row>
    <row r="70" spans="1:19" ht="20" hidden="1" customHeight="1">
      <c r="A70" s="10" t="str">
        <f t="shared" ref="A70:B70" si="9">A10</f>
        <v>Cambodia</v>
      </c>
      <c r="B70" s="10" t="str">
        <f t="shared" si="9"/>
        <v>KHM</v>
      </c>
      <c r="C70" s="43" cm="1">
        <f t="array" ref="C70">--(SUMPRODUCT(($B$48:$B$60=$B70)*(LEN($C$48:$C$60)&gt;0))&gt;0)</f>
        <v>0</v>
      </c>
      <c r="D70" s="43" cm="1">
        <f t="array" ref="D70">--(SUMPRODUCT(($B$48:$B$60=$B70)*(LEN($D$48:$D$60)&gt;0))&gt;0)</f>
        <v>0</v>
      </c>
      <c r="E70" s="43" cm="1">
        <f t="array" ref="E70">--(SUMPRODUCT(($B$48:$B$60=$B70)*(LEN($E$48:$E$60)&gt;0))&gt;0)</f>
        <v>0</v>
      </c>
      <c r="F70" s="43" cm="1">
        <f t="array" ref="F70">--(SUMPRODUCT(($B$48:$B$60=$B70)*(LEN($F$48:$F$60)&gt;0))&gt;0)</f>
        <v>0</v>
      </c>
      <c r="G70" s="43" cm="1">
        <f t="array" ref="G70">--(SUMPRODUCT(($B$48:$B$60=$B70)*(LEN($G$48:$G$60)&gt;0))&gt;0)</f>
        <v>0</v>
      </c>
      <c r="H70" s="43" cm="1">
        <f t="array" ref="H70">--(SUMPRODUCT(($B$48:$B$60=$B70)*(LEN($H$48:$H$60)&gt;0))&gt;0)</f>
        <v>0</v>
      </c>
      <c r="I70" s="43" cm="1">
        <f t="array" ref="I70">--(SUMPRODUCT(($B$48:$B$60=$B70)*(LEN($I$48:$I$60)&gt;0))&gt;0)</f>
        <v>0</v>
      </c>
      <c r="J70" s="43" cm="1">
        <f t="array" ref="J70">--(SUMPRODUCT(($B$48:$B$60=$B70)*(LEN($J$48:$J$60)&gt;0))&gt;0)</f>
        <v>0</v>
      </c>
      <c r="K70" s="188">
        <f t="shared" si="5"/>
        <v>0</v>
      </c>
      <c r="L70" s="11"/>
      <c r="M70" s="11"/>
      <c r="N70" s="11"/>
      <c r="O70" s="11"/>
      <c r="P70" s="11"/>
      <c r="Q70" s="11"/>
      <c r="R70" s="11"/>
      <c r="S70" s="12"/>
    </row>
    <row r="71" spans="1:19" ht="20" hidden="1" customHeight="1">
      <c r="A71" s="10" t="str">
        <f t="shared" ref="A71:B71" si="10">A11</f>
        <v>Canada</v>
      </c>
      <c r="B71" s="10" t="str">
        <f t="shared" si="10"/>
        <v>CAN</v>
      </c>
      <c r="C71" s="43" cm="1">
        <f t="array" ref="C71">--(SUMPRODUCT(($B$48:$B$60=$B71)*(LEN($C$48:$C$60)&gt;0))&gt;0)</f>
        <v>0</v>
      </c>
      <c r="D71" s="43" cm="1">
        <f t="array" ref="D71">--(SUMPRODUCT(($B$48:$B$60=$B71)*(LEN($D$48:$D$60)&gt;0))&gt;0)</f>
        <v>0</v>
      </c>
      <c r="E71" s="43" cm="1">
        <f t="array" ref="E71">--(SUMPRODUCT(($B$48:$B$60=$B71)*(LEN($E$48:$E$60)&gt;0))&gt;0)</f>
        <v>0</v>
      </c>
      <c r="F71" s="43" cm="1">
        <f t="array" ref="F71">--(SUMPRODUCT(($B$48:$B$60=$B71)*(LEN($F$48:$F$60)&gt;0))&gt;0)</f>
        <v>0</v>
      </c>
      <c r="G71" s="43" cm="1">
        <f t="array" ref="G71">--(SUMPRODUCT(($B$48:$B$60=$B71)*(LEN($G$48:$G$60)&gt;0))&gt;0)</f>
        <v>0</v>
      </c>
      <c r="H71" s="43" cm="1">
        <f t="array" ref="H71">--(SUMPRODUCT(($B$48:$B$60=$B71)*(LEN($H$48:$H$60)&gt;0))&gt;0)</f>
        <v>0</v>
      </c>
      <c r="I71" s="43" cm="1">
        <f t="array" ref="I71">--(SUMPRODUCT(($B$48:$B$60=$B71)*(LEN($I$48:$I$60)&gt;0))&gt;0)</f>
        <v>0</v>
      </c>
      <c r="J71" s="43" cm="1">
        <f t="array" ref="J71">--(SUMPRODUCT(($B$48:$B$60=$B71)*(LEN($J$48:$J$60)&gt;0))&gt;0)</f>
        <v>0</v>
      </c>
      <c r="K71" s="188">
        <f t="shared" si="5"/>
        <v>0</v>
      </c>
      <c r="L71" s="11"/>
      <c r="M71" s="11"/>
      <c r="N71" s="11"/>
      <c r="O71" s="11"/>
      <c r="P71" s="11"/>
      <c r="Q71" s="11"/>
      <c r="R71" s="11"/>
      <c r="S71" s="12"/>
    </row>
    <row r="72" spans="1:19" ht="20" hidden="1" customHeight="1">
      <c r="A72" s="10" t="str">
        <f t="shared" ref="A72:B72" si="11">A12</f>
        <v>Chile</v>
      </c>
      <c r="B72" s="10" t="str">
        <f t="shared" si="11"/>
        <v>CHL</v>
      </c>
      <c r="C72" s="43" cm="1">
        <f t="array" ref="C72">--(SUMPRODUCT(($B$48:$B$60=$B72)*(LEN($C$48:$C$60)&gt;0))&gt;0)</f>
        <v>0</v>
      </c>
      <c r="D72" s="43" cm="1">
        <f t="array" ref="D72">--(SUMPRODUCT(($B$48:$B$60=$B72)*(LEN($D$48:$D$60)&gt;0))&gt;0)</f>
        <v>0</v>
      </c>
      <c r="E72" s="43" cm="1">
        <f t="array" ref="E72">--(SUMPRODUCT(($B$48:$B$60=$B72)*(LEN($E$48:$E$60)&gt;0))&gt;0)</f>
        <v>0</v>
      </c>
      <c r="F72" s="43" cm="1">
        <f t="array" ref="F72">--(SUMPRODUCT(($B$48:$B$60=$B72)*(LEN($F$48:$F$60)&gt;0))&gt;0)</f>
        <v>0</v>
      </c>
      <c r="G72" s="43" cm="1">
        <f t="array" ref="G72">--(SUMPRODUCT(($B$48:$B$60=$B72)*(LEN($G$48:$G$60)&gt;0))&gt;0)</f>
        <v>0</v>
      </c>
      <c r="H72" s="43" cm="1">
        <f t="array" ref="H72">--(SUMPRODUCT(($B$48:$B$60=$B72)*(LEN($H$48:$H$60)&gt;0))&gt;0)</f>
        <v>0</v>
      </c>
      <c r="I72" s="43" cm="1">
        <f t="array" ref="I72">--(SUMPRODUCT(($B$48:$B$60=$B72)*(LEN($I$48:$I$60)&gt;0))&gt;0)</f>
        <v>0</v>
      </c>
      <c r="J72" s="43" cm="1">
        <f t="array" ref="J72">--(SUMPRODUCT(($B$48:$B$60=$B72)*(LEN($J$48:$J$60)&gt;0))&gt;0)</f>
        <v>0</v>
      </c>
      <c r="K72" s="188">
        <f t="shared" si="5"/>
        <v>0</v>
      </c>
      <c r="L72" s="11"/>
      <c r="M72" s="11"/>
      <c r="N72" s="11"/>
      <c r="O72" s="11"/>
      <c r="P72" s="11"/>
      <c r="Q72" s="11"/>
      <c r="R72" s="11"/>
      <c r="S72" s="12"/>
    </row>
    <row r="73" spans="1:19" ht="20" hidden="1" customHeight="1">
      <c r="A73" s="10" t="str">
        <f t="shared" ref="A73:B73" si="12">A13</f>
        <v>China</v>
      </c>
      <c r="B73" s="10" t="str">
        <f t="shared" si="12"/>
        <v>CHN</v>
      </c>
      <c r="C73" s="43" cm="1">
        <f t="array" ref="C73">--(SUMPRODUCT(($B$48:$B$60=$B73)*(LEN($C$48:$C$60)&gt;0))&gt;0)</f>
        <v>0</v>
      </c>
      <c r="D73" s="43" cm="1">
        <f t="array" ref="D73">--(SUMPRODUCT(($B$48:$B$60=$B73)*(LEN($D$48:$D$60)&gt;0))&gt;0)</f>
        <v>0</v>
      </c>
      <c r="E73" s="43" cm="1">
        <f t="array" ref="E73">--(SUMPRODUCT(($B$48:$B$60=$B73)*(LEN($E$48:$E$60)&gt;0))&gt;0)</f>
        <v>0</v>
      </c>
      <c r="F73" s="43" cm="1">
        <f t="array" ref="F73">--(SUMPRODUCT(($B$48:$B$60=$B73)*(LEN($F$48:$F$60)&gt;0))&gt;0)</f>
        <v>0</v>
      </c>
      <c r="G73" s="43" cm="1">
        <f t="array" ref="G73">--(SUMPRODUCT(($B$48:$B$60=$B73)*(LEN($G$48:$G$60)&gt;0))&gt;0)</f>
        <v>0</v>
      </c>
      <c r="H73" s="43" cm="1">
        <f t="array" ref="H73">--(SUMPRODUCT(($B$48:$B$60=$B73)*(LEN($H$48:$H$60)&gt;0))&gt;0)</f>
        <v>0</v>
      </c>
      <c r="I73" s="43" cm="1">
        <f t="array" ref="I73">--(SUMPRODUCT(($B$48:$B$60=$B73)*(LEN($I$48:$I$60)&gt;0))&gt;0)</f>
        <v>0</v>
      </c>
      <c r="J73" s="43" cm="1">
        <f t="array" ref="J73">--(SUMPRODUCT(($B$48:$B$60=$B73)*(LEN($J$48:$J$60)&gt;0))&gt;0)</f>
        <v>0</v>
      </c>
      <c r="K73" s="188">
        <f t="shared" si="5"/>
        <v>0</v>
      </c>
      <c r="L73" s="11"/>
      <c r="M73" s="11"/>
      <c r="N73" s="11"/>
      <c r="O73" s="11"/>
      <c r="P73" s="11"/>
      <c r="Q73" s="11"/>
      <c r="R73" s="11"/>
      <c r="S73" s="12"/>
    </row>
    <row r="74" spans="1:19" ht="20" hidden="1" customHeight="1">
      <c r="A74" s="10" t="str">
        <f t="shared" ref="A74:B74" si="13">A14</f>
        <v>Czech Republic</v>
      </c>
      <c r="B74" s="10" t="str">
        <f t="shared" si="13"/>
        <v>CZE</v>
      </c>
      <c r="C74" s="43" cm="1">
        <f t="array" ref="C74">--(SUMPRODUCT(($B$48:$B$60=$B74)*(LEN($C$48:$C$60)&gt;0))&gt;0)</f>
        <v>0</v>
      </c>
      <c r="D74" s="43" cm="1">
        <f t="array" ref="D74">--(SUMPRODUCT(($B$48:$B$60=$B74)*(LEN($D$48:$D$60)&gt;0))&gt;0)</f>
        <v>0</v>
      </c>
      <c r="E74" s="43" cm="1">
        <f t="array" ref="E74">--(SUMPRODUCT(($B$48:$B$60=$B74)*(LEN($E$48:$E$60)&gt;0))&gt;0)</f>
        <v>0</v>
      </c>
      <c r="F74" s="43" cm="1">
        <f t="array" ref="F74">--(SUMPRODUCT(($B$48:$B$60=$B74)*(LEN($F$48:$F$60)&gt;0))&gt;0)</f>
        <v>0</v>
      </c>
      <c r="G74" s="43" cm="1">
        <f t="array" ref="G74">--(SUMPRODUCT(($B$48:$B$60=$B74)*(LEN($G$48:$G$60)&gt;0))&gt;0)</f>
        <v>0</v>
      </c>
      <c r="H74" s="43" cm="1">
        <f t="array" ref="H74">--(SUMPRODUCT(($B$48:$B$60=$B74)*(LEN($H$48:$H$60)&gt;0))&gt;0)</f>
        <v>0</v>
      </c>
      <c r="I74" s="43" cm="1">
        <f t="array" ref="I74">--(SUMPRODUCT(($B$48:$B$60=$B74)*(LEN($I$48:$I$60)&gt;0))&gt;0)</f>
        <v>0</v>
      </c>
      <c r="J74" s="43" cm="1">
        <f t="array" ref="J74">--(SUMPRODUCT(($B$48:$B$60=$B74)*(LEN($J$48:$J$60)&gt;0))&gt;0)</f>
        <v>0</v>
      </c>
      <c r="K74" s="188">
        <f t="shared" si="5"/>
        <v>0</v>
      </c>
      <c r="L74" s="11"/>
      <c r="M74" s="11"/>
      <c r="N74" s="11"/>
      <c r="O74" s="11"/>
      <c r="P74" s="11"/>
      <c r="Q74" s="11"/>
      <c r="R74" s="11"/>
      <c r="S74" s="12"/>
    </row>
    <row r="75" spans="1:19" ht="20" hidden="1" customHeight="1">
      <c r="A75" s="10" t="str">
        <f t="shared" ref="A75:B75" si="14">A15</f>
        <v>Dominican Republic</v>
      </c>
      <c r="B75" s="10" t="str">
        <f t="shared" si="14"/>
        <v>DOM</v>
      </c>
      <c r="C75" s="43" cm="1">
        <f t="array" ref="C75">--(SUMPRODUCT(($B$48:$B$60=$B75)*(LEN($C$48:$C$60)&gt;0))&gt;0)</f>
        <v>0</v>
      </c>
      <c r="D75" s="43" cm="1">
        <f t="array" ref="D75">--(SUMPRODUCT(($B$48:$B$60=$B75)*(LEN($D$48:$D$60)&gt;0))&gt;0)</f>
        <v>0</v>
      </c>
      <c r="E75" s="43" cm="1">
        <f t="array" ref="E75">--(SUMPRODUCT(($B$48:$B$60=$B75)*(LEN($E$48:$E$60)&gt;0))&gt;0)</f>
        <v>0</v>
      </c>
      <c r="F75" s="43" cm="1">
        <f t="array" ref="F75">--(SUMPRODUCT(($B$48:$B$60=$B75)*(LEN($F$48:$F$60)&gt;0))&gt;0)</f>
        <v>0</v>
      </c>
      <c r="G75" s="43" cm="1">
        <f t="array" ref="G75">--(SUMPRODUCT(($B$48:$B$60=$B75)*(LEN($G$48:$G$60)&gt;0))&gt;0)</f>
        <v>0</v>
      </c>
      <c r="H75" s="43" cm="1">
        <f t="array" ref="H75">--(SUMPRODUCT(($B$48:$B$60=$B75)*(LEN($H$48:$H$60)&gt;0))&gt;0)</f>
        <v>0</v>
      </c>
      <c r="I75" s="43" cm="1">
        <f t="array" ref="I75">--(SUMPRODUCT(($B$48:$B$60=$B75)*(LEN($I$48:$I$60)&gt;0))&gt;0)</f>
        <v>0</v>
      </c>
      <c r="J75" s="43" cm="1">
        <f t="array" ref="J75">--(SUMPRODUCT(($B$48:$B$60=$B75)*(LEN($J$48:$J$60)&gt;0))&gt;0)</f>
        <v>0</v>
      </c>
      <c r="K75" s="188">
        <f t="shared" si="5"/>
        <v>0</v>
      </c>
      <c r="L75" s="11"/>
      <c r="M75" s="11"/>
      <c r="N75" s="11"/>
      <c r="O75" s="11"/>
      <c r="P75" s="11"/>
      <c r="Q75" s="11"/>
      <c r="R75" s="11"/>
      <c r="S75" s="12"/>
    </row>
    <row r="76" spans="1:19" ht="20" hidden="1" customHeight="1">
      <c r="A76" s="10" t="str">
        <f t="shared" ref="A76:B76" si="15">A16</f>
        <v>Germany</v>
      </c>
      <c r="B76" s="10" t="str">
        <f t="shared" si="15"/>
        <v>DEU</v>
      </c>
      <c r="C76" s="43" cm="1">
        <f t="array" ref="C76">--(SUMPRODUCT(($B$48:$B$60=$B76)*(LEN($C$48:$C$60)&gt;0))&gt;0)</f>
        <v>0</v>
      </c>
      <c r="D76" s="43" cm="1">
        <f t="array" ref="D76">--(SUMPRODUCT(($B$48:$B$60=$B76)*(LEN($D$48:$D$60)&gt;0))&gt;0)</f>
        <v>0</v>
      </c>
      <c r="E76" s="43" cm="1">
        <f t="array" ref="E76">--(SUMPRODUCT(($B$48:$B$60=$B76)*(LEN($E$48:$E$60)&gt;0))&gt;0)</f>
        <v>0</v>
      </c>
      <c r="F76" s="43" cm="1">
        <f t="array" ref="F76">--(SUMPRODUCT(($B$48:$B$60=$B76)*(LEN($F$48:$F$60)&gt;0))&gt;0)</f>
        <v>0</v>
      </c>
      <c r="G76" s="43" cm="1">
        <f t="array" ref="G76">--(SUMPRODUCT(($B$48:$B$60=$B76)*(LEN($G$48:$G$60)&gt;0))&gt;0)</f>
        <v>0</v>
      </c>
      <c r="H76" s="43" cm="1">
        <f t="array" ref="H76">--(SUMPRODUCT(($B$48:$B$60=$B76)*(LEN($H$48:$H$60)&gt;0))&gt;0)</f>
        <v>0</v>
      </c>
      <c r="I76" s="43" cm="1">
        <f t="array" ref="I76">--(SUMPRODUCT(($B$48:$B$60=$B76)*(LEN($I$48:$I$60)&gt;0))&gt;0)</f>
        <v>0</v>
      </c>
      <c r="J76" s="43" cm="1">
        <f t="array" ref="J76">--(SUMPRODUCT(($B$48:$B$60=$B76)*(LEN($J$48:$J$60)&gt;0))&gt;0)</f>
        <v>0</v>
      </c>
      <c r="K76" s="188">
        <f t="shared" si="5"/>
        <v>0</v>
      </c>
      <c r="L76" s="11"/>
      <c r="M76" s="11"/>
      <c r="N76" s="11"/>
      <c r="O76" s="11"/>
      <c r="P76" s="11"/>
      <c r="Q76" s="11"/>
      <c r="R76" s="11"/>
      <c r="S76" s="12"/>
    </row>
    <row r="77" spans="1:19" ht="20" hidden="1" customHeight="1">
      <c r="A77" s="10" t="str">
        <f t="shared" ref="A77:B77" si="16">A17</f>
        <v>Hong Kong</v>
      </c>
      <c r="B77" s="10" t="str">
        <f t="shared" si="16"/>
        <v>HKG</v>
      </c>
      <c r="C77" s="43" cm="1">
        <f t="array" ref="C77">--(SUMPRODUCT(($B$48:$B$60=$B77)*(LEN($C$48:$C$60)&gt;0))&gt;0)</f>
        <v>1</v>
      </c>
      <c r="D77" s="43" cm="1">
        <f t="array" ref="D77">--(SUMPRODUCT(($B$48:$B$60=$B77)*(LEN($D$48:$D$60)&gt;0))&gt;0)</f>
        <v>0</v>
      </c>
      <c r="E77" s="43" cm="1">
        <f t="array" ref="E77">--(SUMPRODUCT(($B$48:$B$60=$B77)*(LEN($E$48:$E$60)&gt;0))&gt;0)</f>
        <v>0</v>
      </c>
      <c r="F77" s="43" cm="1">
        <f t="array" ref="F77">--(SUMPRODUCT(($B$48:$B$60=$B77)*(LEN($F$48:$F$60)&gt;0))&gt;0)</f>
        <v>0</v>
      </c>
      <c r="G77" s="43" cm="1">
        <f t="array" ref="G77">--(SUMPRODUCT(($B$48:$B$60=$B77)*(LEN($G$48:$G$60)&gt;0))&gt;0)</f>
        <v>0</v>
      </c>
      <c r="H77" s="43" cm="1">
        <f t="array" ref="H77">--(SUMPRODUCT(($B$48:$B$60=$B77)*(LEN($H$48:$H$60)&gt;0))&gt;0)</f>
        <v>0</v>
      </c>
      <c r="I77" s="43" cm="1">
        <f t="array" ref="I77">--(SUMPRODUCT(($B$48:$B$60=$B77)*(LEN($I$48:$I$60)&gt;0))&gt;0)</f>
        <v>0</v>
      </c>
      <c r="J77" s="43" cm="1">
        <f t="array" ref="J77">--(SUMPRODUCT(($B$48:$B$60=$B77)*(LEN($J$48:$J$60)&gt;0))&gt;0)</f>
        <v>0</v>
      </c>
      <c r="K77" s="188">
        <f t="shared" si="5"/>
        <v>1</v>
      </c>
      <c r="L77" s="11"/>
      <c r="M77" s="11"/>
      <c r="N77" s="11"/>
      <c r="O77" s="11"/>
      <c r="P77" s="11"/>
      <c r="Q77" s="11"/>
      <c r="R77" s="11"/>
      <c r="S77" s="12"/>
    </row>
    <row r="78" spans="1:19" ht="20" hidden="1" customHeight="1">
      <c r="A78" s="10" t="str">
        <f t="shared" ref="A78:B78" si="17">A18</f>
        <v>India</v>
      </c>
      <c r="B78" s="10" t="str">
        <f t="shared" si="17"/>
        <v>IND</v>
      </c>
      <c r="C78" s="43" cm="1">
        <f t="array" ref="C78">--(SUMPRODUCT(($B$48:$B$60=$B78)*(LEN($C$48:$C$60)&gt;0))&gt;0)</f>
        <v>0</v>
      </c>
      <c r="D78" s="43" cm="1">
        <f t="array" ref="D78">--(SUMPRODUCT(($B$48:$B$60=$B78)*(LEN($D$48:$D$60)&gt;0))&gt;0)</f>
        <v>0</v>
      </c>
      <c r="E78" s="43" cm="1">
        <f t="array" ref="E78">--(SUMPRODUCT(($B$48:$B$60=$B78)*(LEN($E$48:$E$60)&gt;0))&gt;0)</f>
        <v>0</v>
      </c>
      <c r="F78" s="43" cm="1">
        <f t="array" ref="F78">--(SUMPRODUCT(($B$48:$B$60=$B78)*(LEN($F$48:$F$60)&gt;0))&gt;0)</f>
        <v>0</v>
      </c>
      <c r="G78" s="43" cm="1">
        <f t="array" ref="G78">--(SUMPRODUCT(($B$48:$B$60=$B78)*(LEN($G$48:$G$60)&gt;0))&gt;0)</f>
        <v>0</v>
      </c>
      <c r="H78" s="43" cm="1">
        <f t="array" ref="H78">--(SUMPRODUCT(($B$48:$B$60=$B78)*(LEN($H$48:$H$60)&gt;0))&gt;0)</f>
        <v>0</v>
      </c>
      <c r="I78" s="43" cm="1">
        <f t="array" ref="I78">--(SUMPRODUCT(($B$48:$B$60=$B78)*(LEN($I$48:$I$60)&gt;0))&gt;0)</f>
        <v>0</v>
      </c>
      <c r="J78" s="43" cm="1">
        <f t="array" ref="J78">--(SUMPRODUCT(($B$48:$B$60=$B78)*(LEN($J$48:$J$60)&gt;0))&gt;0)</f>
        <v>0</v>
      </c>
      <c r="K78" s="188">
        <f t="shared" si="5"/>
        <v>0</v>
      </c>
      <c r="L78" s="11"/>
      <c r="M78" s="11"/>
      <c r="N78" s="11"/>
      <c r="O78" s="11"/>
      <c r="P78" s="11"/>
      <c r="Q78" s="11"/>
      <c r="R78" s="11"/>
      <c r="S78" s="12"/>
    </row>
    <row r="79" spans="1:19" ht="20" hidden="1" customHeight="1">
      <c r="A79" s="10" t="str">
        <f t="shared" ref="A79:B79" si="18">A19</f>
        <v>Indonesia</v>
      </c>
      <c r="B79" s="10" t="str">
        <f t="shared" si="18"/>
        <v>IDN</v>
      </c>
      <c r="C79" s="43" cm="1">
        <f t="array" ref="C79">--(SUMPRODUCT(($B$48:$B$60=$B79)*(LEN($C$48:$C$60)&gt;0))&gt;0)</f>
        <v>0</v>
      </c>
      <c r="D79" s="43" cm="1">
        <f t="array" ref="D79">--(SUMPRODUCT(($B$48:$B$60=$B79)*(LEN($D$48:$D$60)&gt;0))&gt;0)</f>
        <v>0</v>
      </c>
      <c r="E79" s="43" cm="1">
        <f t="array" ref="E79">--(SUMPRODUCT(($B$48:$B$60=$B79)*(LEN($E$48:$E$60)&gt;0))&gt;0)</f>
        <v>0</v>
      </c>
      <c r="F79" s="43" cm="1">
        <f t="array" ref="F79">--(SUMPRODUCT(($B$48:$B$60=$B79)*(LEN($F$48:$F$60)&gt;0))&gt;0)</f>
        <v>0</v>
      </c>
      <c r="G79" s="43" cm="1">
        <f t="array" ref="G79">--(SUMPRODUCT(($B$48:$B$60=$B79)*(LEN($G$48:$G$60)&gt;0))&gt;0)</f>
        <v>0</v>
      </c>
      <c r="H79" s="43" cm="1">
        <f t="array" ref="H79">--(SUMPRODUCT(($B$48:$B$60=$B79)*(LEN($H$48:$H$60)&gt;0))&gt;0)</f>
        <v>0</v>
      </c>
      <c r="I79" s="43" cm="1">
        <f t="array" ref="I79">--(SUMPRODUCT(($B$48:$B$60=$B79)*(LEN($I$48:$I$60)&gt;0))&gt;0)</f>
        <v>0</v>
      </c>
      <c r="J79" s="43" cm="1">
        <f t="array" ref="J79">--(SUMPRODUCT(($B$48:$B$60=$B79)*(LEN($J$48:$J$60)&gt;0))&gt;0)</f>
        <v>0</v>
      </c>
      <c r="K79" s="188">
        <f t="shared" si="5"/>
        <v>0</v>
      </c>
      <c r="L79" s="11"/>
      <c r="M79" s="11"/>
      <c r="N79" s="11"/>
      <c r="O79" s="11"/>
      <c r="P79" s="11"/>
      <c r="Q79" s="11"/>
      <c r="R79" s="11"/>
      <c r="S79" s="12"/>
    </row>
    <row r="80" spans="1:19" ht="20" hidden="1" customHeight="1">
      <c r="A80" s="10" t="str">
        <f t="shared" ref="A80:B80" si="19">A20</f>
        <v>Japan</v>
      </c>
      <c r="B80" s="10" t="str">
        <f t="shared" si="19"/>
        <v>JPN</v>
      </c>
      <c r="C80" s="43" cm="1">
        <f t="array" ref="C80">--(SUMPRODUCT(($B$48:$B$60=$B80)*(LEN($C$48:$C$60)&gt;0))&gt;0)</f>
        <v>0</v>
      </c>
      <c r="D80" s="43" cm="1">
        <f t="array" ref="D80">--(SUMPRODUCT(($B$48:$B$60=$B80)*(LEN($D$48:$D$60)&gt;0))&gt;0)</f>
        <v>0</v>
      </c>
      <c r="E80" s="43" cm="1">
        <f t="array" ref="E80">--(SUMPRODUCT(($B$48:$B$60=$B80)*(LEN($E$48:$E$60)&gt;0))&gt;0)</f>
        <v>0</v>
      </c>
      <c r="F80" s="43" cm="1">
        <f t="array" ref="F80">--(SUMPRODUCT(($B$48:$B$60=$B80)*(LEN($F$48:$F$60)&gt;0))&gt;0)</f>
        <v>0</v>
      </c>
      <c r="G80" s="43" cm="1">
        <f t="array" ref="G80">--(SUMPRODUCT(($B$48:$B$60=$B80)*(LEN($G$48:$G$60)&gt;0))&gt;0)</f>
        <v>0</v>
      </c>
      <c r="H80" s="43" cm="1">
        <f t="array" ref="H80">--(SUMPRODUCT(($B$48:$B$60=$B80)*(LEN($H$48:$H$60)&gt;0))&gt;0)</f>
        <v>0</v>
      </c>
      <c r="I80" s="43" cm="1">
        <f t="array" ref="I80">--(SUMPRODUCT(($B$48:$B$60=$B80)*(LEN($I$48:$I$60)&gt;0))&gt;0)</f>
        <v>0</v>
      </c>
      <c r="J80" s="43" cm="1">
        <f t="array" ref="J80">--(SUMPRODUCT(($B$48:$B$60=$B80)*(LEN($J$48:$J$60)&gt;0))&gt;0)</f>
        <v>0</v>
      </c>
      <c r="K80" s="188">
        <f t="shared" si="5"/>
        <v>0</v>
      </c>
      <c r="L80" s="11"/>
      <c r="M80" s="11"/>
      <c r="N80" s="11"/>
      <c r="O80" s="11"/>
      <c r="P80" s="11"/>
      <c r="Q80" s="11"/>
      <c r="R80" s="11"/>
      <c r="S80" s="12"/>
    </row>
    <row r="81" spans="1:19" ht="20" hidden="1" customHeight="1">
      <c r="A81" s="10" t="str">
        <f t="shared" ref="A81:B81" si="20">A21</f>
        <v>Kazakhstan</v>
      </c>
      <c r="B81" s="10" t="str">
        <f t="shared" si="20"/>
        <v>KAZ</v>
      </c>
      <c r="C81" s="43" cm="1">
        <f t="array" ref="C81">--(SUMPRODUCT(($B$48:$B$60=$B81)*(LEN($C$48:$C$60)&gt;0))&gt;0)</f>
        <v>0</v>
      </c>
      <c r="D81" s="43" cm="1">
        <f t="array" ref="D81">--(SUMPRODUCT(($B$48:$B$60=$B81)*(LEN($D$48:$D$60)&gt;0))&gt;0)</f>
        <v>0</v>
      </c>
      <c r="E81" s="43" cm="1">
        <f t="array" ref="E81">--(SUMPRODUCT(($B$48:$B$60=$B81)*(LEN($E$48:$E$60)&gt;0))&gt;0)</f>
        <v>0</v>
      </c>
      <c r="F81" s="43" cm="1">
        <f t="array" ref="F81">--(SUMPRODUCT(($B$48:$B$60=$B81)*(LEN($F$48:$F$60)&gt;0))&gt;0)</f>
        <v>0</v>
      </c>
      <c r="G81" s="43" cm="1">
        <f t="array" ref="G81">--(SUMPRODUCT(($B$48:$B$60=$B81)*(LEN($G$48:$G$60)&gt;0))&gt;0)</f>
        <v>0</v>
      </c>
      <c r="H81" s="43" cm="1">
        <f t="array" ref="H81">--(SUMPRODUCT(($B$48:$B$60=$B81)*(LEN($H$48:$H$60)&gt;0))&gt;0)</f>
        <v>0</v>
      </c>
      <c r="I81" s="43" cm="1">
        <f t="array" ref="I81">--(SUMPRODUCT(($B$48:$B$60=$B81)*(LEN($I$48:$I$60)&gt;0))&gt;0)</f>
        <v>0</v>
      </c>
      <c r="J81" s="43" cm="1">
        <f t="array" ref="J81">--(SUMPRODUCT(($B$48:$B$60=$B81)*(LEN($J$48:$J$60)&gt;0))&gt;0)</f>
        <v>0</v>
      </c>
      <c r="K81" s="188">
        <f t="shared" si="5"/>
        <v>0</v>
      </c>
      <c r="L81" s="11"/>
      <c r="M81" s="11"/>
      <c r="N81" s="11"/>
      <c r="O81" s="11"/>
      <c r="P81" s="11"/>
      <c r="Q81" s="11"/>
      <c r="R81" s="11"/>
      <c r="S81" s="12"/>
    </row>
    <row r="82" spans="1:19" ht="20" hidden="1" customHeight="1">
      <c r="A82" s="10" t="str">
        <f t="shared" ref="A82:B82" si="21">A22</f>
        <v>Laos</v>
      </c>
      <c r="B82" s="10" t="str">
        <f t="shared" si="21"/>
        <v>LAO</v>
      </c>
      <c r="C82" s="43" cm="1">
        <f t="array" ref="C82">--(SUMPRODUCT(($B$48:$B$60=$B82)*(LEN($C$48:$C$60)&gt;0))&gt;0)</f>
        <v>0</v>
      </c>
      <c r="D82" s="43" cm="1">
        <f t="array" ref="D82">--(SUMPRODUCT(($B$48:$B$60=$B82)*(LEN($D$48:$D$60)&gt;0))&gt;0)</f>
        <v>0</v>
      </c>
      <c r="E82" s="43" cm="1">
        <f t="array" ref="E82">--(SUMPRODUCT(($B$48:$B$60=$B82)*(LEN($E$48:$E$60)&gt;0))&gt;0)</f>
        <v>0</v>
      </c>
      <c r="F82" s="43" cm="1">
        <f t="array" ref="F82">--(SUMPRODUCT(($B$48:$B$60=$B82)*(LEN($F$48:$F$60)&gt;0))&gt;0)</f>
        <v>0</v>
      </c>
      <c r="G82" s="43" cm="1">
        <f t="array" ref="G82">--(SUMPRODUCT(($B$48:$B$60=$B82)*(LEN($G$48:$G$60)&gt;0))&gt;0)</f>
        <v>0</v>
      </c>
      <c r="H82" s="43" cm="1">
        <f t="array" ref="H82">--(SUMPRODUCT(($B$48:$B$60=$B82)*(LEN($H$48:$H$60)&gt;0))&gt;0)</f>
        <v>0</v>
      </c>
      <c r="I82" s="43" cm="1">
        <f t="array" ref="I82">--(SUMPRODUCT(($B$48:$B$60=$B82)*(LEN($I$48:$I$60)&gt;0))&gt;0)</f>
        <v>0</v>
      </c>
      <c r="J82" s="43" cm="1">
        <f t="array" ref="J82">--(SUMPRODUCT(($B$48:$B$60=$B82)*(LEN($J$48:$J$60)&gt;0))&gt;0)</f>
        <v>0</v>
      </c>
      <c r="K82" s="188">
        <f t="shared" si="5"/>
        <v>0</v>
      </c>
      <c r="L82" s="11"/>
      <c r="M82" s="11"/>
      <c r="N82" s="11"/>
      <c r="O82" s="11"/>
      <c r="P82" s="11"/>
      <c r="Q82" s="11"/>
      <c r="R82" s="11"/>
      <c r="S82" s="12"/>
    </row>
    <row r="83" spans="1:19" ht="20" hidden="1" customHeight="1">
      <c r="A83" s="10" t="str">
        <f t="shared" ref="A83:B83" si="22">A23</f>
        <v>Malaysia</v>
      </c>
      <c r="B83" s="10" t="str">
        <f t="shared" si="22"/>
        <v>MYS</v>
      </c>
      <c r="C83" s="43" cm="1">
        <f t="array" ref="C83">--(SUMPRODUCT(($B$48:$B$60=$B83)*(LEN($C$48:$C$60)&gt;0))&gt;0)</f>
        <v>0</v>
      </c>
      <c r="D83" s="43" cm="1">
        <f t="array" ref="D83">--(SUMPRODUCT(($B$48:$B$60=$B83)*(LEN($D$48:$D$60)&gt;0))&gt;0)</f>
        <v>0</v>
      </c>
      <c r="E83" s="43" cm="1">
        <f t="array" ref="E83">--(SUMPRODUCT(($B$48:$B$60=$B83)*(LEN($E$48:$E$60)&gt;0))&gt;0)</f>
        <v>0</v>
      </c>
      <c r="F83" s="43" cm="1">
        <f t="array" ref="F83">--(SUMPRODUCT(($B$48:$B$60=$B83)*(LEN($F$48:$F$60)&gt;0))&gt;0)</f>
        <v>0</v>
      </c>
      <c r="G83" s="43" cm="1">
        <f t="array" ref="G83">--(SUMPRODUCT(($B$48:$B$60=$B83)*(LEN($G$48:$G$60)&gt;0))&gt;0)</f>
        <v>0</v>
      </c>
      <c r="H83" s="43" cm="1">
        <f t="array" ref="H83">--(SUMPRODUCT(($B$48:$B$60=$B83)*(LEN($H$48:$H$60)&gt;0))&gt;0)</f>
        <v>0</v>
      </c>
      <c r="I83" s="43" cm="1">
        <f t="array" ref="I83">--(SUMPRODUCT(($B$48:$B$60=$B83)*(LEN($I$48:$I$60)&gt;0))&gt;0)</f>
        <v>0</v>
      </c>
      <c r="J83" s="43" cm="1">
        <f t="array" ref="J83">--(SUMPRODUCT(($B$48:$B$60=$B83)*(LEN($J$48:$J$60)&gt;0))&gt;0)</f>
        <v>0</v>
      </c>
      <c r="K83" s="188">
        <f t="shared" si="5"/>
        <v>0</v>
      </c>
      <c r="L83" s="11"/>
      <c r="M83" s="11"/>
      <c r="N83" s="11"/>
      <c r="O83" s="11"/>
      <c r="P83" s="11"/>
      <c r="Q83" s="11"/>
      <c r="R83" s="11"/>
      <c r="S83" s="12"/>
    </row>
    <row r="84" spans="1:19" ht="20" hidden="1" customHeight="1">
      <c r="A84" s="10" t="str">
        <f t="shared" ref="A84:B84" si="23">A24</f>
        <v>Mexico</v>
      </c>
      <c r="B84" s="10" t="str">
        <f t="shared" si="23"/>
        <v>MEX</v>
      </c>
      <c r="C84" s="43" cm="1">
        <f t="array" ref="C84">--(SUMPRODUCT(($B$48:$B$60=$B84)*(LEN($C$48:$C$60)&gt;0))&gt;0)</f>
        <v>0</v>
      </c>
      <c r="D84" s="43" cm="1">
        <f t="array" ref="D84">--(SUMPRODUCT(($B$48:$B$60=$B84)*(LEN($D$48:$D$60)&gt;0))&gt;0)</f>
        <v>0</v>
      </c>
      <c r="E84" s="43" cm="1">
        <f t="array" ref="E84">--(SUMPRODUCT(($B$48:$B$60=$B84)*(LEN($E$48:$E$60)&gt;0))&gt;0)</f>
        <v>0</v>
      </c>
      <c r="F84" s="43" cm="1">
        <f t="array" ref="F84">--(SUMPRODUCT(($B$48:$B$60=$B84)*(LEN($F$48:$F$60)&gt;0))&gt;0)</f>
        <v>0</v>
      </c>
      <c r="G84" s="43" cm="1">
        <f t="array" ref="G84">--(SUMPRODUCT(($B$48:$B$60=$B84)*(LEN($G$48:$G$60)&gt;0))&gt;0)</f>
        <v>0</v>
      </c>
      <c r="H84" s="43" cm="1">
        <f t="array" ref="H84">--(SUMPRODUCT(($B$48:$B$60=$B84)*(LEN($H$48:$H$60)&gt;0))&gt;0)</f>
        <v>0</v>
      </c>
      <c r="I84" s="43" cm="1">
        <f t="array" ref="I84">--(SUMPRODUCT(($B$48:$B$60=$B84)*(LEN($I$48:$I$60)&gt;0))&gt;0)</f>
        <v>0</v>
      </c>
      <c r="J84" s="43" cm="1">
        <f t="array" ref="J84">--(SUMPRODUCT(($B$48:$B$60=$B84)*(LEN($J$48:$J$60)&gt;0))&gt;0)</f>
        <v>0</v>
      </c>
      <c r="K84" s="188">
        <f t="shared" si="5"/>
        <v>0</v>
      </c>
      <c r="L84" s="11"/>
      <c r="M84" s="11"/>
      <c r="N84" s="11"/>
      <c r="O84" s="11"/>
      <c r="P84" s="11"/>
      <c r="Q84" s="11"/>
      <c r="R84" s="11"/>
      <c r="S84" s="12"/>
    </row>
    <row r="85" spans="1:19" ht="20" hidden="1" customHeight="1">
      <c r="A85" s="10" t="str">
        <f t="shared" ref="A85:B85" si="24">A25</f>
        <v>Mongolia</v>
      </c>
      <c r="B85" s="10" t="str">
        <f t="shared" si="24"/>
        <v>MNG</v>
      </c>
      <c r="C85" s="43" cm="1">
        <f t="array" ref="C85">--(SUMPRODUCT(($B$48:$B$60=$B85)*(LEN($C$48:$C$60)&gt;0))&gt;0)</f>
        <v>0</v>
      </c>
      <c r="D85" s="43" cm="1">
        <f t="array" ref="D85">--(SUMPRODUCT(($B$48:$B$60=$B85)*(LEN($D$48:$D$60)&gt;0))&gt;0)</f>
        <v>0</v>
      </c>
      <c r="E85" s="43" cm="1">
        <f t="array" ref="E85">--(SUMPRODUCT(($B$48:$B$60=$B85)*(LEN($E$48:$E$60)&gt;0))&gt;0)</f>
        <v>0</v>
      </c>
      <c r="F85" s="43" cm="1">
        <f t="array" ref="F85">--(SUMPRODUCT(($B$48:$B$60=$B85)*(LEN($F$48:$F$60)&gt;0))&gt;0)</f>
        <v>0</v>
      </c>
      <c r="G85" s="43" cm="1">
        <f t="array" ref="G85">--(SUMPRODUCT(($B$48:$B$60=$B85)*(LEN($G$48:$G$60)&gt;0))&gt;0)</f>
        <v>0</v>
      </c>
      <c r="H85" s="43" cm="1">
        <f t="array" ref="H85">--(SUMPRODUCT(($B$48:$B$60=$B85)*(LEN($H$48:$H$60)&gt;0))&gt;0)</f>
        <v>0</v>
      </c>
      <c r="I85" s="43" cm="1">
        <f t="array" ref="I85">--(SUMPRODUCT(($B$48:$B$60=$B85)*(LEN($I$48:$I$60)&gt;0))&gt;0)</f>
        <v>0</v>
      </c>
      <c r="J85" s="43" cm="1">
        <f t="array" ref="J85">--(SUMPRODUCT(($B$48:$B$60=$B85)*(LEN($J$48:$J$60)&gt;0))&gt;0)</f>
        <v>0</v>
      </c>
      <c r="K85" s="188">
        <f t="shared" si="5"/>
        <v>0</v>
      </c>
      <c r="L85" s="11"/>
      <c r="M85" s="11"/>
      <c r="N85" s="11"/>
      <c r="O85" s="11"/>
      <c r="P85" s="11"/>
      <c r="Q85" s="11"/>
      <c r="R85" s="11"/>
      <c r="S85" s="12"/>
    </row>
    <row r="86" spans="1:19" ht="20" hidden="1" customHeight="1">
      <c r="A86" s="10" t="str">
        <f t="shared" ref="A86:B86" si="25">A26</f>
        <v>Morocco</v>
      </c>
      <c r="B86" s="10" t="str">
        <f t="shared" si="25"/>
        <v>MAR</v>
      </c>
      <c r="C86" s="43" cm="1">
        <f t="array" ref="C86">--(SUMPRODUCT(($B$48:$B$60=$B86)*(LEN($C$48:$C$60)&gt;0))&gt;0)</f>
        <v>0</v>
      </c>
      <c r="D86" s="43" cm="1">
        <f t="array" ref="D86">--(SUMPRODUCT(($B$48:$B$60=$B86)*(LEN($D$48:$D$60)&gt;0))&gt;0)</f>
        <v>0</v>
      </c>
      <c r="E86" s="43" cm="1">
        <f t="array" ref="E86">--(SUMPRODUCT(($B$48:$B$60=$B86)*(LEN($E$48:$E$60)&gt;0))&gt;0)</f>
        <v>0</v>
      </c>
      <c r="F86" s="43" cm="1">
        <f t="array" ref="F86">--(SUMPRODUCT(($B$48:$B$60=$B86)*(LEN($F$48:$F$60)&gt;0))&gt;0)</f>
        <v>0</v>
      </c>
      <c r="G86" s="43" cm="1">
        <f t="array" ref="G86">--(SUMPRODUCT(($B$48:$B$60=$B86)*(LEN($G$48:$G$60)&gt;0))&gt;0)</f>
        <v>0</v>
      </c>
      <c r="H86" s="43" cm="1">
        <f t="array" ref="H86">--(SUMPRODUCT(($B$48:$B$60=$B86)*(LEN($H$48:$H$60)&gt;0))&gt;0)</f>
        <v>0</v>
      </c>
      <c r="I86" s="43" cm="1">
        <f t="array" ref="I86">--(SUMPRODUCT(($B$48:$B$60=$B86)*(LEN($I$48:$I$60)&gt;0))&gt;0)</f>
        <v>0</v>
      </c>
      <c r="J86" s="43" cm="1">
        <f t="array" ref="J86">--(SUMPRODUCT(($B$48:$B$60=$B86)*(LEN($J$48:$J$60)&gt;0))&gt;0)</f>
        <v>0</v>
      </c>
      <c r="K86" s="188">
        <f t="shared" si="5"/>
        <v>0</v>
      </c>
      <c r="L86" s="11"/>
      <c r="M86" s="11"/>
      <c r="N86" s="11"/>
      <c r="O86" s="11"/>
      <c r="P86" s="11"/>
      <c r="Q86" s="11"/>
      <c r="R86" s="11"/>
      <c r="S86" s="12"/>
    </row>
    <row r="87" spans="1:19" ht="20" hidden="1" customHeight="1">
      <c r="A87" s="10" t="str">
        <f t="shared" ref="A87:B87" si="26">A27</f>
        <v>North Korea</v>
      </c>
      <c r="B87" s="10" t="str">
        <f t="shared" si="26"/>
        <v>PRK</v>
      </c>
      <c r="C87" s="43" cm="1">
        <f t="array" ref="C87">--(SUMPRODUCT(($B$48:$B$60=$B87)*(LEN($C$48:$C$60)&gt;0))&gt;0)</f>
        <v>1</v>
      </c>
      <c r="D87" s="43" cm="1">
        <f t="array" ref="D87">--(SUMPRODUCT(($B$48:$B$60=$B87)*(LEN($D$48:$D$60)&gt;0))&gt;0)</f>
        <v>0</v>
      </c>
      <c r="E87" s="43" cm="1">
        <f t="array" ref="E87">--(SUMPRODUCT(($B$48:$B$60=$B87)*(LEN($E$48:$E$60)&gt;0))&gt;0)</f>
        <v>0</v>
      </c>
      <c r="F87" s="43" cm="1">
        <f t="array" ref="F87">--(SUMPRODUCT(($B$48:$B$60=$B87)*(LEN($F$48:$F$60)&gt;0))&gt;0)</f>
        <v>0</v>
      </c>
      <c r="G87" s="43" cm="1">
        <f t="array" ref="G87">--(SUMPRODUCT(($B$48:$B$60=$B87)*(LEN($G$48:$G$60)&gt;0))&gt;0)</f>
        <v>0</v>
      </c>
      <c r="H87" s="43" cm="1">
        <f t="array" ref="H87">--(SUMPRODUCT(($B$48:$B$60=$B87)*(LEN($H$48:$H$60)&gt;0))&gt;0)</f>
        <v>0</v>
      </c>
      <c r="I87" s="43" cm="1">
        <f t="array" ref="I87">--(SUMPRODUCT(($B$48:$B$60=$B87)*(LEN($I$48:$I$60)&gt;0))&gt;0)</f>
        <v>0</v>
      </c>
      <c r="J87" s="43" cm="1">
        <f t="array" ref="J87">--(SUMPRODUCT(($B$48:$B$60=$B87)*(LEN($J$48:$J$60)&gt;0))&gt;0)</f>
        <v>0</v>
      </c>
      <c r="K87" s="188">
        <f t="shared" si="5"/>
        <v>1</v>
      </c>
      <c r="L87" s="11"/>
      <c r="M87" s="11"/>
      <c r="N87" s="11"/>
      <c r="O87" s="11"/>
      <c r="P87" s="11"/>
      <c r="Q87" s="11"/>
      <c r="R87" s="11"/>
      <c r="S87" s="12"/>
    </row>
    <row r="88" spans="1:19" ht="20" hidden="1" customHeight="1">
      <c r="A88" s="10" t="str">
        <f t="shared" ref="A88:B88" si="27">A28</f>
        <v>Pakistan</v>
      </c>
      <c r="B88" s="10" t="str">
        <f t="shared" si="27"/>
        <v>PAK</v>
      </c>
      <c r="C88" s="43" cm="1">
        <f t="array" ref="C88">--(SUMPRODUCT(($B$48:$B$60=$B88)*(LEN($C$48:$C$60)&gt;0))&gt;0)</f>
        <v>0</v>
      </c>
      <c r="D88" s="43" cm="1">
        <f t="array" ref="D88">--(SUMPRODUCT(($B$48:$B$60=$B88)*(LEN($D$48:$D$60)&gt;0))&gt;0)</f>
        <v>0</v>
      </c>
      <c r="E88" s="43" cm="1">
        <f t="array" ref="E88">--(SUMPRODUCT(($B$48:$B$60=$B88)*(LEN($E$48:$E$60)&gt;0))&gt;0)</f>
        <v>0</v>
      </c>
      <c r="F88" s="43" cm="1">
        <f t="array" ref="F88">--(SUMPRODUCT(($B$48:$B$60=$B88)*(LEN($F$48:$F$60)&gt;0))&gt;0)</f>
        <v>0</v>
      </c>
      <c r="G88" s="43" cm="1">
        <f t="array" ref="G88">--(SUMPRODUCT(($B$48:$B$60=$B88)*(LEN($G$48:$G$60)&gt;0))&gt;0)</f>
        <v>0</v>
      </c>
      <c r="H88" s="43" cm="1">
        <f t="array" ref="H88">--(SUMPRODUCT(($B$48:$B$60=$B88)*(LEN($H$48:$H$60)&gt;0))&gt;0)</f>
        <v>1</v>
      </c>
      <c r="I88" s="43" cm="1">
        <f t="array" ref="I88">--(SUMPRODUCT(($B$48:$B$60=$B88)*(LEN($I$48:$I$60)&gt;0))&gt;0)</f>
        <v>0</v>
      </c>
      <c r="J88" s="43" cm="1">
        <f t="array" ref="J88">--(SUMPRODUCT(($B$48:$B$60=$B88)*(LEN($J$48:$J$60)&gt;0))&gt;0)</f>
        <v>0</v>
      </c>
      <c r="K88" s="188">
        <f t="shared" si="5"/>
        <v>1</v>
      </c>
      <c r="L88" s="11"/>
      <c r="M88" s="11"/>
      <c r="N88" s="11"/>
      <c r="O88" s="11"/>
      <c r="P88" s="11"/>
      <c r="Q88" s="11"/>
      <c r="R88" s="11"/>
      <c r="S88" s="12"/>
    </row>
    <row r="89" spans="1:19" ht="20" hidden="1" customHeight="1">
      <c r="A89" s="10" t="str">
        <f t="shared" ref="A89:B89" si="28">A29</f>
        <v>Philippines</v>
      </c>
      <c r="B89" s="10" t="str">
        <f t="shared" si="28"/>
        <v>PHL</v>
      </c>
      <c r="C89" s="43" cm="1">
        <f t="array" ref="C89">--(SUMPRODUCT(($B$48:$B$60=$B89)*(LEN($C$48:$C$60)&gt;0))&gt;0)</f>
        <v>0</v>
      </c>
      <c r="D89" s="43" cm="1">
        <f t="array" ref="D89">--(SUMPRODUCT(($B$48:$B$60=$B89)*(LEN($D$48:$D$60)&gt;0))&gt;0)</f>
        <v>0</v>
      </c>
      <c r="E89" s="43" cm="1">
        <f t="array" ref="E89">--(SUMPRODUCT(($B$48:$B$60=$B89)*(LEN($E$48:$E$60)&gt;0))&gt;0)</f>
        <v>0</v>
      </c>
      <c r="F89" s="43" cm="1">
        <f t="array" ref="F89">--(SUMPRODUCT(($B$48:$B$60=$B89)*(LEN($F$48:$F$60)&gt;0))&gt;0)</f>
        <v>0</v>
      </c>
      <c r="G89" s="43" cm="1">
        <f t="array" ref="G89">--(SUMPRODUCT(($B$48:$B$60=$B89)*(LEN($G$48:$G$60)&gt;0))&gt;0)</f>
        <v>0</v>
      </c>
      <c r="H89" s="43" cm="1">
        <f t="array" ref="H89">--(SUMPRODUCT(($B$48:$B$60=$B89)*(LEN($H$48:$H$60)&gt;0))&gt;0)</f>
        <v>0</v>
      </c>
      <c r="I89" s="43" cm="1">
        <f t="array" ref="I89">--(SUMPRODUCT(($B$48:$B$60=$B89)*(LEN($I$48:$I$60)&gt;0))&gt;0)</f>
        <v>0</v>
      </c>
      <c r="J89" s="43" cm="1">
        <f t="array" ref="J89">--(SUMPRODUCT(($B$48:$B$60=$B89)*(LEN($J$48:$J$60)&gt;0))&gt;0)</f>
        <v>0</v>
      </c>
      <c r="K89" s="188">
        <f t="shared" si="5"/>
        <v>0</v>
      </c>
      <c r="L89" s="11"/>
      <c r="M89" s="11"/>
      <c r="N89" s="11"/>
      <c r="O89" s="11"/>
      <c r="P89" s="11"/>
      <c r="Q89" s="11"/>
      <c r="R89" s="11"/>
      <c r="S89" s="12"/>
    </row>
    <row r="90" spans="1:19" ht="20" hidden="1" customHeight="1">
      <c r="A90" s="10" t="str">
        <f t="shared" ref="A90:B90" si="29">A30</f>
        <v>Poland</v>
      </c>
      <c r="B90" s="10" t="str">
        <f t="shared" si="29"/>
        <v>POL</v>
      </c>
      <c r="C90" s="43" cm="1">
        <f t="array" ref="C90">--(SUMPRODUCT(($B$48:$B$60=$B90)*(LEN($C$48:$C$60)&gt;0))&gt;0)</f>
        <v>0</v>
      </c>
      <c r="D90" s="43" cm="1">
        <f t="array" ref="D90">--(SUMPRODUCT(($B$48:$B$60=$B90)*(LEN($D$48:$D$60)&gt;0))&gt;0)</f>
        <v>0</v>
      </c>
      <c r="E90" s="43" cm="1">
        <f t="array" ref="E90">--(SUMPRODUCT(($B$48:$B$60=$B90)*(LEN($E$48:$E$60)&gt;0))&gt;0)</f>
        <v>0</v>
      </c>
      <c r="F90" s="43" cm="1">
        <f t="array" ref="F90">--(SUMPRODUCT(($B$48:$B$60=$B90)*(LEN($F$48:$F$60)&gt;0))&gt;0)</f>
        <v>0</v>
      </c>
      <c r="G90" s="43" cm="1">
        <f t="array" ref="G90">--(SUMPRODUCT(($B$48:$B$60=$B90)*(LEN($G$48:$G$60)&gt;0))&gt;0)</f>
        <v>0</v>
      </c>
      <c r="H90" s="43" cm="1">
        <f t="array" ref="H90">--(SUMPRODUCT(($B$48:$B$60=$B90)*(LEN($H$48:$H$60)&gt;0))&gt;0)</f>
        <v>0</v>
      </c>
      <c r="I90" s="43" cm="1">
        <f t="array" ref="I90">--(SUMPRODUCT(($B$48:$B$60=$B90)*(LEN($I$48:$I$60)&gt;0))&gt;0)</f>
        <v>0</v>
      </c>
      <c r="J90" s="43" cm="1">
        <f t="array" ref="J90">--(SUMPRODUCT(($B$48:$B$60=$B90)*(LEN($J$48:$J$60)&gt;0))&gt;0)</f>
        <v>0</v>
      </c>
      <c r="K90" s="188">
        <f t="shared" si="5"/>
        <v>0</v>
      </c>
      <c r="L90" s="11"/>
      <c r="M90" s="11"/>
      <c r="N90" s="11"/>
      <c r="O90" s="11"/>
      <c r="P90" s="11"/>
      <c r="Q90" s="11"/>
      <c r="R90" s="11"/>
      <c r="S90" s="12"/>
    </row>
    <row r="91" spans="1:19" ht="20" hidden="1" customHeight="1">
      <c r="A91" s="10" t="str">
        <f t="shared" ref="A91:B91" si="30">A31</f>
        <v>Russia</v>
      </c>
      <c r="B91" s="10" t="str">
        <f t="shared" si="30"/>
        <v>RUS</v>
      </c>
      <c r="C91" s="43" cm="1">
        <f t="array" ref="C91">--(SUMPRODUCT(($B$48:$B$60=$B91)*(LEN($C$48:$C$60)&gt;0))&gt;0)</f>
        <v>0</v>
      </c>
      <c r="D91" s="43" cm="1">
        <f t="array" ref="D91">--(SUMPRODUCT(($B$48:$B$60=$B91)*(LEN($D$48:$D$60)&gt;0))&gt;0)</f>
        <v>0</v>
      </c>
      <c r="E91" s="43" cm="1">
        <f t="array" ref="E91">--(SUMPRODUCT(($B$48:$B$60=$B91)*(LEN($E$48:$E$60)&gt;0))&gt;0)</f>
        <v>0</v>
      </c>
      <c r="F91" s="43" cm="1">
        <f t="array" ref="F91">--(SUMPRODUCT(($B$48:$B$60=$B91)*(LEN($F$48:$F$60)&gt;0))&gt;0)</f>
        <v>0</v>
      </c>
      <c r="G91" s="43" cm="1">
        <f t="array" ref="G91">--(SUMPRODUCT(($B$48:$B$60=$B91)*(LEN($G$48:$G$60)&gt;0))&gt;0)</f>
        <v>0</v>
      </c>
      <c r="H91" s="43" cm="1">
        <f t="array" ref="H91">--(SUMPRODUCT(($B$48:$B$60=$B91)*(LEN($H$48:$H$60)&gt;0))&gt;0)</f>
        <v>0</v>
      </c>
      <c r="I91" s="43" cm="1">
        <f t="array" ref="I91">--(SUMPRODUCT(($B$48:$B$60=$B91)*(LEN($I$48:$I$60)&gt;0))&gt;0)</f>
        <v>0</v>
      </c>
      <c r="J91" s="43" cm="1">
        <f t="array" ref="J91">--(SUMPRODUCT(($B$48:$B$60=$B91)*(LEN($J$48:$J$60)&gt;0))&gt;0)</f>
        <v>0</v>
      </c>
      <c r="K91" s="188">
        <f t="shared" si="5"/>
        <v>0</v>
      </c>
      <c r="L91" s="11"/>
      <c r="M91" s="11"/>
      <c r="N91" s="11"/>
      <c r="O91" s="11"/>
      <c r="P91" s="11"/>
      <c r="Q91" s="11"/>
      <c r="R91" s="11"/>
      <c r="S91" s="12"/>
    </row>
    <row r="92" spans="1:19" ht="20" hidden="1" customHeight="1">
      <c r="A92" s="10" t="str">
        <f t="shared" ref="A92:B92" si="31">A32</f>
        <v>Serbia</v>
      </c>
      <c r="B92" s="10" t="str">
        <f t="shared" si="31"/>
        <v>SRB</v>
      </c>
      <c r="C92" s="43" cm="1">
        <f t="array" ref="C92">--(SUMPRODUCT(($B$48:$B$60=$B92)*(LEN($C$48:$C$60)&gt;0))&gt;0)</f>
        <v>0</v>
      </c>
      <c r="D92" s="43" cm="1">
        <f t="array" ref="D92">--(SUMPRODUCT(($B$48:$B$60=$B92)*(LEN($D$48:$D$60)&gt;0))&gt;0)</f>
        <v>0</v>
      </c>
      <c r="E92" s="43" cm="1">
        <f t="array" ref="E92">--(SUMPRODUCT(($B$48:$B$60=$B92)*(LEN($E$48:$E$60)&gt;0))&gt;0)</f>
        <v>0</v>
      </c>
      <c r="F92" s="43" cm="1">
        <f t="array" ref="F92">--(SUMPRODUCT(($B$48:$B$60=$B92)*(LEN($F$48:$F$60)&gt;0))&gt;0)</f>
        <v>0</v>
      </c>
      <c r="G92" s="43" cm="1">
        <f t="array" ref="G92">--(SUMPRODUCT(($B$48:$B$60=$B92)*(LEN($G$48:$G$60)&gt;0))&gt;0)</f>
        <v>0</v>
      </c>
      <c r="H92" s="43" cm="1">
        <f t="array" ref="H92">--(SUMPRODUCT(($B$48:$B$60=$B92)*(LEN($H$48:$H$60)&gt;0))&gt;0)</f>
        <v>0</v>
      </c>
      <c r="I92" s="43" cm="1">
        <f t="array" ref="I92">--(SUMPRODUCT(($B$48:$B$60=$B92)*(LEN($I$48:$I$60)&gt;0))&gt;0)</f>
        <v>0</v>
      </c>
      <c r="J92" s="43" cm="1">
        <f t="array" ref="J92">--(SUMPRODUCT(($B$48:$B$60=$B92)*(LEN($J$48:$J$60)&gt;0))&gt;0)</f>
        <v>0</v>
      </c>
      <c r="K92" s="188">
        <f t="shared" si="5"/>
        <v>0</v>
      </c>
      <c r="L92" s="11"/>
      <c r="M92" s="11"/>
      <c r="N92" s="11"/>
      <c r="O92" s="11"/>
      <c r="P92" s="11"/>
      <c r="Q92" s="11"/>
      <c r="R92" s="11"/>
      <c r="S92" s="12"/>
    </row>
    <row r="93" spans="1:19" ht="20" hidden="1" customHeight="1">
      <c r="A93" s="10" t="str">
        <f t="shared" ref="A93:B93" si="32">A33</f>
        <v>South Africa</v>
      </c>
      <c r="B93" s="10" t="str">
        <f t="shared" si="32"/>
        <v>ZAF</v>
      </c>
      <c r="C93" s="43" cm="1">
        <f t="array" ref="C93">--(SUMPRODUCT(($B$48:$B$60=$B93)*(LEN($C$48:$C$60)&gt;0))&gt;0)</f>
        <v>0</v>
      </c>
      <c r="D93" s="43" cm="1">
        <f t="array" ref="D93">--(SUMPRODUCT(($B$48:$B$60=$B93)*(LEN($D$48:$D$60)&gt;0))&gt;0)</f>
        <v>0</v>
      </c>
      <c r="E93" s="43" cm="1">
        <f t="array" ref="E93">--(SUMPRODUCT(($B$48:$B$60=$B93)*(LEN($E$48:$E$60)&gt;0))&gt;0)</f>
        <v>0</v>
      </c>
      <c r="F93" s="43" cm="1">
        <f t="array" ref="F93">--(SUMPRODUCT(($B$48:$B$60=$B93)*(LEN($F$48:$F$60)&gt;0))&gt;0)</f>
        <v>0</v>
      </c>
      <c r="G93" s="43" cm="1">
        <f t="array" ref="G93">--(SUMPRODUCT(($B$48:$B$60=$B93)*(LEN($G$48:$G$60)&gt;0))&gt;0)</f>
        <v>0</v>
      </c>
      <c r="H93" s="43" cm="1">
        <f t="array" ref="H93">--(SUMPRODUCT(($B$48:$B$60=$B93)*(LEN($H$48:$H$60)&gt;0))&gt;0)</f>
        <v>0</v>
      </c>
      <c r="I93" s="43" cm="1">
        <f t="array" ref="I93">--(SUMPRODUCT(($B$48:$B$60=$B93)*(LEN($I$48:$I$60)&gt;0))&gt;0)</f>
        <v>0</v>
      </c>
      <c r="J93" s="43" cm="1">
        <f t="array" ref="J93">--(SUMPRODUCT(($B$48:$B$60=$B93)*(LEN($J$48:$J$60)&gt;0))&gt;0)</f>
        <v>0</v>
      </c>
      <c r="K93" s="188">
        <f t="shared" si="5"/>
        <v>0</v>
      </c>
      <c r="L93" s="11"/>
      <c r="M93" s="11"/>
      <c r="N93" s="11"/>
      <c r="O93" s="11"/>
      <c r="P93" s="11"/>
      <c r="Q93" s="11"/>
      <c r="R93" s="11"/>
      <c r="S93" s="12"/>
    </row>
    <row r="94" spans="1:19" ht="20" hidden="1" customHeight="1">
      <c r="A94" s="10" t="str">
        <f t="shared" ref="A94:B94" si="33">A34</f>
        <v>South Korea</v>
      </c>
      <c r="B94" s="10" t="str">
        <f t="shared" si="33"/>
        <v>KOR</v>
      </c>
      <c r="C94" s="43" cm="1">
        <f t="array" ref="C94">--(SUMPRODUCT(($B$48:$B$60=$B94)*(LEN($C$48:$C$60)&gt;0))&gt;0)</f>
        <v>0</v>
      </c>
      <c r="D94" s="43" cm="1">
        <f t="array" ref="D94">--(SUMPRODUCT(($B$48:$B$60=$B94)*(LEN($D$48:$D$60)&gt;0))&gt;0)</f>
        <v>0</v>
      </c>
      <c r="E94" s="43" cm="1">
        <f t="array" ref="E94">--(SUMPRODUCT(($B$48:$B$60=$B94)*(LEN($E$48:$E$60)&gt;0))&gt;0)</f>
        <v>0</v>
      </c>
      <c r="F94" s="43" cm="1">
        <f t="array" ref="F94">--(SUMPRODUCT(($B$48:$B$60=$B94)*(LEN($F$48:$F$60)&gt;0))&gt;0)</f>
        <v>0</v>
      </c>
      <c r="G94" s="43" cm="1">
        <f t="array" ref="G94">--(SUMPRODUCT(($B$48:$B$60=$B94)*(LEN($G$48:$G$60)&gt;0))&gt;0)</f>
        <v>0</v>
      </c>
      <c r="H94" s="43" cm="1">
        <f t="array" ref="H94">--(SUMPRODUCT(($B$48:$B$60=$B94)*(LEN($H$48:$H$60)&gt;0))&gt;0)</f>
        <v>0</v>
      </c>
      <c r="I94" s="43" cm="1">
        <f t="array" ref="I94">--(SUMPRODUCT(($B$48:$B$60=$B94)*(LEN($I$48:$I$60)&gt;0))&gt;0)</f>
        <v>0</v>
      </c>
      <c r="J94" s="43" cm="1">
        <f t="array" ref="J94">--(SUMPRODUCT(($B$48:$B$60=$B94)*(LEN($J$48:$J$60)&gt;0))&gt;0)</f>
        <v>0</v>
      </c>
      <c r="K94" s="188">
        <f t="shared" si="5"/>
        <v>0</v>
      </c>
      <c r="L94" s="11"/>
      <c r="M94" s="11"/>
      <c r="N94" s="11"/>
      <c r="O94" s="11"/>
      <c r="P94" s="11"/>
      <c r="Q94" s="11"/>
      <c r="R94" s="11"/>
      <c r="S94" s="12"/>
    </row>
    <row r="95" spans="1:19" ht="20" hidden="1" customHeight="1">
      <c r="A95" s="10" t="str">
        <f t="shared" ref="A95:B95" si="34">A35</f>
        <v>Sri Lanka</v>
      </c>
      <c r="B95" s="10" t="str">
        <f t="shared" si="34"/>
        <v>LKA</v>
      </c>
      <c r="C95" s="43" cm="1">
        <f t="array" ref="C95">--(SUMPRODUCT(($B$48:$B$60=$B95)*(LEN($C$48:$C$60)&gt;0))&gt;0)</f>
        <v>0</v>
      </c>
      <c r="D95" s="43" cm="1">
        <f t="array" ref="D95">--(SUMPRODUCT(($B$48:$B$60=$B95)*(LEN($D$48:$D$60)&gt;0))&gt;0)</f>
        <v>0</v>
      </c>
      <c r="E95" s="43" cm="1">
        <f t="array" ref="E95">--(SUMPRODUCT(($B$48:$B$60=$B95)*(LEN($E$48:$E$60)&gt;0))&gt;0)</f>
        <v>0</v>
      </c>
      <c r="F95" s="43" cm="1">
        <f t="array" ref="F95">--(SUMPRODUCT(($B$48:$B$60=$B95)*(LEN($F$48:$F$60)&gt;0))&gt;0)</f>
        <v>0</v>
      </c>
      <c r="G95" s="43" cm="1">
        <f t="array" ref="G95">--(SUMPRODUCT(($B$48:$B$60=$B95)*(LEN($G$48:$G$60)&gt;0))&gt;0)</f>
        <v>0</v>
      </c>
      <c r="H95" s="43" cm="1">
        <f t="array" ref="H95">--(SUMPRODUCT(($B$48:$B$60=$B95)*(LEN($H$48:$H$60)&gt;0))&gt;0)</f>
        <v>0</v>
      </c>
      <c r="I95" s="43" cm="1">
        <f t="array" ref="I95">--(SUMPRODUCT(($B$48:$B$60=$B95)*(LEN($I$48:$I$60)&gt;0))&gt;0)</f>
        <v>0</v>
      </c>
      <c r="J95" s="43" cm="1">
        <f t="array" ref="J95">--(SUMPRODUCT(($B$48:$B$60=$B95)*(LEN($J$48:$J$60)&gt;0))&gt;0)</f>
        <v>0</v>
      </c>
      <c r="K95" s="188">
        <f t="shared" si="5"/>
        <v>0</v>
      </c>
      <c r="L95" s="11"/>
      <c r="M95" s="11"/>
      <c r="N95" s="11"/>
      <c r="O95" s="11"/>
      <c r="P95" s="11"/>
      <c r="Q95" s="11"/>
      <c r="R95" s="11"/>
      <c r="S95" s="12"/>
    </row>
    <row r="96" spans="1:19" ht="20" hidden="1" customHeight="1">
      <c r="A96" s="10" t="str">
        <f t="shared" ref="A96:B96" si="35">A36</f>
        <v>Taiwan, China</v>
      </c>
      <c r="B96" s="10" t="str">
        <f t="shared" si="35"/>
        <v>TWN</v>
      </c>
      <c r="C96" s="43" cm="1">
        <f t="array" ref="C96">--(SUMPRODUCT(($B$48:$B$60=$B96)*(LEN($C$48:$C$60)&gt;0))&gt;0)</f>
        <v>1</v>
      </c>
      <c r="D96" s="43" cm="1">
        <f t="array" ref="D96">--(SUMPRODUCT(($B$48:$B$60=$B96)*(LEN($D$48:$D$60)&gt;0))&gt;0)</f>
        <v>0</v>
      </c>
      <c r="E96" s="43" cm="1">
        <f t="array" ref="E96">--(SUMPRODUCT(($B$48:$B$60=$B96)*(LEN($E$48:$E$60)&gt;0))&gt;0)</f>
        <v>0</v>
      </c>
      <c r="F96" s="43" cm="1">
        <f t="array" ref="F96">--(SUMPRODUCT(($B$48:$B$60=$B96)*(LEN($F$48:$F$60)&gt;0))&gt;0)</f>
        <v>0</v>
      </c>
      <c r="G96" s="43" cm="1">
        <f t="array" ref="G96">--(SUMPRODUCT(($B$48:$B$60=$B96)*(LEN($G$48:$G$60)&gt;0))&gt;0)</f>
        <v>0</v>
      </c>
      <c r="H96" s="43" cm="1">
        <f t="array" ref="H96">--(SUMPRODUCT(($B$48:$B$60=$B96)*(LEN($H$48:$H$60)&gt;0))&gt;0)</f>
        <v>0</v>
      </c>
      <c r="I96" s="43" cm="1">
        <f t="array" ref="I96">--(SUMPRODUCT(($B$48:$B$60=$B96)*(LEN($I$48:$I$60)&gt;0))&gt;0)</f>
        <v>0</v>
      </c>
      <c r="J96" s="43" cm="1">
        <f t="array" ref="J96">--(SUMPRODUCT(($B$48:$B$60=$B96)*(LEN($J$48:$J$60)&gt;0))&gt;0)</f>
        <v>0</v>
      </c>
      <c r="K96" s="188">
        <f t="shared" si="5"/>
        <v>1</v>
      </c>
      <c r="L96" s="11"/>
      <c r="M96" s="11"/>
      <c r="N96" s="11"/>
      <c r="O96" s="11"/>
      <c r="P96" s="11"/>
      <c r="Q96" s="11"/>
      <c r="R96" s="11"/>
      <c r="S96" s="12"/>
    </row>
    <row r="97" spans="1:19" ht="20" hidden="1" customHeight="1">
      <c r="A97" s="10" t="str">
        <f t="shared" ref="A97:B97" si="36">A37</f>
        <v>Thailand</v>
      </c>
      <c r="B97" s="10" t="str">
        <f t="shared" si="36"/>
        <v>THA</v>
      </c>
      <c r="C97" s="43" cm="1">
        <f t="array" ref="C97">--(SUMPRODUCT(($B$48:$B$60=$B97)*(LEN($C$48:$C$60)&gt;0))&gt;0)</f>
        <v>0</v>
      </c>
      <c r="D97" s="43" cm="1">
        <f t="array" ref="D97">--(SUMPRODUCT(($B$48:$B$60=$B97)*(LEN($D$48:$D$60)&gt;0))&gt;0)</f>
        <v>0</v>
      </c>
      <c r="E97" s="43" cm="1">
        <f t="array" ref="E97">--(SUMPRODUCT(($B$48:$B$60=$B97)*(LEN($E$48:$E$60)&gt;0))&gt;0)</f>
        <v>0</v>
      </c>
      <c r="F97" s="43" cm="1">
        <f t="array" ref="F97">--(SUMPRODUCT(($B$48:$B$60=$B97)*(LEN($F$48:$F$60)&gt;0))&gt;0)</f>
        <v>0</v>
      </c>
      <c r="G97" s="43" cm="1">
        <f t="array" ref="G97">--(SUMPRODUCT(($B$48:$B$60=$B97)*(LEN($G$48:$G$60)&gt;0))&gt;0)</f>
        <v>0</v>
      </c>
      <c r="H97" s="43" cm="1">
        <f t="array" ref="H97">--(SUMPRODUCT(($B$48:$B$60=$B97)*(LEN($H$48:$H$60)&gt;0))&gt;0)</f>
        <v>0</v>
      </c>
      <c r="I97" s="43" cm="1">
        <f t="array" ref="I97">--(SUMPRODUCT(($B$48:$B$60=$B97)*(LEN($I$48:$I$60)&gt;0))&gt;0)</f>
        <v>0</v>
      </c>
      <c r="J97" s="43" cm="1">
        <f t="array" ref="J97">--(SUMPRODUCT(($B$48:$B$60=$B97)*(LEN($J$48:$J$60)&gt;0))&gt;0)</f>
        <v>0</v>
      </c>
      <c r="K97" s="188">
        <f t="shared" si="5"/>
        <v>0</v>
      </c>
      <c r="L97" s="11"/>
      <c r="M97" s="11"/>
      <c r="N97" s="11"/>
      <c r="O97" s="11"/>
      <c r="P97" s="11"/>
      <c r="Q97" s="11"/>
      <c r="R97" s="11"/>
      <c r="S97" s="12"/>
    </row>
    <row r="98" spans="1:19" ht="20" hidden="1" customHeight="1">
      <c r="A98" s="10" t="str">
        <f t="shared" ref="A98:B98" si="37">A38</f>
        <v>Türkiye</v>
      </c>
      <c r="B98" s="10" t="str">
        <f t="shared" si="37"/>
        <v>TUR</v>
      </c>
      <c r="C98" s="43" cm="1">
        <f t="array" ref="C98">--(SUMPRODUCT(($B$48:$B$60=$B98)*(LEN($C$48:$C$60)&gt;0))&gt;0)</f>
        <v>0</v>
      </c>
      <c r="D98" s="43" cm="1">
        <f t="array" ref="D98">--(SUMPRODUCT(($B$48:$B$60=$B98)*(LEN($D$48:$D$60)&gt;0))&gt;0)</f>
        <v>0</v>
      </c>
      <c r="E98" s="43" cm="1">
        <f t="array" ref="E98">--(SUMPRODUCT(($B$48:$B$60=$B98)*(LEN($E$48:$E$60)&gt;0))&gt;0)</f>
        <v>0</v>
      </c>
      <c r="F98" s="43" cm="1">
        <f t="array" ref="F98">--(SUMPRODUCT(($B$48:$B$60=$B98)*(LEN($F$48:$F$60)&gt;0))&gt;0)</f>
        <v>0</v>
      </c>
      <c r="G98" s="43" cm="1">
        <f t="array" ref="G98">--(SUMPRODUCT(($B$48:$B$60=$B98)*(LEN($G$48:$G$60)&gt;0))&gt;0)</f>
        <v>0</v>
      </c>
      <c r="H98" s="43" cm="1">
        <f t="array" ref="H98">--(SUMPRODUCT(($B$48:$B$60=$B98)*(LEN($H$48:$H$60)&gt;0))&gt;0)</f>
        <v>0</v>
      </c>
      <c r="I98" s="43" cm="1">
        <f t="array" ref="I98">--(SUMPRODUCT(($B$48:$B$60=$B98)*(LEN($I$48:$I$60)&gt;0))&gt;0)</f>
        <v>0</v>
      </c>
      <c r="J98" s="43" cm="1">
        <f t="array" ref="J98">--(SUMPRODUCT(($B$48:$B$60=$B98)*(LEN($J$48:$J$60)&gt;0))&gt;0)</f>
        <v>0</v>
      </c>
      <c r="K98" s="188">
        <f t="shared" si="5"/>
        <v>0</v>
      </c>
      <c r="L98" s="11"/>
      <c r="M98" s="11"/>
      <c r="N98" s="11"/>
      <c r="O98" s="11"/>
      <c r="P98" s="11"/>
      <c r="Q98" s="11"/>
      <c r="R98" s="11"/>
      <c r="S98" s="12"/>
    </row>
    <row r="99" spans="1:19" ht="20" hidden="1" customHeight="1">
      <c r="A99" s="10" t="str">
        <f t="shared" ref="A99:B99" si="38">A39</f>
        <v>United States</v>
      </c>
      <c r="B99" s="10" t="str">
        <f t="shared" si="38"/>
        <v>USA</v>
      </c>
      <c r="C99" s="43" cm="1">
        <f t="array" ref="C99">--(SUMPRODUCT(($B$48:$B$60=$B99)*(LEN($C$48:$C$60)&gt;0))&gt;0)</f>
        <v>0</v>
      </c>
      <c r="D99" s="43" cm="1">
        <f t="array" ref="D99">--(SUMPRODUCT(($B$48:$B$60=$B99)*(LEN($D$48:$D$60)&gt;0))&gt;0)</f>
        <v>0</v>
      </c>
      <c r="E99" s="43" cm="1">
        <f t="array" ref="E99">--(SUMPRODUCT(($B$48:$B$60=$B99)*(LEN($E$48:$E$60)&gt;0))&gt;0)</f>
        <v>0</v>
      </c>
      <c r="F99" s="43" cm="1">
        <f t="array" ref="F99">--(SUMPRODUCT(($B$48:$B$60=$B99)*(LEN($F$48:$F$60)&gt;0))&gt;0)</f>
        <v>0</v>
      </c>
      <c r="G99" s="43" cm="1">
        <f t="array" ref="G99">--(SUMPRODUCT(($B$48:$B$60=$B99)*(LEN($G$48:$G$60)&gt;0))&gt;0)</f>
        <v>0</v>
      </c>
      <c r="H99" s="43" cm="1">
        <f t="array" ref="H99">--(SUMPRODUCT(($B$48:$B$60=$B99)*(LEN($H$48:$H$60)&gt;0))&gt;0)</f>
        <v>0</v>
      </c>
      <c r="I99" s="43" cm="1">
        <f t="array" ref="I99">--(SUMPRODUCT(($B$48:$B$60=$B99)*(LEN($I$48:$I$60)&gt;0))&gt;0)</f>
        <v>0</v>
      </c>
      <c r="J99" s="43" cm="1">
        <f t="array" ref="J99">--(SUMPRODUCT(($B$48:$B$60=$B99)*(LEN($J$48:$J$60)&gt;0))&gt;0)</f>
        <v>0</v>
      </c>
      <c r="K99" s="188">
        <f t="shared" si="5"/>
        <v>0</v>
      </c>
      <c r="L99" s="11"/>
      <c r="M99" s="11"/>
      <c r="N99" s="11"/>
      <c r="O99" s="11"/>
      <c r="P99" s="11"/>
      <c r="Q99" s="11"/>
      <c r="R99" s="11"/>
      <c r="S99" s="12"/>
    </row>
    <row r="100" spans="1:19" ht="20" hidden="1" customHeight="1">
      <c r="A100" s="10" t="str">
        <f t="shared" ref="A100:B100" si="39">A40</f>
        <v>Vietnam</v>
      </c>
      <c r="B100" s="10" t="str">
        <f t="shared" si="39"/>
        <v>VNM</v>
      </c>
      <c r="C100" s="43" cm="1">
        <f t="array" ref="C100">--(SUMPRODUCT(($B$48:$B$60=$B100)*(LEN($C$48:$C$60)&gt;0))&gt;0)</f>
        <v>0</v>
      </c>
      <c r="D100" s="43" cm="1">
        <f t="array" ref="D100">--(SUMPRODUCT(($B$48:$B$60=$B100)*(LEN($D$48:$D$60)&gt;0))&gt;0)</f>
        <v>0</v>
      </c>
      <c r="E100" s="43" cm="1">
        <f t="array" ref="E100">--(SUMPRODUCT(($B$48:$B$60=$B100)*(LEN($E$48:$E$60)&gt;0))&gt;0)</f>
        <v>0</v>
      </c>
      <c r="F100" s="43" cm="1">
        <f t="array" ref="F100">--(SUMPRODUCT(($B$48:$B$60=$B100)*(LEN($F$48:$F$60)&gt;0))&gt;0)</f>
        <v>0</v>
      </c>
      <c r="G100" s="43" cm="1">
        <f t="array" ref="G100">--(SUMPRODUCT(($B$48:$B$60=$B100)*(LEN($G$48:$G$60)&gt;0))&gt;0)</f>
        <v>0</v>
      </c>
      <c r="H100" s="43" cm="1">
        <f t="array" ref="H100">--(SUMPRODUCT(($B$48:$B$60=$B100)*(LEN($H$48:$H$60)&gt;0))&gt;0)</f>
        <v>0</v>
      </c>
      <c r="I100" s="43" cm="1">
        <f t="array" ref="I100">--(SUMPRODUCT(($B$48:$B$60=$B100)*(LEN($I$48:$I$60)&gt;0))&gt;0)</f>
        <v>0</v>
      </c>
      <c r="J100" s="43" cm="1">
        <f t="array" ref="J100">--(SUMPRODUCT(($B$48:$B$60=$B100)*(LEN($J$48:$J$60)&gt;0))&gt;0)</f>
        <v>0</v>
      </c>
      <c r="K100" s="188">
        <f t="shared" si="5"/>
        <v>0</v>
      </c>
      <c r="L100" s="11"/>
      <c r="M100" s="11"/>
      <c r="N100" s="11"/>
      <c r="O100" s="11"/>
      <c r="P100" s="11"/>
      <c r="Q100" s="11"/>
      <c r="R100" s="11"/>
      <c r="S100" s="12"/>
    </row>
    <row r="101" spans="1:19" ht="20" customHeight="1">
      <c r="A101" s="10"/>
      <c r="B101" s="10"/>
      <c r="C101" s="15"/>
      <c r="D101" s="15"/>
      <c r="E101" s="15"/>
      <c r="F101" s="15"/>
      <c r="G101" s="15"/>
      <c r="H101" s="15"/>
      <c r="I101" s="43"/>
      <c r="J101" s="15"/>
      <c r="K101" s="11"/>
      <c r="L101" s="11"/>
      <c r="M101" s="11"/>
      <c r="N101" s="11"/>
      <c r="O101" s="11"/>
      <c r="P101" s="11"/>
      <c r="Q101" s="11"/>
      <c r="R101" s="11"/>
      <c r="S101" s="12"/>
    </row>
    <row r="102" spans="1:19" ht="20" customHeight="1">
      <c r="A102" s="10"/>
      <c r="B102" s="10"/>
      <c r="C102" s="15"/>
      <c r="D102" s="15"/>
      <c r="E102" s="15"/>
      <c r="F102" s="15"/>
      <c r="G102" s="15"/>
      <c r="H102" s="15"/>
      <c r="I102" s="43"/>
      <c r="J102" s="15"/>
      <c r="K102" s="11"/>
      <c r="L102" s="11"/>
      <c r="M102" s="11"/>
      <c r="N102" s="11"/>
      <c r="O102" s="11"/>
      <c r="P102" s="11"/>
      <c r="Q102" s="11"/>
      <c r="R102" s="11"/>
      <c r="S102" s="12"/>
    </row>
    <row r="103" spans="1:19" ht="20" customHeight="1">
      <c r="A103" s="10"/>
      <c r="B103" s="10"/>
      <c r="C103" s="15"/>
      <c r="D103" s="15"/>
      <c r="E103" s="15"/>
      <c r="F103" s="15"/>
      <c r="G103" s="15"/>
      <c r="H103" s="15"/>
      <c r="I103" s="43"/>
      <c r="J103" s="15"/>
      <c r="K103" s="11"/>
      <c r="L103" s="11"/>
      <c r="M103" s="11"/>
      <c r="N103" s="11"/>
      <c r="O103" s="11"/>
      <c r="P103" s="11"/>
      <c r="Q103" s="11"/>
      <c r="R103" s="11"/>
      <c r="S103" s="12"/>
    </row>
    <row r="104" spans="1:19" ht="20" customHeight="1">
      <c r="A104" s="10"/>
      <c r="B104" s="10"/>
      <c r="C104" s="15"/>
      <c r="D104" s="15"/>
      <c r="E104" s="15"/>
      <c r="F104" s="15"/>
      <c r="G104" s="15"/>
      <c r="H104" s="15"/>
      <c r="I104" s="43"/>
      <c r="J104" s="15"/>
      <c r="K104" s="11"/>
      <c r="L104" s="11"/>
      <c r="M104" s="11"/>
      <c r="N104" s="11"/>
      <c r="O104" s="11"/>
      <c r="P104" s="11"/>
      <c r="Q104" s="11"/>
      <c r="R104" s="11"/>
      <c r="S104" s="12"/>
    </row>
    <row r="105" spans="1:19" ht="20" customHeight="1">
      <c r="A105" s="10"/>
      <c r="B105" s="10"/>
      <c r="C105" s="15"/>
      <c r="D105" s="15"/>
      <c r="E105" s="15"/>
      <c r="F105" s="15"/>
      <c r="G105" s="15"/>
      <c r="H105" s="15"/>
      <c r="I105" s="43"/>
      <c r="J105" s="15"/>
      <c r="K105" s="11"/>
      <c r="L105" s="11"/>
      <c r="M105" s="11"/>
      <c r="N105" s="11"/>
      <c r="O105" s="11"/>
      <c r="P105" s="11"/>
      <c r="Q105" s="11"/>
      <c r="R105" s="11"/>
      <c r="S105" s="12"/>
    </row>
    <row r="106" spans="1:19" ht="20" customHeight="1">
      <c r="A106" s="10"/>
      <c r="B106" s="10"/>
      <c r="C106" s="15"/>
      <c r="D106" s="15"/>
      <c r="E106" s="15"/>
      <c r="F106" s="15"/>
      <c r="G106" s="15"/>
      <c r="H106" s="15"/>
      <c r="I106" s="43"/>
      <c r="J106" s="15"/>
      <c r="K106" s="11"/>
      <c r="L106" s="11"/>
      <c r="M106" s="11"/>
      <c r="N106" s="11"/>
      <c r="O106" s="11"/>
      <c r="P106" s="11"/>
      <c r="Q106" s="11"/>
      <c r="R106" s="11"/>
      <c r="S106" s="12"/>
    </row>
    <row r="107" spans="1:19" ht="20" customHeight="1">
      <c r="A107" s="10"/>
      <c r="B107" s="10"/>
      <c r="C107" s="15"/>
      <c r="D107" s="15"/>
      <c r="E107" s="15"/>
      <c r="F107" s="15"/>
      <c r="G107" s="15"/>
      <c r="H107" s="15"/>
      <c r="I107" s="43"/>
      <c r="J107" s="15"/>
      <c r="K107" s="11"/>
      <c r="L107" s="11"/>
      <c r="M107" s="11"/>
      <c r="N107" s="11"/>
      <c r="O107" s="11"/>
      <c r="P107" s="11"/>
      <c r="Q107" s="11"/>
      <c r="R107" s="11"/>
      <c r="S107" s="12"/>
    </row>
    <row r="108" spans="1:19" ht="20" customHeight="1">
      <c r="A108" s="10"/>
      <c r="B108" s="10"/>
      <c r="C108" s="15"/>
      <c r="D108" s="15"/>
      <c r="E108" s="15"/>
      <c r="F108" s="15"/>
      <c r="G108" s="15"/>
      <c r="H108" s="15"/>
      <c r="I108" s="43"/>
      <c r="J108" s="15"/>
      <c r="K108" s="11"/>
      <c r="L108" s="11"/>
      <c r="M108" s="11"/>
      <c r="N108" s="11"/>
      <c r="O108" s="11"/>
      <c r="P108" s="11"/>
      <c r="Q108" s="11"/>
      <c r="R108" s="11"/>
      <c r="S108" s="12"/>
    </row>
    <row r="109" spans="1:19" ht="20" customHeight="1">
      <c r="A109" s="10"/>
      <c r="B109" s="10"/>
      <c r="C109" s="15"/>
      <c r="D109" s="15"/>
      <c r="E109" s="15"/>
      <c r="F109" s="15"/>
      <c r="G109" s="15"/>
      <c r="H109" s="15"/>
      <c r="I109" s="43"/>
      <c r="J109" s="15"/>
      <c r="K109" s="11"/>
      <c r="L109" s="11"/>
      <c r="M109" s="11"/>
      <c r="N109" s="11"/>
      <c r="O109" s="11"/>
      <c r="P109" s="11"/>
      <c r="Q109" s="11"/>
      <c r="R109" s="11"/>
      <c r="S109" s="12"/>
    </row>
    <row r="110" spans="1:19" ht="20" customHeight="1">
      <c r="A110" s="10"/>
      <c r="B110" s="10"/>
      <c r="C110" s="15"/>
      <c r="D110" s="15"/>
      <c r="E110" s="15"/>
      <c r="F110" s="15"/>
      <c r="G110" s="15"/>
      <c r="H110" s="15"/>
      <c r="I110" s="43"/>
      <c r="J110" s="15"/>
      <c r="K110" s="11"/>
      <c r="L110" s="11"/>
      <c r="M110" s="11"/>
      <c r="N110" s="11"/>
      <c r="O110" s="11"/>
      <c r="P110" s="11"/>
      <c r="Q110" s="11"/>
      <c r="R110" s="11"/>
      <c r="S110" s="12"/>
    </row>
    <row r="111" spans="1:19" ht="20" customHeight="1">
      <c r="A111" s="10"/>
      <c r="B111" s="10"/>
      <c r="C111" s="15"/>
      <c r="D111" s="15"/>
      <c r="E111" s="15"/>
      <c r="F111" s="15"/>
      <c r="G111" s="15"/>
      <c r="H111" s="15"/>
      <c r="I111" s="43"/>
      <c r="J111" s="15"/>
      <c r="K111" s="11"/>
      <c r="L111" s="11"/>
      <c r="M111" s="11"/>
      <c r="N111" s="11"/>
      <c r="O111" s="11"/>
      <c r="P111" s="11"/>
      <c r="Q111" s="11"/>
      <c r="R111" s="11"/>
      <c r="S111" s="12"/>
    </row>
    <row r="112" spans="1:19" ht="20" customHeight="1">
      <c r="A112" s="10"/>
      <c r="B112" s="10"/>
      <c r="C112" s="15"/>
      <c r="D112" s="15"/>
      <c r="E112" s="15"/>
      <c r="F112" s="15"/>
      <c r="G112" s="15"/>
      <c r="H112" s="15"/>
      <c r="I112" s="43"/>
      <c r="J112" s="15"/>
      <c r="K112" s="11"/>
      <c r="L112" s="11"/>
      <c r="M112" s="11"/>
      <c r="N112" s="11"/>
      <c r="O112" s="11"/>
      <c r="P112" s="11"/>
      <c r="Q112" s="11"/>
      <c r="R112" s="11"/>
      <c r="S112" s="12"/>
    </row>
    <row r="113" spans="1:19" ht="20" customHeight="1">
      <c r="A113" s="10"/>
      <c r="B113" s="10"/>
      <c r="C113" s="15"/>
      <c r="D113" s="15"/>
      <c r="E113" s="15"/>
      <c r="F113" s="15"/>
      <c r="G113" s="15"/>
      <c r="H113" s="15"/>
      <c r="I113" s="43"/>
      <c r="J113" s="15"/>
      <c r="K113" s="11"/>
      <c r="L113" s="11"/>
      <c r="M113" s="11"/>
      <c r="N113" s="11"/>
      <c r="O113" s="11"/>
      <c r="P113" s="11"/>
      <c r="Q113" s="11"/>
      <c r="R113" s="11"/>
      <c r="S113" s="12"/>
    </row>
    <row r="114" spans="1:19" ht="20" customHeight="1">
      <c r="A114" s="10"/>
      <c r="B114" s="10"/>
      <c r="C114" s="15"/>
      <c r="D114" s="15"/>
      <c r="E114" s="15"/>
      <c r="F114" s="15"/>
      <c r="G114" s="15"/>
      <c r="H114" s="15"/>
      <c r="I114" s="43"/>
      <c r="J114" s="15"/>
      <c r="K114" s="11"/>
      <c r="L114" s="11"/>
      <c r="M114" s="11"/>
      <c r="N114" s="11"/>
      <c r="O114" s="11"/>
      <c r="P114" s="11"/>
      <c r="Q114" s="11"/>
      <c r="R114" s="11"/>
      <c r="S114" s="12"/>
    </row>
    <row r="115" spans="1:19" ht="20" customHeight="1">
      <c r="A115" s="10"/>
      <c r="B115" s="10"/>
      <c r="C115" s="15"/>
      <c r="D115" s="15"/>
      <c r="E115" s="15"/>
      <c r="F115" s="15"/>
      <c r="G115" s="15"/>
      <c r="H115" s="15"/>
      <c r="I115" s="43"/>
      <c r="J115" s="15"/>
      <c r="K115" s="11"/>
      <c r="L115" s="11"/>
      <c r="M115" s="11"/>
      <c r="N115" s="11"/>
      <c r="O115" s="11"/>
      <c r="P115" s="11"/>
      <c r="Q115" s="11"/>
      <c r="R115" s="11"/>
      <c r="S115" s="12"/>
    </row>
    <row r="116" spans="1:19" ht="20" customHeight="1">
      <c r="A116" s="10"/>
      <c r="B116" s="10"/>
      <c r="C116" s="15"/>
      <c r="D116" s="15"/>
      <c r="E116" s="15"/>
      <c r="F116" s="15"/>
      <c r="G116" s="15"/>
      <c r="H116" s="15"/>
      <c r="I116" s="43"/>
      <c r="J116" s="15"/>
      <c r="K116" s="11"/>
      <c r="L116" s="11"/>
      <c r="M116" s="11"/>
      <c r="N116" s="11"/>
      <c r="O116" s="11"/>
      <c r="P116" s="11"/>
      <c r="Q116" s="11"/>
      <c r="R116" s="11"/>
      <c r="S116" s="12"/>
    </row>
    <row r="117" spans="1:19" ht="20" customHeight="1">
      <c r="A117" s="10"/>
      <c r="B117" s="10"/>
      <c r="C117" s="15"/>
      <c r="D117" s="15"/>
      <c r="E117" s="15"/>
      <c r="F117" s="15"/>
      <c r="G117" s="15"/>
      <c r="H117" s="15"/>
      <c r="I117" s="43"/>
      <c r="J117" s="15"/>
      <c r="K117" s="11"/>
      <c r="L117" s="11"/>
      <c r="M117" s="11"/>
      <c r="N117" s="11"/>
      <c r="O117" s="11"/>
      <c r="P117" s="11"/>
      <c r="Q117" s="11"/>
      <c r="R117" s="11"/>
      <c r="S117" s="12"/>
    </row>
    <row r="118" spans="1:19" ht="20" customHeight="1">
      <c r="A118" s="10"/>
      <c r="B118" s="10"/>
      <c r="C118" s="15"/>
      <c r="D118" s="15"/>
      <c r="E118" s="15"/>
      <c r="F118" s="15"/>
      <c r="G118" s="15"/>
      <c r="H118" s="15"/>
      <c r="I118" s="43"/>
      <c r="J118" s="15"/>
      <c r="K118" s="11"/>
      <c r="L118" s="11"/>
      <c r="M118" s="11"/>
      <c r="N118" s="11"/>
      <c r="O118" s="11"/>
      <c r="P118" s="11"/>
      <c r="Q118" s="11"/>
      <c r="R118" s="11"/>
      <c r="S118" s="12"/>
    </row>
    <row r="119" spans="1:19" ht="20" customHeight="1">
      <c r="A119" s="10"/>
      <c r="B119" s="10"/>
      <c r="C119" s="15"/>
      <c r="D119" s="15"/>
      <c r="E119" s="15"/>
      <c r="F119" s="15"/>
      <c r="G119" s="15"/>
      <c r="H119" s="15"/>
      <c r="I119" s="43"/>
      <c r="J119" s="15"/>
      <c r="K119" s="11"/>
      <c r="L119" s="11"/>
      <c r="M119" s="11"/>
      <c r="N119" s="11"/>
      <c r="O119" s="11"/>
      <c r="P119" s="11"/>
      <c r="Q119" s="11"/>
      <c r="R119" s="11"/>
      <c r="S119" s="12"/>
    </row>
    <row r="120" spans="1:19" ht="20" customHeight="1">
      <c r="A120" s="10"/>
      <c r="B120" s="10"/>
      <c r="C120" s="15"/>
      <c r="D120" s="15"/>
      <c r="E120" s="15"/>
      <c r="F120" s="15"/>
      <c r="G120" s="15"/>
      <c r="H120" s="15"/>
      <c r="I120" s="43"/>
      <c r="J120" s="15"/>
      <c r="K120" s="11"/>
      <c r="L120" s="11"/>
      <c r="M120" s="11"/>
      <c r="N120" s="11"/>
      <c r="O120" s="11"/>
      <c r="P120" s="11"/>
      <c r="Q120" s="11"/>
      <c r="R120" s="11"/>
      <c r="S120" s="12"/>
    </row>
    <row r="121" spans="1:19" ht="20" customHeight="1">
      <c r="A121" s="10"/>
      <c r="B121" s="10"/>
      <c r="C121" s="15"/>
      <c r="D121" s="15"/>
      <c r="E121" s="15"/>
      <c r="F121" s="15"/>
      <c r="G121" s="15"/>
      <c r="H121" s="15"/>
      <c r="I121" s="43"/>
      <c r="J121" s="15"/>
      <c r="K121" s="11"/>
      <c r="L121" s="11"/>
      <c r="M121" s="11"/>
      <c r="N121" s="11"/>
      <c r="O121" s="11"/>
      <c r="P121" s="11"/>
      <c r="Q121" s="11"/>
      <c r="R121" s="11"/>
      <c r="S121" s="12"/>
    </row>
    <row r="122" spans="1:19" ht="20" customHeight="1">
      <c r="A122" s="10"/>
      <c r="B122" s="10"/>
      <c r="C122" s="15"/>
      <c r="D122" s="15"/>
      <c r="E122" s="15"/>
      <c r="F122" s="15"/>
      <c r="G122" s="15"/>
      <c r="H122" s="15"/>
      <c r="I122" s="43"/>
      <c r="J122" s="15"/>
      <c r="K122" s="11"/>
      <c r="L122" s="11"/>
      <c r="M122" s="11"/>
      <c r="N122" s="11"/>
      <c r="O122" s="11"/>
      <c r="P122" s="11"/>
      <c r="Q122" s="11"/>
      <c r="R122" s="11"/>
      <c r="S122" s="12"/>
    </row>
    <row r="123" spans="1:19" ht="20" customHeight="1">
      <c r="A123" s="10"/>
      <c r="B123" s="10"/>
      <c r="C123" s="15"/>
      <c r="D123" s="15"/>
      <c r="E123" s="15"/>
      <c r="F123" s="15"/>
      <c r="G123" s="15"/>
      <c r="H123" s="15"/>
      <c r="I123" s="43"/>
      <c r="J123" s="15"/>
      <c r="K123" s="11"/>
      <c r="L123" s="11"/>
      <c r="M123" s="11"/>
      <c r="N123" s="11"/>
      <c r="O123" s="11"/>
      <c r="P123" s="11"/>
      <c r="Q123" s="11"/>
      <c r="R123" s="11"/>
      <c r="S123" s="12"/>
    </row>
    <row r="124" spans="1:19" ht="20" customHeight="1">
      <c r="A124" s="10"/>
      <c r="B124" s="10"/>
      <c r="C124" s="15"/>
      <c r="D124" s="15"/>
      <c r="E124" s="15"/>
      <c r="F124" s="15"/>
      <c r="G124" s="15"/>
      <c r="H124" s="15"/>
      <c r="I124" s="43"/>
      <c r="J124" s="15"/>
      <c r="K124" s="11"/>
      <c r="L124" s="11"/>
      <c r="M124" s="11"/>
      <c r="N124" s="11"/>
      <c r="O124" s="11"/>
      <c r="P124" s="11"/>
      <c r="Q124" s="11"/>
      <c r="R124" s="11"/>
      <c r="S124" s="12"/>
    </row>
    <row r="125" spans="1:19" ht="20" customHeight="1">
      <c r="A125" s="10"/>
      <c r="B125" s="10"/>
      <c r="C125" s="15"/>
      <c r="D125" s="15"/>
      <c r="E125" s="15"/>
      <c r="F125" s="15"/>
      <c r="G125" s="15"/>
      <c r="H125" s="15"/>
      <c r="I125" s="43"/>
      <c r="J125" s="15"/>
      <c r="K125" s="11"/>
      <c r="L125" s="11"/>
      <c r="M125" s="11"/>
      <c r="N125" s="11"/>
      <c r="O125" s="11"/>
      <c r="P125" s="11"/>
      <c r="Q125" s="11"/>
      <c r="R125" s="11"/>
      <c r="S125" s="12"/>
    </row>
    <row r="126" spans="1:19" ht="20" customHeight="1">
      <c r="A126" s="10"/>
      <c r="B126" s="10"/>
      <c r="C126" s="15"/>
      <c r="D126" s="15"/>
      <c r="E126" s="15"/>
      <c r="F126" s="15"/>
      <c r="G126" s="15"/>
      <c r="H126" s="15"/>
      <c r="I126" s="43"/>
      <c r="J126" s="15"/>
      <c r="K126" s="11"/>
      <c r="L126" s="11"/>
      <c r="M126" s="11"/>
      <c r="N126" s="11"/>
      <c r="O126" s="11"/>
      <c r="P126" s="11"/>
      <c r="Q126" s="11"/>
      <c r="R126" s="11"/>
      <c r="S126" s="12"/>
    </row>
    <row r="127" spans="1:19" ht="20" customHeight="1">
      <c r="A127" s="10"/>
      <c r="B127" s="10"/>
      <c r="C127" s="15"/>
      <c r="D127" s="15"/>
      <c r="E127" s="15"/>
      <c r="F127" s="15"/>
      <c r="G127" s="15"/>
      <c r="H127" s="15"/>
      <c r="I127" s="43"/>
      <c r="J127" s="15"/>
      <c r="K127" s="11"/>
      <c r="L127" s="11"/>
      <c r="M127" s="11"/>
      <c r="N127" s="11"/>
      <c r="O127" s="11"/>
      <c r="P127" s="11"/>
      <c r="Q127" s="11"/>
      <c r="R127" s="11"/>
      <c r="S127" s="12"/>
    </row>
    <row r="128" spans="1:19" ht="20" customHeight="1">
      <c r="A128" s="10"/>
      <c r="B128" s="10"/>
      <c r="C128" s="15"/>
      <c r="D128" s="15"/>
      <c r="E128" s="15"/>
      <c r="F128" s="15"/>
      <c r="G128" s="15"/>
      <c r="H128" s="15"/>
      <c r="I128" s="43"/>
      <c r="J128" s="15"/>
      <c r="K128" s="11"/>
      <c r="L128" s="11"/>
      <c r="M128" s="11"/>
      <c r="N128" s="11"/>
      <c r="O128" s="11"/>
      <c r="P128" s="11"/>
      <c r="Q128" s="11"/>
      <c r="R128" s="11"/>
      <c r="S128" s="12"/>
    </row>
    <row r="129" spans="1:19" ht="20" customHeight="1">
      <c r="A129" s="10"/>
      <c r="B129" s="10"/>
      <c r="C129" s="15"/>
      <c r="D129" s="15"/>
      <c r="E129" s="15"/>
      <c r="F129" s="15"/>
      <c r="G129" s="15"/>
      <c r="H129" s="15"/>
      <c r="I129" s="43"/>
      <c r="J129" s="15"/>
      <c r="K129" s="11"/>
      <c r="L129" s="11"/>
      <c r="M129" s="11"/>
      <c r="N129" s="11"/>
      <c r="O129" s="11"/>
      <c r="P129" s="11"/>
      <c r="Q129" s="11"/>
      <c r="R129" s="11"/>
      <c r="S129" s="12"/>
    </row>
    <row r="130" spans="1:19" ht="20" customHeight="1">
      <c r="A130" s="10"/>
      <c r="B130" s="10"/>
      <c r="C130" s="15"/>
      <c r="D130" s="15"/>
      <c r="E130" s="15"/>
      <c r="F130" s="15"/>
      <c r="G130" s="15"/>
      <c r="H130" s="15"/>
      <c r="I130" s="43"/>
      <c r="J130" s="15"/>
      <c r="K130" s="11"/>
      <c r="L130" s="11"/>
      <c r="M130" s="11"/>
      <c r="N130" s="11"/>
      <c r="O130" s="11"/>
      <c r="P130" s="11"/>
      <c r="Q130" s="11"/>
      <c r="R130" s="11"/>
      <c r="S130" s="12"/>
    </row>
    <row r="131" spans="1:19" ht="20" customHeight="1">
      <c r="A131" s="10"/>
      <c r="B131" s="10"/>
      <c r="C131" s="15"/>
      <c r="D131" s="15"/>
      <c r="E131" s="15"/>
      <c r="F131" s="15"/>
      <c r="G131" s="15"/>
      <c r="H131" s="15"/>
      <c r="I131" s="43"/>
      <c r="J131" s="15"/>
      <c r="K131" s="11"/>
      <c r="L131" s="11"/>
      <c r="M131" s="11"/>
      <c r="N131" s="11"/>
      <c r="O131" s="11"/>
      <c r="P131" s="11"/>
      <c r="Q131" s="11"/>
      <c r="R131" s="11"/>
      <c r="S131" s="12"/>
    </row>
    <row r="132" spans="1:19" ht="20" customHeight="1">
      <c r="A132" s="10"/>
      <c r="B132" s="10"/>
      <c r="C132" s="15"/>
      <c r="D132" s="15"/>
      <c r="E132" s="15"/>
      <c r="F132" s="15"/>
      <c r="G132" s="15"/>
      <c r="H132" s="15"/>
      <c r="I132" s="43"/>
      <c r="J132" s="15"/>
      <c r="K132" s="11"/>
      <c r="L132" s="11"/>
      <c r="M132" s="11"/>
      <c r="N132" s="11"/>
      <c r="O132" s="11"/>
      <c r="P132" s="11"/>
      <c r="Q132" s="11"/>
      <c r="R132" s="11"/>
      <c r="S132" s="12"/>
    </row>
    <row r="133" spans="1:19" ht="20" customHeight="1">
      <c r="A133" s="10"/>
      <c r="B133" s="10"/>
      <c r="C133" s="15"/>
      <c r="D133" s="15"/>
      <c r="E133" s="15"/>
      <c r="F133" s="15"/>
      <c r="G133" s="15"/>
      <c r="H133" s="15"/>
      <c r="I133" s="43"/>
      <c r="J133" s="15"/>
      <c r="K133" s="11"/>
      <c r="L133" s="11"/>
      <c r="M133" s="11"/>
      <c r="N133" s="11"/>
      <c r="O133" s="11"/>
      <c r="P133" s="11"/>
      <c r="Q133" s="11"/>
      <c r="R133" s="11"/>
      <c r="S133" s="12"/>
    </row>
    <row r="134" spans="1:19" ht="20" customHeight="1">
      <c r="A134" s="10"/>
      <c r="B134" s="10"/>
      <c r="C134" s="15"/>
      <c r="D134" s="15"/>
      <c r="E134" s="15"/>
      <c r="F134" s="15"/>
      <c r="G134" s="15"/>
      <c r="H134" s="15"/>
      <c r="I134" s="43"/>
      <c r="J134" s="15"/>
      <c r="K134" s="11"/>
      <c r="L134" s="11"/>
      <c r="M134" s="11"/>
      <c r="N134" s="11"/>
      <c r="O134" s="11"/>
      <c r="P134" s="11"/>
      <c r="Q134" s="11"/>
      <c r="R134" s="11"/>
      <c r="S134" s="12"/>
    </row>
    <row r="135" spans="1:19" ht="20" customHeight="1">
      <c r="A135" s="10"/>
      <c r="B135" s="10"/>
      <c r="C135" s="15"/>
      <c r="D135" s="15"/>
      <c r="E135" s="15"/>
      <c r="F135" s="15"/>
      <c r="G135" s="15"/>
      <c r="H135" s="15"/>
      <c r="I135" s="43"/>
      <c r="J135" s="15"/>
      <c r="K135" s="11"/>
      <c r="L135" s="11"/>
      <c r="M135" s="11"/>
      <c r="N135" s="11"/>
      <c r="O135" s="11"/>
      <c r="P135" s="11"/>
      <c r="Q135" s="11"/>
      <c r="R135" s="11"/>
      <c r="S135" s="12"/>
    </row>
    <row r="136" spans="1:19" ht="20" customHeight="1">
      <c r="A136" s="10"/>
      <c r="B136" s="10"/>
      <c r="C136" s="15"/>
      <c r="D136" s="15"/>
      <c r="E136" s="15"/>
      <c r="F136" s="15"/>
      <c r="G136" s="15"/>
      <c r="H136" s="15"/>
      <c r="I136" s="43"/>
      <c r="J136" s="15"/>
      <c r="K136" s="11"/>
      <c r="L136" s="11"/>
      <c r="M136" s="11"/>
      <c r="N136" s="11"/>
      <c r="O136" s="11"/>
      <c r="P136" s="11"/>
      <c r="Q136" s="11"/>
      <c r="R136" s="11"/>
      <c r="S136" s="12"/>
    </row>
    <row r="137" spans="1:19" ht="20" customHeight="1">
      <c r="A137" s="10"/>
      <c r="B137" s="10"/>
      <c r="C137" s="15"/>
      <c r="D137" s="15"/>
      <c r="E137" s="15"/>
      <c r="F137" s="15"/>
      <c r="G137" s="15"/>
      <c r="H137" s="15"/>
      <c r="I137" s="43"/>
      <c r="J137" s="15"/>
      <c r="K137" s="11"/>
      <c r="L137" s="11"/>
      <c r="M137" s="11"/>
      <c r="N137" s="11"/>
      <c r="O137" s="11"/>
      <c r="P137" s="11"/>
      <c r="Q137" s="11"/>
      <c r="R137" s="11"/>
      <c r="S137" s="12"/>
    </row>
    <row r="138" spans="1:19" ht="20" customHeight="1">
      <c r="A138" s="10"/>
      <c r="B138" s="10"/>
      <c r="C138" s="15"/>
      <c r="D138" s="15"/>
      <c r="E138" s="15"/>
      <c r="F138" s="15"/>
      <c r="G138" s="15"/>
      <c r="H138" s="15"/>
      <c r="I138" s="43"/>
      <c r="J138" s="15"/>
      <c r="K138" s="11"/>
      <c r="L138" s="11"/>
      <c r="M138" s="11"/>
      <c r="N138" s="11"/>
      <c r="O138" s="11"/>
      <c r="P138" s="11"/>
      <c r="Q138" s="11"/>
      <c r="R138" s="11"/>
      <c r="S138" s="12"/>
    </row>
    <row r="139" spans="1:19" ht="20" customHeight="1">
      <c r="A139" s="10"/>
      <c r="B139" s="10"/>
      <c r="C139" s="15"/>
      <c r="D139" s="15"/>
      <c r="E139" s="15"/>
      <c r="F139" s="15"/>
      <c r="G139" s="15"/>
      <c r="H139" s="15"/>
      <c r="I139" s="43"/>
      <c r="J139" s="15"/>
      <c r="K139" s="11"/>
      <c r="L139" s="11"/>
      <c r="M139" s="11"/>
      <c r="N139" s="11"/>
      <c r="O139" s="11"/>
      <c r="P139" s="11"/>
      <c r="Q139" s="11"/>
      <c r="R139" s="11"/>
      <c r="S139" s="12"/>
    </row>
    <row r="140" spans="1:19" ht="20" customHeight="1">
      <c r="A140" s="10"/>
      <c r="B140" s="10"/>
      <c r="C140" s="15"/>
      <c r="D140" s="15"/>
      <c r="E140" s="15"/>
      <c r="F140" s="15"/>
      <c r="G140" s="15"/>
      <c r="H140" s="15"/>
      <c r="I140" s="43"/>
      <c r="J140" s="15"/>
      <c r="K140" s="11"/>
      <c r="L140" s="11"/>
      <c r="M140" s="11"/>
      <c r="N140" s="11"/>
      <c r="O140" s="11"/>
      <c r="P140" s="11"/>
      <c r="Q140" s="11"/>
      <c r="R140" s="11"/>
      <c r="S140" s="12"/>
    </row>
    <row r="141" spans="1:19" ht="20" customHeight="1">
      <c r="A141" s="10"/>
      <c r="B141" s="10"/>
      <c r="C141" s="15"/>
      <c r="D141" s="15"/>
      <c r="E141" s="15"/>
      <c r="F141" s="15"/>
      <c r="G141" s="15"/>
      <c r="H141" s="15"/>
      <c r="I141" s="43"/>
      <c r="J141" s="15"/>
      <c r="K141" s="11"/>
      <c r="L141" s="11"/>
      <c r="M141" s="11"/>
      <c r="N141" s="11"/>
      <c r="O141" s="11"/>
      <c r="P141" s="11"/>
      <c r="Q141" s="11"/>
      <c r="R141" s="11"/>
      <c r="S141" s="12"/>
    </row>
    <row r="142" spans="1:19" ht="20" customHeight="1">
      <c r="A142" s="10"/>
      <c r="B142" s="10"/>
      <c r="C142" s="15"/>
      <c r="D142" s="15"/>
      <c r="E142" s="15"/>
      <c r="F142" s="15"/>
      <c r="G142" s="15"/>
      <c r="H142" s="15"/>
      <c r="I142" s="43"/>
      <c r="J142" s="15"/>
      <c r="K142" s="11"/>
      <c r="L142" s="11"/>
      <c r="M142" s="11"/>
      <c r="N142" s="11"/>
      <c r="O142" s="11"/>
      <c r="P142" s="11"/>
      <c r="Q142" s="11"/>
      <c r="R142" s="11"/>
      <c r="S142" s="12"/>
    </row>
    <row r="143" spans="1:19" ht="20" customHeight="1">
      <c r="A143" s="10"/>
      <c r="B143" s="10"/>
      <c r="C143" s="15"/>
      <c r="D143" s="15"/>
      <c r="E143" s="15"/>
      <c r="F143" s="15"/>
      <c r="G143" s="15"/>
      <c r="H143" s="15"/>
      <c r="I143" s="43"/>
      <c r="J143" s="15"/>
      <c r="K143" s="11"/>
      <c r="L143" s="11"/>
      <c r="M143" s="11"/>
      <c r="N143" s="11"/>
      <c r="O143" s="11"/>
      <c r="P143" s="11"/>
      <c r="Q143" s="11"/>
      <c r="R143" s="11"/>
      <c r="S143" s="12"/>
    </row>
    <row r="144" spans="1:19" ht="20" customHeight="1">
      <c r="A144" s="10"/>
      <c r="B144" s="10"/>
      <c r="C144" s="15"/>
      <c r="D144" s="15"/>
      <c r="E144" s="15"/>
      <c r="F144" s="15"/>
      <c r="G144" s="15"/>
      <c r="H144" s="15"/>
      <c r="I144" s="43"/>
      <c r="J144" s="15"/>
      <c r="K144" s="11"/>
      <c r="L144" s="11"/>
      <c r="M144" s="11"/>
      <c r="N144" s="11"/>
      <c r="O144" s="11"/>
      <c r="P144" s="11"/>
      <c r="Q144" s="11"/>
      <c r="R144" s="11"/>
      <c r="S144" s="12"/>
    </row>
    <row r="145" spans="1:19" ht="20" customHeight="1">
      <c r="A145" s="10"/>
      <c r="B145" s="10"/>
      <c r="C145" s="15"/>
      <c r="D145" s="15"/>
      <c r="E145" s="15"/>
      <c r="F145" s="15"/>
      <c r="G145" s="15"/>
      <c r="H145" s="15"/>
      <c r="I145" s="43"/>
      <c r="J145" s="15"/>
      <c r="K145" s="11"/>
      <c r="L145" s="11"/>
      <c r="M145" s="11"/>
      <c r="N145" s="11"/>
      <c r="O145" s="11"/>
      <c r="P145" s="11"/>
      <c r="Q145" s="11"/>
      <c r="R145" s="11"/>
      <c r="S145" s="12"/>
    </row>
    <row r="146" spans="1:19" ht="20" customHeight="1">
      <c r="A146" s="10"/>
      <c r="B146" s="10"/>
      <c r="C146" s="15"/>
      <c r="D146" s="15"/>
      <c r="E146" s="15"/>
      <c r="F146" s="15"/>
      <c r="G146" s="15"/>
      <c r="H146" s="15"/>
      <c r="I146" s="43"/>
      <c r="J146" s="15"/>
      <c r="K146" s="11"/>
      <c r="L146" s="11"/>
      <c r="M146" s="11"/>
      <c r="N146" s="11"/>
      <c r="O146" s="11"/>
      <c r="P146" s="11"/>
      <c r="Q146" s="11"/>
      <c r="R146" s="11"/>
      <c r="S146" s="12"/>
    </row>
    <row r="147" spans="1:19" ht="20" customHeight="1">
      <c r="A147" s="10"/>
      <c r="B147" s="10"/>
      <c r="C147" s="15"/>
      <c r="D147" s="15"/>
      <c r="E147" s="15"/>
      <c r="F147" s="15"/>
      <c r="G147" s="15"/>
      <c r="H147" s="15"/>
      <c r="I147" s="43"/>
      <c r="J147" s="15"/>
      <c r="K147" s="11"/>
      <c r="L147" s="11"/>
      <c r="M147" s="11"/>
      <c r="N147" s="11"/>
      <c r="O147" s="11"/>
      <c r="P147" s="11"/>
      <c r="Q147" s="11"/>
      <c r="R147" s="11"/>
      <c r="S147" s="12"/>
    </row>
    <row r="148" spans="1:19" ht="20" customHeight="1">
      <c r="A148" s="10"/>
      <c r="B148" s="10"/>
      <c r="C148" s="15"/>
      <c r="D148" s="15"/>
      <c r="E148" s="15"/>
      <c r="F148" s="15"/>
      <c r="G148" s="15"/>
      <c r="H148" s="15"/>
      <c r="I148" s="43"/>
      <c r="J148" s="15"/>
      <c r="K148" s="11"/>
      <c r="L148" s="11"/>
      <c r="M148" s="11"/>
      <c r="N148" s="11"/>
      <c r="O148" s="11"/>
      <c r="P148" s="11"/>
      <c r="Q148" s="11"/>
      <c r="R148" s="11"/>
      <c r="S148" s="12"/>
    </row>
    <row r="149" spans="1:19" ht="20" customHeight="1">
      <c r="A149" s="10"/>
      <c r="B149" s="10"/>
      <c r="C149" s="15"/>
      <c r="D149" s="15"/>
      <c r="E149" s="15"/>
      <c r="F149" s="15"/>
      <c r="G149" s="15"/>
      <c r="H149" s="15"/>
      <c r="I149" s="43"/>
      <c r="J149" s="15"/>
      <c r="K149" s="11"/>
      <c r="L149" s="11"/>
      <c r="M149" s="11"/>
      <c r="N149" s="11"/>
      <c r="O149" s="11"/>
      <c r="P149" s="11"/>
      <c r="Q149" s="11"/>
      <c r="R149" s="11"/>
      <c r="S149" s="12"/>
    </row>
    <row r="150" spans="1:19" ht="20" customHeight="1">
      <c r="A150" s="10"/>
      <c r="B150" s="10"/>
      <c r="C150" s="15"/>
      <c r="D150" s="15"/>
      <c r="E150" s="15"/>
      <c r="F150" s="15"/>
      <c r="G150" s="15"/>
      <c r="H150" s="15"/>
      <c r="I150" s="43"/>
      <c r="J150" s="15"/>
      <c r="K150" s="11"/>
      <c r="L150" s="11"/>
      <c r="M150" s="11"/>
      <c r="N150" s="11"/>
      <c r="O150" s="11"/>
      <c r="P150" s="11"/>
      <c r="Q150" s="11"/>
      <c r="R150" s="11"/>
      <c r="S150" s="12"/>
    </row>
    <row r="151" spans="1:19" ht="20" customHeight="1">
      <c r="A151" s="10"/>
      <c r="B151" s="10"/>
      <c r="C151" s="15"/>
      <c r="D151" s="15"/>
      <c r="E151" s="15"/>
      <c r="F151" s="15"/>
      <c r="G151" s="15"/>
      <c r="H151" s="15"/>
      <c r="I151" s="43"/>
      <c r="J151" s="15"/>
      <c r="K151" s="11"/>
      <c r="L151" s="11"/>
      <c r="M151" s="11"/>
      <c r="N151" s="11"/>
      <c r="O151" s="11"/>
      <c r="P151" s="11"/>
      <c r="Q151" s="11"/>
      <c r="R151" s="11"/>
      <c r="S151" s="12"/>
    </row>
    <row r="152" spans="1:19" ht="20" customHeight="1">
      <c r="A152" s="10"/>
      <c r="B152" s="10"/>
      <c r="C152" s="15"/>
      <c r="D152" s="15"/>
      <c r="E152" s="15"/>
      <c r="F152" s="15"/>
      <c r="G152" s="15"/>
      <c r="H152" s="15"/>
      <c r="I152" s="43"/>
      <c r="J152" s="15"/>
      <c r="K152" s="11"/>
      <c r="L152" s="11"/>
      <c r="M152" s="11"/>
      <c r="N152" s="11"/>
      <c r="O152" s="11"/>
      <c r="P152" s="11"/>
      <c r="Q152" s="11"/>
      <c r="R152" s="11"/>
      <c r="S152" s="12"/>
    </row>
    <row r="153" spans="1:19" ht="20" customHeight="1">
      <c r="A153" s="10"/>
      <c r="B153" s="10"/>
      <c r="C153" s="15"/>
      <c r="D153" s="15"/>
      <c r="E153" s="15"/>
      <c r="F153" s="15"/>
      <c r="G153" s="15"/>
      <c r="H153" s="15"/>
      <c r="I153" s="43"/>
      <c r="J153" s="15"/>
      <c r="K153" s="11"/>
      <c r="L153" s="11"/>
      <c r="M153" s="11"/>
      <c r="N153" s="11"/>
      <c r="O153" s="11"/>
      <c r="P153" s="11"/>
      <c r="Q153" s="11"/>
      <c r="R153" s="11"/>
      <c r="S153" s="12"/>
    </row>
    <row r="154" spans="1:19" ht="20" customHeight="1">
      <c r="A154" s="10"/>
      <c r="B154" s="10"/>
      <c r="C154" s="15"/>
      <c r="D154" s="15"/>
      <c r="E154" s="15"/>
      <c r="F154" s="15"/>
      <c r="G154" s="15"/>
      <c r="H154" s="15"/>
      <c r="I154" s="43"/>
      <c r="J154" s="15"/>
      <c r="K154" s="11"/>
      <c r="L154" s="11"/>
      <c r="M154" s="11"/>
      <c r="N154" s="11"/>
      <c r="O154" s="11"/>
      <c r="P154" s="11"/>
      <c r="Q154" s="11"/>
      <c r="R154" s="11"/>
      <c r="S154" s="12"/>
    </row>
    <row r="155" spans="1:19" ht="20" customHeight="1">
      <c r="A155" s="10"/>
      <c r="B155" s="10"/>
      <c r="C155" s="15"/>
      <c r="D155" s="15"/>
      <c r="E155" s="15"/>
      <c r="F155" s="15"/>
      <c r="G155" s="15"/>
      <c r="H155" s="15"/>
      <c r="I155" s="43"/>
      <c r="J155" s="15"/>
      <c r="K155" s="11"/>
      <c r="L155" s="11"/>
      <c r="M155" s="11"/>
      <c r="N155" s="11"/>
      <c r="O155" s="11"/>
      <c r="P155" s="11"/>
      <c r="Q155" s="11"/>
      <c r="R155" s="11"/>
      <c r="S155" s="12"/>
    </row>
    <row r="156" spans="1:19" ht="20" customHeight="1">
      <c r="A156" s="10"/>
      <c r="B156" s="10"/>
      <c r="C156" s="15"/>
      <c r="D156" s="15"/>
      <c r="E156" s="15"/>
      <c r="F156" s="15"/>
      <c r="G156" s="15"/>
      <c r="H156" s="15"/>
      <c r="I156" s="43"/>
      <c r="J156" s="15"/>
      <c r="K156" s="11"/>
      <c r="L156" s="11"/>
      <c r="M156" s="11"/>
      <c r="N156" s="11"/>
      <c r="O156" s="11"/>
      <c r="P156" s="11"/>
      <c r="Q156" s="11"/>
      <c r="R156" s="11"/>
      <c r="S156" s="12"/>
    </row>
    <row r="157" spans="1:19" ht="20" customHeight="1">
      <c r="A157" s="10"/>
      <c r="B157" s="10"/>
      <c r="C157" s="15"/>
      <c r="D157" s="15"/>
      <c r="E157" s="15"/>
      <c r="F157" s="15"/>
      <c r="G157" s="15"/>
      <c r="H157" s="15"/>
      <c r="I157" s="43"/>
      <c r="J157" s="15"/>
      <c r="K157" s="11"/>
      <c r="L157" s="11"/>
      <c r="M157" s="11"/>
      <c r="N157" s="11"/>
      <c r="O157" s="11"/>
      <c r="P157" s="11"/>
      <c r="Q157" s="11"/>
      <c r="R157" s="11"/>
      <c r="S157" s="12"/>
    </row>
    <row r="158" spans="1:19" ht="20" customHeight="1">
      <c r="A158" s="10"/>
      <c r="B158" s="10"/>
      <c r="C158" s="15"/>
      <c r="D158" s="15"/>
      <c r="E158" s="15"/>
      <c r="F158" s="15"/>
      <c r="G158" s="15"/>
      <c r="H158" s="15"/>
      <c r="I158" s="43"/>
      <c r="J158" s="15"/>
      <c r="K158" s="11"/>
      <c r="L158" s="11"/>
      <c r="M158" s="11"/>
      <c r="N158" s="11"/>
      <c r="O158" s="11"/>
      <c r="P158" s="11"/>
      <c r="Q158" s="11"/>
      <c r="R158" s="11"/>
      <c r="S158" s="12"/>
    </row>
    <row r="159" spans="1:19" ht="20" customHeight="1">
      <c r="A159" s="10"/>
      <c r="B159" s="10"/>
      <c r="C159" s="15"/>
      <c r="D159" s="15"/>
      <c r="E159" s="15"/>
      <c r="F159" s="15"/>
      <c r="G159" s="15"/>
      <c r="H159" s="15"/>
      <c r="I159" s="43"/>
      <c r="J159" s="15"/>
      <c r="K159" s="11"/>
      <c r="L159" s="11"/>
      <c r="M159" s="11"/>
      <c r="N159" s="11"/>
      <c r="O159" s="11"/>
      <c r="P159" s="11"/>
      <c r="Q159" s="11"/>
      <c r="R159" s="11"/>
      <c r="S159" s="12"/>
    </row>
    <row r="160" spans="1:19" ht="20" customHeight="1">
      <c r="A160" s="10"/>
      <c r="B160" s="10"/>
      <c r="C160" s="15"/>
      <c r="D160" s="15"/>
      <c r="E160" s="15"/>
      <c r="F160" s="15"/>
      <c r="G160" s="15"/>
      <c r="H160" s="15"/>
      <c r="I160" s="43"/>
      <c r="J160" s="15"/>
      <c r="K160" s="11"/>
      <c r="L160" s="11"/>
      <c r="M160" s="11"/>
      <c r="N160" s="11"/>
      <c r="O160" s="11"/>
      <c r="P160" s="11"/>
      <c r="Q160" s="11"/>
      <c r="R160" s="11"/>
      <c r="S160" s="12"/>
    </row>
    <row r="161" spans="1:19" ht="20" customHeight="1">
      <c r="A161" s="10"/>
      <c r="B161" s="10"/>
      <c r="C161" s="15"/>
      <c r="D161" s="15"/>
      <c r="E161" s="15"/>
      <c r="F161" s="15"/>
      <c r="G161" s="15"/>
      <c r="H161" s="15"/>
      <c r="I161" s="43"/>
      <c r="J161" s="15"/>
      <c r="K161" s="11"/>
      <c r="L161" s="11"/>
      <c r="M161" s="11"/>
      <c r="N161" s="11"/>
      <c r="O161" s="11"/>
      <c r="P161" s="11"/>
      <c r="Q161" s="11"/>
      <c r="R161" s="11"/>
      <c r="S161" s="12"/>
    </row>
    <row r="162" spans="1:19" ht="20" customHeight="1">
      <c r="A162" s="10"/>
      <c r="B162" s="10"/>
      <c r="C162" s="15"/>
      <c r="D162" s="15"/>
      <c r="E162" s="15"/>
      <c r="F162" s="15"/>
      <c r="G162" s="15"/>
      <c r="H162" s="15"/>
      <c r="I162" s="43"/>
      <c r="J162" s="15"/>
      <c r="K162" s="11"/>
      <c r="L162" s="11"/>
      <c r="M162" s="11"/>
      <c r="N162" s="11"/>
      <c r="O162" s="11"/>
      <c r="P162" s="11"/>
      <c r="Q162" s="11"/>
      <c r="R162" s="11"/>
      <c r="S162" s="12"/>
    </row>
    <row r="163" spans="1:19" ht="20" customHeight="1">
      <c r="A163" s="10"/>
      <c r="B163" s="10"/>
      <c r="C163" s="15"/>
      <c r="D163" s="15"/>
      <c r="E163" s="15"/>
      <c r="F163" s="15"/>
      <c r="G163" s="15"/>
      <c r="H163" s="15"/>
      <c r="I163" s="43"/>
      <c r="J163" s="15"/>
      <c r="K163" s="11"/>
      <c r="L163" s="11"/>
      <c r="M163" s="11"/>
      <c r="N163" s="11"/>
      <c r="O163" s="11"/>
      <c r="P163" s="11"/>
      <c r="Q163" s="11"/>
      <c r="R163" s="11"/>
      <c r="S163" s="12"/>
    </row>
    <row r="164" spans="1:19" ht="20" customHeight="1">
      <c r="A164" s="10"/>
      <c r="B164" s="10"/>
      <c r="C164" s="15"/>
      <c r="D164" s="15"/>
      <c r="E164" s="15"/>
      <c r="F164" s="15"/>
      <c r="G164" s="15"/>
      <c r="H164" s="15"/>
      <c r="I164" s="43"/>
      <c r="J164" s="15"/>
      <c r="K164" s="11"/>
      <c r="L164" s="11"/>
      <c r="M164" s="11"/>
      <c r="N164" s="11"/>
      <c r="O164" s="11"/>
      <c r="P164" s="11"/>
      <c r="Q164" s="11"/>
      <c r="R164" s="11"/>
      <c r="S164" s="12"/>
    </row>
    <row r="165" spans="1:19" ht="20" customHeight="1">
      <c r="A165" s="10"/>
      <c r="B165" s="10"/>
      <c r="C165" s="15"/>
      <c r="D165" s="15"/>
      <c r="E165" s="15"/>
      <c r="F165" s="15"/>
      <c r="G165" s="15"/>
      <c r="H165" s="15"/>
      <c r="I165" s="43"/>
      <c r="J165" s="15"/>
      <c r="K165" s="11"/>
      <c r="L165" s="11"/>
      <c r="M165" s="11"/>
      <c r="N165" s="11"/>
      <c r="O165" s="11"/>
      <c r="P165" s="11"/>
      <c r="Q165" s="11"/>
      <c r="R165" s="11"/>
      <c r="S165" s="12"/>
    </row>
    <row r="166" spans="1:19" ht="20" customHeight="1">
      <c r="A166" s="10"/>
      <c r="B166" s="10"/>
      <c r="C166" s="15"/>
      <c r="D166" s="15"/>
      <c r="E166" s="15"/>
      <c r="F166" s="15"/>
      <c r="G166" s="15"/>
      <c r="H166" s="15"/>
      <c r="I166" s="43"/>
      <c r="J166" s="15"/>
      <c r="K166" s="11"/>
      <c r="L166" s="11"/>
      <c r="M166" s="11"/>
      <c r="N166" s="11"/>
      <c r="O166" s="11"/>
      <c r="P166" s="11"/>
      <c r="Q166" s="11"/>
      <c r="R166" s="11"/>
      <c r="S166" s="12"/>
    </row>
    <row r="167" spans="1:19" ht="20" customHeight="1">
      <c r="A167" s="10"/>
      <c r="B167" s="10"/>
      <c r="C167" s="15"/>
      <c r="D167" s="15"/>
      <c r="E167" s="15"/>
      <c r="F167" s="15"/>
      <c r="G167" s="15"/>
      <c r="H167" s="15"/>
      <c r="I167" s="43"/>
      <c r="J167" s="15"/>
      <c r="K167" s="11"/>
      <c r="L167" s="11"/>
      <c r="M167" s="11"/>
      <c r="N167" s="11"/>
      <c r="O167" s="11"/>
      <c r="P167" s="11"/>
      <c r="Q167" s="11"/>
      <c r="R167" s="11"/>
      <c r="S167" s="12"/>
    </row>
    <row r="168" spans="1:19" ht="20" customHeight="1">
      <c r="A168" s="10"/>
      <c r="B168" s="10"/>
      <c r="C168" s="15"/>
      <c r="D168" s="15"/>
      <c r="E168" s="15"/>
      <c r="F168" s="15"/>
      <c r="G168" s="15"/>
      <c r="H168" s="15"/>
      <c r="I168" s="43"/>
      <c r="J168" s="15"/>
      <c r="K168" s="11"/>
      <c r="L168" s="11"/>
      <c r="M168" s="11"/>
      <c r="N168" s="11"/>
      <c r="O168" s="11"/>
      <c r="P168" s="11"/>
      <c r="Q168" s="11"/>
      <c r="R168" s="11"/>
      <c r="S168" s="12"/>
    </row>
    <row r="169" spans="1:19" ht="20" customHeight="1">
      <c r="A169" s="10"/>
      <c r="B169" s="10"/>
      <c r="C169" s="15"/>
      <c r="D169" s="15"/>
      <c r="E169" s="15"/>
      <c r="F169" s="15"/>
      <c r="G169" s="15"/>
      <c r="H169" s="15"/>
      <c r="I169" s="43"/>
      <c r="J169" s="15"/>
      <c r="K169" s="11"/>
      <c r="L169" s="11"/>
      <c r="M169" s="11"/>
      <c r="N169" s="11"/>
      <c r="O169" s="11"/>
      <c r="P169" s="11"/>
      <c r="Q169" s="11"/>
      <c r="R169" s="11"/>
      <c r="S169" s="12"/>
    </row>
    <row r="170" spans="1:19" ht="20" customHeight="1">
      <c r="A170" s="10"/>
      <c r="B170" s="10"/>
      <c r="C170" s="15"/>
      <c r="D170" s="15"/>
      <c r="E170" s="15"/>
      <c r="F170" s="15"/>
      <c r="G170" s="15"/>
      <c r="H170" s="15"/>
      <c r="I170" s="43"/>
      <c r="J170" s="15"/>
      <c r="K170" s="11"/>
      <c r="L170" s="11"/>
      <c r="M170" s="11"/>
      <c r="N170" s="11"/>
      <c r="O170" s="11"/>
      <c r="P170" s="11"/>
      <c r="Q170" s="11"/>
      <c r="R170" s="11"/>
      <c r="S170" s="12"/>
    </row>
    <row r="171" spans="1:19" ht="20" customHeight="1">
      <c r="A171" s="10"/>
      <c r="B171" s="10"/>
      <c r="C171" s="15"/>
      <c r="D171" s="15"/>
      <c r="E171" s="15"/>
      <c r="F171" s="15"/>
      <c r="G171" s="15"/>
      <c r="H171" s="15"/>
      <c r="I171" s="43"/>
      <c r="J171" s="15"/>
      <c r="K171" s="11"/>
      <c r="L171" s="11"/>
      <c r="M171" s="11"/>
      <c r="N171" s="11"/>
      <c r="O171" s="11"/>
      <c r="P171" s="11"/>
      <c r="Q171" s="11"/>
      <c r="R171" s="11"/>
      <c r="S171" s="12"/>
    </row>
    <row r="172" spans="1:19" ht="20" customHeight="1">
      <c r="A172" s="10"/>
      <c r="B172" s="10"/>
      <c r="C172" s="15"/>
      <c r="D172" s="15"/>
      <c r="E172" s="15"/>
      <c r="F172" s="15"/>
      <c r="G172" s="15"/>
      <c r="H172" s="15"/>
      <c r="I172" s="43"/>
      <c r="J172" s="15"/>
      <c r="K172" s="11"/>
      <c r="L172" s="11"/>
      <c r="M172" s="11"/>
      <c r="N172" s="11"/>
      <c r="O172" s="11"/>
      <c r="P172" s="11"/>
      <c r="Q172" s="11"/>
      <c r="R172" s="11"/>
      <c r="S172" s="12"/>
    </row>
    <row r="173" spans="1:19" ht="20" customHeight="1">
      <c r="A173" s="10"/>
      <c r="B173" s="10"/>
      <c r="C173" s="15"/>
      <c r="D173" s="15"/>
      <c r="E173" s="15"/>
      <c r="F173" s="15"/>
      <c r="G173" s="15"/>
      <c r="H173" s="15"/>
      <c r="I173" s="43"/>
      <c r="J173" s="15"/>
      <c r="K173" s="11"/>
      <c r="L173" s="11"/>
      <c r="M173" s="11"/>
      <c r="N173" s="11"/>
      <c r="O173" s="11"/>
      <c r="P173" s="11"/>
      <c r="Q173" s="11"/>
      <c r="R173" s="11"/>
      <c r="S173" s="12"/>
    </row>
    <row r="174" spans="1:19" ht="20" customHeight="1">
      <c r="A174" s="10"/>
      <c r="B174" s="10"/>
      <c r="C174" s="15"/>
      <c r="D174" s="15"/>
      <c r="E174" s="15"/>
      <c r="F174" s="15"/>
      <c r="G174" s="15"/>
      <c r="H174" s="15"/>
      <c r="I174" s="43"/>
      <c r="J174" s="15"/>
      <c r="K174" s="11"/>
      <c r="L174" s="11"/>
      <c r="M174" s="11"/>
      <c r="N174" s="11"/>
      <c r="O174" s="11"/>
      <c r="P174" s="11"/>
      <c r="Q174" s="11"/>
      <c r="R174" s="11"/>
      <c r="S174" s="12"/>
    </row>
    <row r="175" spans="1:19" ht="20" customHeight="1">
      <c r="A175" s="10"/>
      <c r="B175" s="10"/>
      <c r="C175" s="15"/>
      <c r="D175" s="15"/>
      <c r="E175" s="15"/>
      <c r="F175" s="15"/>
      <c r="G175" s="15"/>
      <c r="H175" s="15"/>
      <c r="I175" s="43"/>
      <c r="J175" s="15"/>
      <c r="K175" s="11"/>
      <c r="L175" s="11"/>
      <c r="M175" s="11"/>
      <c r="N175" s="11"/>
      <c r="O175" s="11"/>
      <c r="P175" s="11"/>
      <c r="Q175" s="11"/>
      <c r="R175" s="11"/>
      <c r="S175" s="12"/>
    </row>
    <row r="176" spans="1:19" ht="20" customHeight="1">
      <c r="A176" s="10"/>
      <c r="B176" s="10"/>
      <c r="C176" s="15"/>
      <c r="D176" s="15"/>
      <c r="E176" s="15"/>
      <c r="F176" s="15"/>
      <c r="G176" s="15"/>
      <c r="H176" s="15"/>
      <c r="I176" s="43"/>
      <c r="J176" s="15"/>
      <c r="K176" s="11"/>
      <c r="L176" s="11"/>
      <c r="M176" s="11"/>
      <c r="N176" s="11"/>
      <c r="O176" s="11"/>
      <c r="P176" s="11"/>
      <c r="Q176" s="11"/>
      <c r="R176" s="11"/>
      <c r="S176" s="12"/>
    </row>
    <row r="177" spans="1:21" ht="20" customHeight="1">
      <c r="A177" s="10"/>
      <c r="B177" s="10"/>
      <c r="C177" s="15"/>
      <c r="D177" s="15"/>
      <c r="E177" s="15"/>
      <c r="F177" s="15"/>
      <c r="G177" s="15"/>
      <c r="H177" s="15"/>
      <c r="I177" s="43"/>
      <c r="J177" s="15"/>
      <c r="K177" s="11"/>
      <c r="L177" s="11"/>
      <c r="M177" s="11"/>
      <c r="N177" s="11"/>
      <c r="O177" s="11"/>
      <c r="P177" s="11"/>
      <c r="Q177" s="11"/>
      <c r="R177" s="11"/>
      <c r="S177" s="12"/>
    </row>
    <row r="178" spans="1:21" ht="20" customHeight="1">
      <c r="A178" s="10"/>
      <c r="B178" s="10"/>
      <c r="C178" s="15"/>
      <c r="D178" s="15"/>
      <c r="E178" s="15"/>
      <c r="F178" s="15"/>
      <c r="G178" s="15"/>
      <c r="H178" s="15"/>
      <c r="I178" s="43"/>
      <c r="J178" s="15"/>
      <c r="K178" s="11"/>
      <c r="L178" s="11"/>
      <c r="M178" s="11"/>
      <c r="N178" s="11"/>
      <c r="O178" s="11"/>
      <c r="P178" s="11"/>
      <c r="Q178" s="11"/>
      <c r="R178" s="11"/>
      <c r="S178" s="12"/>
    </row>
    <row r="179" spans="1:21" ht="20" customHeight="1">
      <c r="A179" s="10"/>
      <c r="B179" s="10"/>
      <c r="C179" s="15"/>
      <c r="D179" s="15"/>
      <c r="E179" s="15"/>
      <c r="F179" s="15"/>
      <c r="G179" s="15"/>
      <c r="H179" s="15"/>
      <c r="I179" s="43"/>
      <c r="J179" s="15"/>
      <c r="K179" s="11"/>
      <c r="L179" s="11"/>
      <c r="M179" s="11"/>
      <c r="N179" s="11"/>
      <c r="O179" s="11"/>
      <c r="P179" s="11"/>
      <c r="Q179" s="11"/>
      <c r="R179" s="11"/>
      <c r="S179" s="12"/>
    </row>
    <row r="180" spans="1:21" ht="20" customHeight="1">
      <c r="A180" s="10"/>
      <c r="B180" s="10"/>
      <c r="C180" s="15"/>
      <c r="D180" s="15"/>
      <c r="E180" s="15"/>
      <c r="F180" s="15"/>
      <c r="G180" s="15"/>
      <c r="H180" s="15"/>
      <c r="I180" s="43"/>
      <c r="J180" s="15"/>
      <c r="K180" s="11"/>
      <c r="L180" s="11"/>
      <c r="M180" s="11"/>
      <c r="N180" s="11"/>
      <c r="O180" s="11"/>
      <c r="P180" s="11"/>
      <c r="Q180" s="11"/>
      <c r="R180" s="11"/>
      <c r="S180" s="12"/>
    </row>
    <row r="181" spans="1:21" ht="20" customHeight="1">
      <c r="A181" s="10"/>
      <c r="B181" s="10"/>
      <c r="C181" s="15"/>
      <c r="D181" s="15"/>
      <c r="E181" s="15"/>
      <c r="F181" s="15"/>
      <c r="G181" s="15"/>
      <c r="H181" s="15"/>
      <c r="I181" s="43"/>
      <c r="J181" s="15"/>
      <c r="K181" s="11"/>
      <c r="L181" s="11"/>
      <c r="M181" s="11"/>
      <c r="N181" s="11"/>
      <c r="O181" s="11"/>
      <c r="P181" s="11"/>
      <c r="Q181" s="11"/>
      <c r="R181" s="11"/>
      <c r="S181" s="12"/>
    </row>
    <row r="182" spans="1:21" s="36" customFormat="1">
      <c r="A182" s="10"/>
      <c r="B182" s="10"/>
      <c r="C182" s="15"/>
      <c r="D182" s="15"/>
      <c r="E182" s="15"/>
      <c r="F182" s="15"/>
      <c r="G182" s="15"/>
      <c r="H182" s="15"/>
      <c r="I182" s="43"/>
      <c r="J182" s="15"/>
      <c r="K182" s="11"/>
      <c r="U182"/>
    </row>
    <row r="183" spans="1:21">
      <c r="A183" s="10"/>
      <c r="B183" s="10"/>
      <c r="C183" s="15"/>
      <c r="D183" s="15"/>
      <c r="E183" s="15"/>
      <c r="F183" s="15"/>
      <c r="G183" s="15"/>
      <c r="H183" s="15"/>
      <c r="I183" s="43"/>
      <c r="J183" s="15"/>
      <c r="K183" s="11"/>
    </row>
    <row r="184" spans="1:21">
      <c r="A184" s="10"/>
      <c r="B184" s="10"/>
      <c r="C184" s="15"/>
      <c r="D184" s="15"/>
      <c r="E184" s="15"/>
      <c r="F184" s="15"/>
      <c r="G184" s="15"/>
      <c r="H184" s="15"/>
      <c r="I184" s="43"/>
      <c r="J184" s="15"/>
      <c r="K184" s="11"/>
    </row>
    <row r="185" spans="1:21">
      <c r="A185" s="10"/>
      <c r="B185" s="10"/>
      <c r="C185" s="15"/>
      <c r="D185" s="15"/>
      <c r="E185" s="15"/>
      <c r="F185" s="15"/>
      <c r="G185" s="15"/>
      <c r="H185" s="15"/>
      <c r="I185" s="43"/>
      <c r="J185" s="15"/>
      <c r="K185" s="11"/>
    </row>
    <row r="186" spans="1:21">
      <c r="A186" s="10"/>
      <c r="B186" s="10"/>
      <c r="C186" s="15"/>
      <c r="D186" s="15"/>
      <c r="E186" s="15"/>
      <c r="F186" s="15"/>
      <c r="G186" s="15"/>
      <c r="H186" s="15"/>
      <c r="I186" s="43"/>
      <c r="J186" s="15"/>
      <c r="K186" s="11"/>
    </row>
    <row r="187" spans="1:21">
      <c r="A187" s="10"/>
      <c r="B187" s="10"/>
      <c r="C187" s="15"/>
      <c r="D187" s="15"/>
      <c r="E187" s="15"/>
      <c r="F187" s="15"/>
      <c r="G187" s="15"/>
      <c r="H187" s="15"/>
      <c r="I187" s="43"/>
      <c r="J187" s="15"/>
      <c r="K187" s="11"/>
    </row>
    <row r="188" spans="1:21">
      <c r="A188" s="10"/>
      <c r="B188" s="10"/>
      <c r="C188" s="15"/>
      <c r="D188" s="15"/>
      <c r="E188" s="15"/>
      <c r="F188" s="15"/>
      <c r="G188" s="15"/>
      <c r="H188" s="15"/>
      <c r="I188" s="43"/>
      <c r="J188" s="15"/>
      <c r="K188" s="11"/>
    </row>
    <row r="189" spans="1:21">
      <c r="A189" s="10"/>
      <c r="B189" s="10"/>
      <c r="C189" s="15"/>
      <c r="D189" s="15"/>
      <c r="E189" s="15"/>
      <c r="F189" s="15"/>
      <c r="G189" s="15"/>
      <c r="H189" s="15"/>
      <c r="I189" s="43"/>
      <c r="J189" s="15"/>
      <c r="K189" s="11"/>
    </row>
    <row r="190" spans="1:21">
      <c r="A190" s="10"/>
      <c r="B190" s="10"/>
      <c r="C190" s="15"/>
      <c r="D190" s="15"/>
      <c r="E190" s="15"/>
      <c r="F190" s="15"/>
      <c r="G190" s="15"/>
      <c r="H190" s="15"/>
      <c r="I190" s="43"/>
      <c r="J190" s="15"/>
      <c r="K190" s="11"/>
    </row>
    <row r="191" spans="1:21">
      <c r="A191" s="10"/>
      <c r="B191" s="10"/>
      <c r="C191" s="15"/>
      <c r="D191" s="15"/>
      <c r="E191" s="15"/>
      <c r="F191" s="15"/>
      <c r="G191" s="15"/>
      <c r="H191" s="15"/>
      <c r="I191" s="43"/>
      <c r="J191" s="15"/>
      <c r="K191" s="11"/>
    </row>
    <row r="192" spans="1:21">
      <c r="A192" s="10"/>
      <c r="B192" s="10"/>
      <c r="C192" s="15"/>
      <c r="D192" s="15"/>
      <c r="E192" s="15"/>
      <c r="F192" s="15"/>
      <c r="G192" s="15"/>
      <c r="H192" s="15"/>
      <c r="I192" s="43"/>
      <c r="J192" s="15"/>
      <c r="K192" s="11"/>
    </row>
    <row r="193" spans="1:11">
      <c r="A193" s="10"/>
      <c r="B193" s="10"/>
      <c r="C193" s="15"/>
      <c r="D193" s="15"/>
      <c r="E193" s="15"/>
      <c r="F193" s="15"/>
      <c r="G193" s="15"/>
      <c r="H193" s="15"/>
      <c r="I193" s="43"/>
      <c r="J193" s="15"/>
      <c r="K193" s="11"/>
    </row>
    <row r="194" spans="1:11">
      <c r="A194" s="10"/>
      <c r="B194" s="10"/>
      <c r="C194" s="15"/>
      <c r="D194" s="15"/>
      <c r="E194" s="15"/>
      <c r="F194" s="15"/>
      <c r="G194" s="15"/>
      <c r="H194" s="15"/>
      <c r="I194" s="43"/>
      <c r="J194" s="15"/>
      <c r="K194" s="11"/>
    </row>
    <row r="195" spans="1:11">
      <c r="A195" s="10"/>
      <c r="B195" s="10"/>
      <c r="C195" s="15"/>
      <c r="D195" s="15"/>
      <c r="E195" s="15"/>
      <c r="F195" s="15"/>
      <c r="G195" s="15"/>
      <c r="H195" s="15"/>
      <c r="I195" s="43"/>
      <c r="J195" s="15"/>
      <c r="K195" s="11"/>
    </row>
    <row r="196" spans="1:11">
      <c r="A196" s="10"/>
      <c r="B196" s="10"/>
      <c r="C196" s="15"/>
      <c r="D196" s="15"/>
      <c r="E196" s="15"/>
      <c r="F196" s="15"/>
      <c r="G196" s="15"/>
      <c r="H196" s="15"/>
      <c r="I196" s="43"/>
      <c r="J196" s="15"/>
      <c r="K196" s="11"/>
    </row>
    <row r="197" spans="1:11">
      <c r="A197" s="10"/>
      <c r="B197" s="10"/>
      <c r="C197" s="15"/>
      <c r="D197" s="15"/>
      <c r="E197" s="15"/>
      <c r="F197" s="15"/>
      <c r="G197" s="15"/>
      <c r="H197" s="15"/>
      <c r="I197" s="43"/>
      <c r="J197" s="15"/>
      <c r="K197" s="11"/>
    </row>
    <row r="198" spans="1:11">
      <c r="A198" s="10"/>
      <c r="B198" s="10"/>
      <c r="C198" s="15"/>
      <c r="D198" s="15"/>
      <c r="E198" s="15"/>
      <c r="F198" s="15"/>
      <c r="G198" s="15"/>
      <c r="H198" s="15"/>
      <c r="I198" s="43"/>
      <c r="J198" s="15"/>
      <c r="K198" s="11"/>
    </row>
    <row r="199" spans="1:11">
      <c r="A199" s="10"/>
      <c r="B199" s="10"/>
      <c r="C199" s="15"/>
      <c r="D199" s="15"/>
      <c r="E199" s="15"/>
      <c r="F199" s="15"/>
      <c r="G199" s="15"/>
      <c r="H199" s="15"/>
      <c r="I199" s="43"/>
      <c r="J199" s="15"/>
      <c r="K199" s="11"/>
    </row>
    <row r="200" spans="1:11">
      <c r="A200" s="10"/>
      <c r="B200" s="10"/>
      <c r="C200" s="15"/>
      <c r="D200" s="15"/>
      <c r="E200" s="15"/>
      <c r="F200" s="15"/>
      <c r="G200" s="15"/>
      <c r="H200" s="15"/>
      <c r="I200" s="43"/>
      <c r="J200" s="15"/>
      <c r="K200" s="11"/>
    </row>
    <row r="201" spans="1:11">
      <c r="A201" s="10"/>
      <c r="B201" s="10"/>
      <c r="C201" s="15"/>
      <c r="D201" s="15"/>
      <c r="E201" s="15"/>
      <c r="F201" s="15"/>
      <c r="G201" s="15"/>
      <c r="H201" s="15"/>
      <c r="I201" s="43"/>
      <c r="J201" s="15"/>
      <c r="K201" s="11"/>
    </row>
    <row r="202" spans="1:11">
      <c r="A202" s="10"/>
      <c r="B202" s="10"/>
      <c r="C202" s="15"/>
      <c r="D202" s="15"/>
      <c r="E202" s="15"/>
      <c r="F202" s="15"/>
      <c r="G202" s="15"/>
      <c r="H202" s="15"/>
      <c r="I202" s="43"/>
      <c r="J202" s="15"/>
      <c r="K202" s="11"/>
    </row>
    <row r="203" spans="1:11">
      <c r="A203" s="10"/>
      <c r="B203" s="10"/>
      <c r="C203" s="15"/>
      <c r="D203" s="15"/>
      <c r="E203" s="15"/>
      <c r="F203" s="15"/>
      <c r="G203" s="15"/>
      <c r="H203" s="15"/>
      <c r="I203" s="43"/>
      <c r="J203" s="15"/>
      <c r="K203" s="11"/>
    </row>
    <row r="204" spans="1:11">
      <c r="A204" s="10"/>
      <c r="B204" s="10"/>
      <c r="C204" s="15"/>
      <c r="D204" s="15"/>
      <c r="E204" s="15"/>
      <c r="F204" s="15"/>
      <c r="G204" s="15"/>
      <c r="H204" s="15"/>
      <c r="I204" s="43"/>
      <c r="J204" s="15"/>
      <c r="K204" s="11"/>
    </row>
    <row r="205" spans="1:11">
      <c r="A205" s="10"/>
      <c r="B205" s="10"/>
      <c r="C205" s="15"/>
      <c r="D205" s="15"/>
      <c r="E205" s="15"/>
      <c r="F205" s="15"/>
      <c r="G205" s="15"/>
      <c r="H205" s="15"/>
      <c r="I205" s="43"/>
      <c r="J205" s="15"/>
      <c r="K205" s="11"/>
    </row>
    <row r="206" spans="1:11">
      <c r="A206" s="10"/>
      <c r="B206" s="10"/>
      <c r="C206" s="15"/>
      <c r="D206" s="15"/>
      <c r="E206" s="15"/>
      <c r="F206" s="15"/>
      <c r="G206" s="15"/>
      <c r="H206" s="15"/>
      <c r="I206" s="43"/>
      <c r="J206" s="15"/>
      <c r="K206" s="11"/>
    </row>
    <row r="207" spans="1:11">
      <c r="A207" s="10"/>
      <c r="B207" s="10"/>
      <c r="C207" s="15"/>
      <c r="D207" s="15"/>
      <c r="E207" s="15"/>
      <c r="F207" s="15"/>
      <c r="G207" s="15"/>
      <c r="H207" s="15"/>
      <c r="I207" s="43"/>
      <c r="J207" s="15"/>
      <c r="K207" s="11"/>
    </row>
    <row r="208" spans="1:11">
      <c r="A208" s="10"/>
      <c r="B208" s="10"/>
      <c r="C208" s="15"/>
      <c r="D208" s="15"/>
      <c r="E208" s="15"/>
      <c r="F208" s="15"/>
      <c r="G208" s="15"/>
      <c r="H208" s="15"/>
      <c r="I208" s="43"/>
      <c r="J208" s="15"/>
      <c r="K208" s="11"/>
    </row>
    <row r="209" spans="1:11">
      <c r="A209" s="10"/>
      <c r="B209" s="10"/>
      <c r="C209" s="15"/>
      <c r="D209" s="15"/>
      <c r="E209" s="15"/>
      <c r="F209" s="15"/>
      <c r="G209" s="15"/>
      <c r="H209" s="15"/>
      <c r="I209" s="43"/>
      <c r="J209" s="15"/>
      <c r="K209" s="11"/>
    </row>
    <row r="210" spans="1:11">
      <c r="A210" s="10"/>
      <c r="B210" s="10"/>
      <c r="C210" s="15"/>
      <c r="D210" s="15"/>
      <c r="E210" s="15"/>
      <c r="F210" s="15"/>
      <c r="G210" s="15"/>
      <c r="H210" s="15"/>
      <c r="I210" s="43"/>
      <c r="J210" s="15"/>
      <c r="K210" s="11"/>
    </row>
    <row r="211" spans="1:11">
      <c r="A211" s="10"/>
      <c r="B211" s="10"/>
      <c r="C211" s="15"/>
      <c r="D211" s="15"/>
      <c r="E211" s="15"/>
      <c r="F211" s="15"/>
      <c r="G211" s="15"/>
      <c r="H211" s="15"/>
      <c r="I211" s="43"/>
      <c r="J211" s="15"/>
      <c r="K211" s="11"/>
    </row>
    <row r="212" spans="1:11">
      <c r="A212" s="10"/>
      <c r="B212" s="10"/>
      <c r="C212" s="15"/>
      <c r="D212" s="15"/>
      <c r="E212" s="15"/>
      <c r="F212" s="15"/>
      <c r="G212" s="15"/>
      <c r="H212" s="15"/>
      <c r="I212" s="43"/>
      <c r="J212" s="15"/>
      <c r="K212" s="11"/>
    </row>
    <row r="213" spans="1:11">
      <c r="A213" s="10"/>
      <c r="B213" s="10"/>
      <c r="C213" s="15"/>
      <c r="D213" s="15"/>
      <c r="E213" s="15"/>
      <c r="F213" s="15"/>
      <c r="G213" s="15"/>
      <c r="H213" s="15"/>
      <c r="I213" s="43"/>
      <c r="J213" s="15"/>
      <c r="K213" s="11"/>
    </row>
    <row r="214" spans="1:11">
      <c r="A214" s="10"/>
      <c r="B214" s="10"/>
      <c r="C214" s="15"/>
      <c r="D214" s="15"/>
      <c r="E214" s="15"/>
      <c r="F214" s="15"/>
      <c r="G214" s="15"/>
      <c r="H214" s="15"/>
      <c r="I214" s="43"/>
      <c r="J214" s="15"/>
      <c r="K214" s="11"/>
    </row>
    <row r="215" spans="1:11">
      <c r="A215" s="10"/>
      <c r="B215" s="10"/>
      <c r="C215" s="15"/>
      <c r="D215" s="15"/>
      <c r="E215" s="15"/>
      <c r="F215" s="15"/>
      <c r="G215" s="15"/>
      <c r="H215" s="15"/>
      <c r="I215" s="43"/>
      <c r="J215" s="15"/>
      <c r="K215" s="11"/>
    </row>
    <row r="216" spans="1:11">
      <c r="A216" s="10"/>
      <c r="B216" s="10"/>
      <c r="C216" s="15"/>
      <c r="D216" s="15"/>
      <c r="E216" s="15"/>
      <c r="F216" s="15"/>
      <c r="G216" s="15"/>
      <c r="H216" s="15"/>
      <c r="I216" s="43"/>
      <c r="J216" s="15"/>
      <c r="K216" s="11"/>
    </row>
    <row r="217" spans="1:11">
      <c r="A217" s="10"/>
      <c r="B217" s="10"/>
      <c r="C217" s="15"/>
      <c r="D217" s="15"/>
      <c r="E217" s="15"/>
      <c r="F217" s="15"/>
      <c r="G217" s="15"/>
      <c r="H217" s="15"/>
      <c r="I217" s="43"/>
      <c r="J217" s="15"/>
      <c r="K217" s="11"/>
    </row>
    <row r="218" spans="1:11">
      <c r="A218" s="10"/>
      <c r="B218" s="10"/>
      <c r="C218" s="15"/>
      <c r="D218" s="15"/>
      <c r="E218" s="15"/>
      <c r="F218" s="15"/>
      <c r="G218" s="15"/>
      <c r="H218" s="15"/>
      <c r="I218" s="43"/>
      <c r="J218" s="15"/>
      <c r="K218" s="11"/>
    </row>
    <row r="219" spans="1:11">
      <c r="A219" s="10"/>
      <c r="B219" s="10"/>
      <c r="C219" s="15"/>
      <c r="D219" s="15"/>
      <c r="E219" s="15"/>
      <c r="F219" s="15"/>
      <c r="G219" s="15"/>
      <c r="H219" s="15"/>
      <c r="I219" s="43"/>
      <c r="J219" s="15"/>
      <c r="K219" s="11"/>
    </row>
    <row r="220" spans="1:11">
      <c r="A220" s="10"/>
      <c r="B220" s="10"/>
      <c r="C220" s="15"/>
      <c r="D220" s="15"/>
      <c r="E220" s="15"/>
      <c r="F220" s="15"/>
      <c r="G220" s="15"/>
      <c r="H220" s="15"/>
      <c r="I220" s="43"/>
      <c r="J220" s="15"/>
      <c r="K220" s="11"/>
    </row>
    <row r="221" spans="1:11">
      <c r="A221" s="10"/>
      <c r="B221" s="10"/>
      <c r="C221" s="15"/>
      <c r="D221" s="15"/>
      <c r="E221" s="15"/>
      <c r="F221" s="15"/>
      <c r="G221" s="15"/>
      <c r="H221" s="15"/>
      <c r="I221" s="43"/>
      <c r="J221" s="15"/>
      <c r="K221" s="11"/>
    </row>
    <row r="222" spans="1:11">
      <c r="A222" s="10"/>
      <c r="B222" s="10"/>
      <c r="C222" s="15"/>
      <c r="D222" s="15"/>
      <c r="E222" s="15"/>
      <c r="F222" s="15"/>
      <c r="G222" s="15"/>
      <c r="H222" s="15"/>
      <c r="I222" s="43"/>
      <c r="J222" s="15"/>
      <c r="K222" s="11"/>
    </row>
    <row r="223" spans="1:11">
      <c r="A223" s="10"/>
      <c r="B223" s="10"/>
      <c r="C223" s="15"/>
      <c r="D223" s="15"/>
      <c r="E223" s="15"/>
      <c r="F223" s="15"/>
      <c r="G223" s="15"/>
      <c r="H223" s="15"/>
      <c r="I223" s="43"/>
      <c r="J223" s="15"/>
      <c r="K223" s="11"/>
    </row>
    <row r="224" spans="1:11">
      <c r="A224" s="10"/>
      <c r="B224" s="10"/>
      <c r="C224" s="15"/>
      <c r="D224" s="15"/>
      <c r="E224" s="15"/>
      <c r="F224" s="15"/>
      <c r="G224" s="15"/>
      <c r="H224" s="15"/>
      <c r="I224" s="43"/>
      <c r="J224" s="15"/>
      <c r="K224" s="11"/>
    </row>
    <row r="225" spans="1:11">
      <c r="A225" s="10"/>
      <c r="B225" s="10"/>
      <c r="C225" s="15"/>
      <c r="D225" s="15"/>
      <c r="E225" s="15"/>
      <c r="F225" s="15"/>
      <c r="G225" s="15"/>
      <c r="H225" s="15"/>
      <c r="I225" s="43"/>
      <c r="J225" s="15"/>
      <c r="K225" s="11"/>
    </row>
    <row r="226" spans="1:11">
      <c r="A226" s="10"/>
      <c r="B226" s="10"/>
      <c r="C226" s="15"/>
      <c r="D226" s="15"/>
      <c r="E226" s="15"/>
      <c r="F226" s="15"/>
      <c r="G226" s="15"/>
      <c r="H226" s="15"/>
      <c r="I226" s="43"/>
      <c r="J226" s="15"/>
      <c r="K226" s="11"/>
    </row>
    <row r="227" spans="1:11">
      <c r="A227" s="10"/>
      <c r="B227" s="10"/>
      <c r="C227" s="15"/>
      <c r="D227" s="15"/>
      <c r="E227" s="15"/>
      <c r="F227" s="15"/>
      <c r="G227" s="15"/>
      <c r="H227" s="15"/>
      <c r="I227" s="43"/>
      <c r="J227" s="15"/>
      <c r="K227" s="11"/>
    </row>
    <row r="228" spans="1:11">
      <c r="A228" s="10"/>
      <c r="B228" s="10"/>
      <c r="C228" s="15"/>
      <c r="D228" s="15"/>
      <c r="E228" s="15"/>
      <c r="F228" s="15"/>
      <c r="G228" s="15"/>
      <c r="H228" s="15"/>
      <c r="I228" s="43"/>
      <c r="J228" s="15"/>
      <c r="K228" s="11"/>
    </row>
    <row r="229" spans="1:11">
      <c r="A229" s="10"/>
      <c r="B229" s="10"/>
      <c r="C229" s="15"/>
      <c r="D229" s="15"/>
      <c r="E229" s="15"/>
      <c r="F229" s="15"/>
      <c r="G229" s="15"/>
      <c r="H229" s="15"/>
      <c r="I229" s="43"/>
      <c r="J229" s="15"/>
      <c r="K229" s="11"/>
    </row>
    <row r="230" spans="1:11">
      <c r="A230" s="10"/>
      <c r="B230" s="10"/>
      <c r="C230" s="15"/>
      <c r="D230" s="15"/>
      <c r="E230" s="15"/>
      <c r="F230" s="15"/>
      <c r="G230" s="15"/>
      <c r="H230" s="15"/>
      <c r="I230" s="43"/>
      <c r="J230" s="15"/>
      <c r="K230" s="11"/>
    </row>
    <row r="231" spans="1:11">
      <c r="A231" s="10"/>
      <c r="B231" s="10"/>
      <c r="C231" s="15"/>
      <c r="D231" s="15"/>
      <c r="E231" s="15"/>
      <c r="F231" s="15"/>
      <c r="G231" s="15"/>
      <c r="H231" s="15"/>
      <c r="I231" s="43"/>
      <c r="J231" s="15"/>
      <c r="K231" s="11"/>
    </row>
    <row r="232" spans="1:11">
      <c r="A232" s="10"/>
      <c r="B232" s="10"/>
      <c r="C232" s="15"/>
      <c r="D232" s="15"/>
      <c r="E232" s="15"/>
      <c r="F232" s="15"/>
      <c r="G232" s="15"/>
      <c r="H232" s="15"/>
      <c r="I232" s="43"/>
      <c r="J232" s="15"/>
      <c r="K232" s="11"/>
    </row>
    <row r="233" spans="1:11">
      <c r="A233" s="10"/>
      <c r="B233" s="10"/>
      <c r="C233" s="15"/>
      <c r="D233" s="15"/>
      <c r="E233" s="15"/>
      <c r="F233" s="15"/>
      <c r="G233" s="15"/>
      <c r="H233" s="15"/>
      <c r="I233" s="43"/>
      <c r="J233" s="15"/>
      <c r="K233" s="11"/>
    </row>
    <row r="234" spans="1:11">
      <c r="A234" s="10"/>
      <c r="B234" s="10"/>
      <c r="C234" s="15"/>
      <c r="D234" s="15"/>
      <c r="E234" s="15"/>
      <c r="F234" s="15"/>
      <c r="G234" s="15"/>
      <c r="H234" s="15"/>
      <c r="I234" s="43"/>
      <c r="J234" s="15"/>
      <c r="K234" s="11"/>
    </row>
    <row r="235" spans="1:11">
      <c r="A235" s="10"/>
      <c r="B235" s="10"/>
      <c r="C235" s="15"/>
      <c r="D235" s="15"/>
      <c r="E235" s="15"/>
      <c r="F235" s="15"/>
      <c r="G235" s="15"/>
      <c r="H235" s="15"/>
      <c r="I235" s="43"/>
      <c r="J235" s="15"/>
      <c r="K235" s="11"/>
    </row>
    <row r="236" spans="1:11">
      <c r="A236" s="10"/>
      <c r="B236" s="10"/>
      <c r="C236" s="15"/>
      <c r="D236" s="15"/>
      <c r="E236" s="15"/>
      <c r="F236" s="15"/>
      <c r="G236" s="15"/>
      <c r="H236" s="15"/>
      <c r="I236" s="43"/>
      <c r="J236" s="15"/>
      <c r="K236" s="11"/>
    </row>
    <row r="237" spans="1:11">
      <c r="A237" s="10"/>
      <c r="B237" s="10"/>
      <c r="C237" s="15"/>
      <c r="D237" s="15"/>
      <c r="E237" s="15"/>
      <c r="F237" s="15"/>
      <c r="G237" s="15"/>
      <c r="H237" s="15"/>
      <c r="I237" s="43"/>
      <c r="J237" s="15"/>
      <c r="K237" s="11"/>
    </row>
    <row r="238" spans="1:11">
      <c r="A238" s="10"/>
      <c r="B238" s="10"/>
      <c r="C238" s="15"/>
      <c r="D238" s="15"/>
      <c r="E238" s="15"/>
      <c r="F238" s="15"/>
      <c r="G238" s="15"/>
      <c r="H238" s="15"/>
      <c r="I238" s="43"/>
      <c r="J238" s="15"/>
      <c r="K238" s="11"/>
    </row>
    <row r="239" spans="1:11">
      <c r="A239" s="10"/>
      <c r="B239" s="10"/>
      <c r="C239" s="15"/>
      <c r="D239" s="15"/>
      <c r="E239" s="15"/>
      <c r="F239" s="15"/>
      <c r="G239" s="15"/>
      <c r="H239" s="15"/>
      <c r="I239" s="43"/>
      <c r="J239" s="15"/>
      <c r="K239" s="11"/>
    </row>
    <row r="240" spans="1:11">
      <c r="A240" s="10"/>
      <c r="B240" s="10"/>
      <c r="C240" s="15"/>
      <c r="D240" s="15"/>
      <c r="E240" s="15"/>
      <c r="F240" s="15"/>
      <c r="G240" s="15"/>
      <c r="H240" s="15"/>
      <c r="I240" s="43"/>
      <c r="J240" s="15"/>
      <c r="K240" s="11"/>
    </row>
    <row r="241" spans="1:11">
      <c r="A241" s="10"/>
      <c r="B241" s="10"/>
      <c r="C241" s="15"/>
      <c r="D241" s="15"/>
      <c r="E241" s="15"/>
      <c r="F241" s="15"/>
      <c r="G241" s="15"/>
      <c r="H241" s="15"/>
      <c r="I241" s="43"/>
      <c r="J241" s="15"/>
      <c r="K241" s="11"/>
    </row>
    <row r="242" spans="1:11">
      <c r="A242" s="10"/>
      <c r="B242" s="10"/>
      <c r="C242" s="15"/>
      <c r="D242" s="15"/>
      <c r="E242" s="15"/>
      <c r="F242" s="15"/>
      <c r="G242" s="15"/>
      <c r="H242" s="15"/>
      <c r="I242" s="43"/>
      <c r="J242" s="15"/>
      <c r="K242" s="11"/>
    </row>
    <row r="243" spans="1:11">
      <c r="A243" s="10"/>
      <c r="B243" s="10"/>
      <c r="C243" s="15"/>
      <c r="D243" s="15"/>
      <c r="E243" s="15"/>
      <c r="F243" s="15"/>
      <c r="G243" s="15"/>
      <c r="H243" s="15"/>
      <c r="I243" s="43"/>
      <c r="J243" s="15"/>
      <c r="K243" s="11"/>
    </row>
    <row r="244" spans="1:11">
      <c r="A244" s="10"/>
      <c r="B244" s="10"/>
      <c r="C244" s="15"/>
      <c r="D244" s="15"/>
      <c r="E244" s="15"/>
      <c r="F244" s="15"/>
      <c r="G244" s="15"/>
      <c r="H244" s="15"/>
      <c r="I244" s="43"/>
      <c r="J244" s="15"/>
      <c r="K244" s="11"/>
    </row>
    <row r="245" spans="1:11">
      <c r="A245" s="10"/>
      <c r="B245" s="10"/>
      <c r="C245" s="15"/>
      <c r="D245" s="15"/>
      <c r="E245" s="15"/>
      <c r="F245" s="15"/>
      <c r="G245" s="15"/>
      <c r="H245" s="15"/>
      <c r="I245" s="43"/>
      <c r="J245" s="15"/>
      <c r="K245" s="11"/>
    </row>
    <row r="246" spans="1:11">
      <c r="A246" s="10"/>
      <c r="B246" s="10"/>
      <c r="C246" s="15"/>
      <c r="D246" s="15"/>
      <c r="E246" s="15"/>
      <c r="F246" s="15"/>
      <c r="G246" s="15"/>
      <c r="H246" s="15"/>
      <c r="I246" s="43"/>
      <c r="J246" s="15"/>
      <c r="K246" s="11"/>
    </row>
    <row r="247" spans="1:11">
      <c r="A247" s="10"/>
      <c r="B247" s="10"/>
      <c r="C247" s="15"/>
      <c r="D247" s="15"/>
      <c r="E247" s="15"/>
      <c r="F247" s="15"/>
      <c r="G247" s="15"/>
      <c r="H247" s="15"/>
      <c r="I247" s="43"/>
      <c r="J247" s="15"/>
      <c r="K247" s="11"/>
    </row>
    <row r="248" spans="1:11">
      <c r="A248" s="10"/>
      <c r="B248" s="10"/>
      <c r="C248" s="15"/>
      <c r="D248" s="15"/>
      <c r="E248" s="15"/>
      <c r="F248" s="15"/>
      <c r="G248" s="15"/>
      <c r="H248" s="15"/>
      <c r="I248" s="43"/>
      <c r="J248" s="15"/>
      <c r="K248" s="11"/>
    </row>
    <row r="249" spans="1:11">
      <c r="A249" s="10"/>
      <c r="B249" s="10"/>
      <c r="C249" s="15"/>
      <c r="D249" s="15"/>
      <c r="E249" s="15"/>
      <c r="F249" s="15"/>
      <c r="G249" s="15"/>
      <c r="H249" s="15"/>
      <c r="I249" s="43"/>
      <c r="J249" s="15"/>
      <c r="K249" s="11"/>
    </row>
    <row r="250" spans="1:11">
      <c r="A250" s="10"/>
      <c r="B250" s="10"/>
      <c r="C250" s="15"/>
      <c r="D250" s="15"/>
      <c r="E250" s="15"/>
      <c r="F250" s="15"/>
      <c r="G250" s="15"/>
      <c r="H250" s="15"/>
      <c r="I250" s="43"/>
      <c r="J250" s="15"/>
      <c r="K250" s="11"/>
    </row>
    <row r="251" spans="1:11">
      <c r="A251" s="10"/>
      <c r="B251" s="10"/>
      <c r="C251" s="15"/>
      <c r="D251" s="15"/>
      <c r="E251" s="15"/>
      <c r="F251" s="15"/>
      <c r="G251" s="15"/>
      <c r="H251" s="15"/>
      <c r="I251" s="43"/>
      <c r="J251" s="15"/>
      <c r="K251" s="11"/>
    </row>
    <row r="252" spans="1:11">
      <c r="A252" s="10"/>
      <c r="B252" s="10"/>
      <c r="C252" s="15"/>
      <c r="D252" s="15"/>
      <c r="E252" s="15"/>
      <c r="F252" s="15"/>
      <c r="G252" s="15"/>
      <c r="H252" s="15"/>
      <c r="I252" s="43"/>
      <c r="J252" s="15"/>
      <c r="K252" s="11"/>
    </row>
    <row r="253" spans="1:11">
      <c r="A253" s="10"/>
      <c r="B253" s="10"/>
      <c r="C253" s="15"/>
      <c r="D253" s="15"/>
      <c r="E253" s="15"/>
      <c r="F253" s="15"/>
      <c r="G253" s="15"/>
      <c r="H253" s="15"/>
      <c r="I253" s="43"/>
      <c r="J253" s="15"/>
      <c r="K253" s="11"/>
    </row>
    <row r="254" spans="1:11">
      <c r="A254" s="10"/>
      <c r="B254" s="10"/>
      <c r="C254" s="15"/>
      <c r="D254" s="15"/>
      <c r="E254" s="15"/>
      <c r="F254" s="15"/>
      <c r="G254" s="15"/>
      <c r="H254" s="15"/>
      <c r="I254" s="43"/>
      <c r="J254" s="15"/>
      <c r="K254" s="11"/>
    </row>
    <row r="255" spans="1:11">
      <c r="A255" s="10"/>
      <c r="B255" s="10"/>
      <c r="C255" s="15"/>
      <c r="D255" s="15"/>
      <c r="E255" s="15"/>
      <c r="F255" s="15"/>
      <c r="G255" s="15"/>
      <c r="H255" s="15"/>
      <c r="I255" s="43"/>
      <c r="J255" s="15"/>
      <c r="K255" s="11"/>
    </row>
    <row r="256" spans="1:11">
      <c r="A256" s="10"/>
      <c r="B256" s="10"/>
      <c r="C256" s="15"/>
      <c r="D256" s="15"/>
      <c r="E256" s="15"/>
      <c r="F256" s="15"/>
      <c r="G256" s="15"/>
      <c r="H256" s="15"/>
      <c r="I256" s="43"/>
      <c r="J256" s="15"/>
      <c r="K256" s="11"/>
    </row>
    <row r="257" spans="1:11">
      <c r="A257" s="10"/>
      <c r="B257" s="10"/>
      <c r="C257" s="15"/>
      <c r="D257" s="15"/>
      <c r="E257" s="15"/>
      <c r="F257" s="15"/>
      <c r="G257" s="15"/>
      <c r="H257" s="15"/>
      <c r="I257" s="43"/>
      <c r="J257" s="15"/>
      <c r="K257" s="11"/>
    </row>
    <row r="258" spans="1:11">
      <c r="A258" s="10"/>
      <c r="B258" s="10"/>
      <c r="C258" s="15"/>
      <c r="D258" s="15"/>
      <c r="E258" s="15"/>
      <c r="F258" s="15"/>
      <c r="G258" s="15"/>
      <c r="H258" s="15"/>
      <c r="I258" s="43"/>
      <c r="J258" s="15"/>
      <c r="K258" s="11"/>
    </row>
    <row r="259" spans="1:11">
      <c r="A259" s="10"/>
      <c r="B259" s="10"/>
      <c r="C259" s="15"/>
      <c r="D259" s="15"/>
      <c r="E259" s="15"/>
      <c r="F259" s="15"/>
      <c r="G259" s="15"/>
      <c r="H259" s="15"/>
      <c r="I259" s="43"/>
      <c r="J259" s="15"/>
      <c r="K259" s="11"/>
    </row>
    <row r="260" spans="1:11">
      <c r="A260" s="10"/>
      <c r="B260" s="10"/>
      <c r="C260" s="15"/>
      <c r="D260" s="15"/>
      <c r="E260" s="15"/>
      <c r="F260" s="15"/>
      <c r="G260" s="15"/>
      <c r="H260" s="15"/>
      <c r="I260" s="43"/>
      <c r="J260" s="15"/>
      <c r="K260" s="11"/>
    </row>
    <row r="261" spans="1:11">
      <c r="A261" s="10"/>
      <c r="B261" s="10"/>
      <c r="C261" s="15"/>
      <c r="D261" s="15"/>
      <c r="E261" s="15"/>
      <c r="F261" s="15"/>
      <c r="G261" s="15"/>
      <c r="H261" s="15"/>
      <c r="I261" s="43"/>
      <c r="J261" s="15"/>
      <c r="K261" s="11"/>
    </row>
    <row r="262" spans="1:11">
      <c r="A262" s="10"/>
      <c r="B262" s="10"/>
      <c r="C262" s="15"/>
      <c r="D262" s="15"/>
      <c r="E262" s="15"/>
      <c r="F262" s="15"/>
      <c r="G262" s="15"/>
      <c r="H262" s="15"/>
      <c r="I262" s="43"/>
      <c r="J262" s="15"/>
      <c r="K262" s="11"/>
    </row>
    <row r="263" spans="1:11">
      <c r="A263" s="10"/>
      <c r="B263" s="10"/>
      <c r="C263" s="15"/>
      <c r="D263" s="15"/>
      <c r="E263" s="15"/>
      <c r="F263" s="15"/>
      <c r="G263" s="15"/>
      <c r="H263" s="15"/>
      <c r="I263" s="43"/>
      <c r="J263" s="15"/>
      <c r="K263" s="11"/>
    </row>
    <row r="264" spans="1:11">
      <c r="A264" s="10"/>
      <c r="B264" s="10"/>
      <c r="C264" s="15"/>
      <c r="D264" s="15"/>
      <c r="E264" s="15"/>
      <c r="F264" s="15"/>
      <c r="G264" s="15"/>
      <c r="H264" s="15"/>
      <c r="I264" s="43"/>
      <c r="J264" s="15"/>
      <c r="K264" s="11"/>
    </row>
    <row r="265" spans="1:11">
      <c r="A265" s="10"/>
      <c r="B265" s="10"/>
      <c r="C265" s="15"/>
      <c r="D265" s="15"/>
      <c r="E265" s="15"/>
      <c r="F265" s="15"/>
      <c r="G265" s="15"/>
      <c r="H265" s="15"/>
      <c r="I265" s="43"/>
      <c r="J265" s="15"/>
      <c r="K265" s="11"/>
    </row>
    <row r="266" spans="1:11">
      <c r="A266" s="10"/>
      <c r="B266" s="10"/>
      <c r="C266" s="15"/>
      <c r="D266" s="15"/>
      <c r="E266" s="15"/>
      <c r="F266" s="15"/>
      <c r="G266" s="15"/>
      <c r="H266" s="15"/>
      <c r="I266" s="43"/>
      <c r="J266" s="15"/>
      <c r="K266" s="11"/>
    </row>
    <row r="267" spans="1:11">
      <c r="A267" s="10"/>
      <c r="B267" s="10"/>
      <c r="C267" s="15"/>
      <c r="D267" s="15"/>
      <c r="E267" s="15"/>
      <c r="F267" s="15"/>
      <c r="G267" s="15"/>
      <c r="H267" s="15"/>
      <c r="I267" s="43"/>
      <c r="J267" s="15"/>
      <c r="K267" s="11"/>
    </row>
    <row r="268" spans="1:11">
      <c r="A268" s="10"/>
      <c r="B268" s="10"/>
      <c r="C268" s="15"/>
      <c r="D268" s="15"/>
      <c r="E268" s="15"/>
      <c r="F268" s="15"/>
      <c r="G268" s="15"/>
      <c r="H268" s="15"/>
      <c r="I268" s="43"/>
      <c r="J268" s="15"/>
      <c r="K268" s="11"/>
    </row>
    <row r="269" spans="1:11">
      <c r="A269" s="10"/>
      <c r="B269" s="10"/>
      <c r="C269" s="15"/>
      <c r="D269" s="15"/>
      <c r="E269" s="15"/>
      <c r="F269" s="15"/>
      <c r="G269" s="15"/>
      <c r="H269" s="15"/>
      <c r="I269" s="43"/>
      <c r="J269" s="15"/>
      <c r="K269" s="11"/>
    </row>
    <row r="270" spans="1:11">
      <c r="A270" s="10"/>
      <c r="B270" s="10"/>
      <c r="C270" s="15"/>
      <c r="D270" s="15"/>
      <c r="E270" s="15"/>
      <c r="F270" s="15"/>
      <c r="G270" s="15"/>
      <c r="H270" s="15"/>
      <c r="I270" s="43"/>
      <c r="J270" s="15"/>
      <c r="K270" s="11"/>
    </row>
    <row r="271" spans="1:11">
      <c r="A271" s="10"/>
      <c r="B271" s="10"/>
      <c r="C271" s="15"/>
      <c r="D271" s="15"/>
      <c r="E271" s="15"/>
      <c r="F271" s="15"/>
      <c r="G271" s="15"/>
      <c r="H271" s="15"/>
      <c r="I271" s="43"/>
      <c r="J271" s="15"/>
      <c r="K271" s="11"/>
    </row>
    <row r="272" spans="1:11">
      <c r="A272" s="10"/>
      <c r="B272" s="10"/>
      <c r="C272" s="15"/>
      <c r="D272" s="15"/>
      <c r="E272" s="15"/>
      <c r="F272" s="15"/>
      <c r="G272" s="15"/>
      <c r="H272" s="15"/>
      <c r="I272" s="43"/>
      <c r="J272" s="15"/>
      <c r="K272" s="11"/>
    </row>
    <row r="273" spans="1:11">
      <c r="A273" s="10"/>
      <c r="B273" s="10"/>
      <c r="C273" s="15"/>
      <c r="D273" s="15"/>
      <c r="E273" s="15"/>
      <c r="F273" s="15"/>
      <c r="G273" s="15"/>
      <c r="H273" s="15"/>
      <c r="I273" s="43"/>
      <c r="J273" s="15"/>
      <c r="K273" s="11"/>
    </row>
    <row r="274" spans="1:11">
      <c r="A274" s="10"/>
    </row>
    <row r="275" spans="1:11">
      <c r="A275" s="10"/>
    </row>
    <row r="276" spans="1:11">
      <c r="A276" s="10"/>
    </row>
    <row r="277" spans="1:11">
      <c r="A277" s="10"/>
    </row>
    <row r="278" spans="1:11">
      <c r="A278" s="10"/>
    </row>
    <row r="279" spans="1:11">
      <c r="A279" s="10"/>
    </row>
    <row r="280" spans="1:11">
      <c r="A280" s="10"/>
    </row>
    <row r="281" spans="1:11">
      <c r="A281" s="10"/>
    </row>
    <row r="282" spans="1:11">
      <c r="A282" s="10"/>
    </row>
    <row r="283" spans="1:11">
      <c r="A283" s="10"/>
    </row>
    <row r="284" spans="1:11">
      <c r="A284" s="10"/>
    </row>
    <row r="285" spans="1:11">
      <c r="A285" s="10"/>
    </row>
    <row r="286" spans="1:11">
      <c r="A286" s="10"/>
    </row>
    <row r="287" spans="1:11">
      <c r="A287" s="10"/>
    </row>
    <row r="288" spans="1:1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</sheetData>
  <mergeCells count="3">
    <mergeCell ref="K1:R1"/>
    <mergeCell ref="A1:B3"/>
    <mergeCell ref="C1:J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E169-73C8-B948-BC7A-04B70B70AD99}">
  <sheetPr>
    <outlinePr summaryBelow="0" summaryRight="0"/>
  </sheetPr>
  <dimension ref="A1:M96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2.6640625" defaultRowHeight="15.75" customHeight="1"/>
  <cols>
    <col min="1" max="1" width="25.83203125" style="18" customWidth="1"/>
    <col min="2" max="2" width="15.83203125" style="18" customWidth="1"/>
    <col min="3" max="13" width="20.83203125" style="18" customWidth="1"/>
    <col min="14" max="16384" width="12.6640625" style="18"/>
  </cols>
  <sheetData>
    <row r="1" spans="1:13" ht="35" customHeight="1">
      <c r="A1" s="206" t="s">
        <v>591</v>
      </c>
      <c r="B1" s="207"/>
      <c r="C1" s="225" t="s">
        <v>0</v>
      </c>
      <c r="D1" s="226"/>
      <c r="E1" s="226"/>
      <c r="F1" s="226"/>
      <c r="G1" s="226"/>
      <c r="H1" s="227" t="s">
        <v>1</v>
      </c>
      <c r="I1" s="228"/>
      <c r="J1" s="228"/>
      <c r="K1" s="228"/>
      <c r="L1" s="228"/>
      <c r="M1" s="229"/>
    </row>
    <row r="2" spans="1:13" ht="35" customHeight="1">
      <c r="A2" s="207"/>
      <c r="B2" s="207"/>
      <c r="C2" s="3">
        <v>1</v>
      </c>
      <c r="D2" s="4">
        <v>2</v>
      </c>
      <c r="E2" s="4">
        <v>3</v>
      </c>
      <c r="F2" s="4">
        <v>4</v>
      </c>
      <c r="G2" s="4">
        <v>5</v>
      </c>
      <c r="H2" s="53">
        <v>0.1</v>
      </c>
      <c r="I2" s="53">
        <v>0.25</v>
      </c>
      <c r="J2" s="53">
        <v>0.25</v>
      </c>
      <c r="K2" s="53">
        <v>0.2</v>
      </c>
      <c r="L2" s="53">
        <v>0.2</v>
      </c>
      <c r="M2" s="21">
        <f>SUM(H2:L2)</f>
        <v>1</v>
      </c>
    </row>
    <row r="3" spans="1:13" s="19" customFormat="1" ht="50" customHeight="1">
      <c r="A3" s="230"/>
      <c r="B3" s="230"/>
      <c r="C3" s="8" t="s">
        <v>593</v>
      </c>
      <c r="D3" s="8" t="s">
        <v>592</v>
      </c>
      <c r="E3" s="8" t="s">
        <v>599</v>
      </c>
      <c r="F3" s="8" t="s">
        <v>600</v>
      </c>
      <c r="G3" s="8" t="s">
        <v>601</v>
      </c>
      <c r="H3" s="22" t="s">
        <v>593</v>
      </c>
      <c r="I3" s="22" t="s">
        <v>592</v>
      </c>
      <c r="J3" s="22" t="s">
        <v>599</v>
      </c>
      <c r="K3" s="22" t="s">
        <v>600</v>
      </c>
      <c r="L3" s="22" t="s">
        <v>601</v>
      </c>
      <c r="M3" s="47" t="s">
        <v>591</v>
      </c>
    </row>
    <row r="4" spans="1:13" s="19" customFormat="1" ht="50" customHeight="1">
      <c r="A4" s="8" t="s">
        <v>840</v>
      </c>
      <c r="B4" s="8" t="s">
        <v>3</v>
      </c>
      <c r="C4" s="8" t="s">
        <v>594</v>
      </c>
      <c r="D4" s="8" t="s">
        <v>595</v>
      </c>
      <c r="E4" s="8" t="s">
        <v>596</v>
      </c>
      <c r="F4" s="8" t="s">
        <v>597</v>
      </c>
      <c r="G4" s="8" t="s">
        <v>598</v>
      </c>
      <c r="H4" s="22" t="s">
        <v>14</v>
      </c>
      <c r="I4" s="22" t="s">
        <v>15</v>
      </c>
      <c r="J4" s="22" t="s">
        <v>16</v>
      </c>
      <c r="K4" s="22" t="s">
        <v>17</v>
      </c>
      <c r="L4" s="22" t="s">
        <v>18</v>
      </c>
      <c r="M4" s="47" t="s">
        <v>19</v>
      </c>
    </row>
    <row r="5" spans="1:13" s="23" customFormat="1" ht="20" customHeight="1">
      <c r="A5" s="35" t="str" cm="1">
        <f t="array" ref="A5:B40">_xlfn._xlws.FILTER(Screening!$A$2:$B$216,Screening!$L$2:$L$216="Yes","")</f>
        <v>Australia</v>
      </c>
      <c r="B5" s="35" t="str">
        <v>AUS</v>
      </c>
      <c r="C5" s="33">
        <f>IF($B5="","",_xlfn.XLOOKUP($B5,[1]pillars_WIP!$B$7:$B$116,[1]pillars_WIP!$P$7:$P$116,"Missing",0))</f>
        <v>79.44</v>
      </c>
      <c r="D5" s="33">
        <f>IF($B5="","",_xlfn.XLOOKUP($B5,[1]pillars_WIP!$B$7:$B$116,[1]pillars_WIP!$Q$7:$Q$116,"Missing",0))</f>
        <v>86.52</v>
      </c>
      <c r="E5" s="33">
        <f>IF($B5="","",_xlfn.XLOOKUP($B5,[1]pillars_WIP!$B$7:$B$116,[1]pillars_WIP!$R$7:$R$116,"Missing",0))</f>
        <v>82.03</v>
      </c>
      <c r="F5" s="33">
        <f>IF($B5="","",_xlfn.XLOOKUP($B5,[1]pillars_WIP!$B$7:$B$116,[1]pillars_WIP!$S$7:$S$116,"Missing",0))</f>
        <v>82.27</v>
      </c>
      <c r="G5" s="33">
        <f>IF($B5="","",_xlfn.XLOOKUP($B5,[1]pillars_WIP!$B$7:$B$116,[1]pillars_WIP!$T$7:$T$116,"Missing",0))</f>
        <v>85.34</v>
      </c>
      <c r="H5" s="11">
        <f>IF(ISNUMBER(C5),C5,"")</f>
        <v>79.44</v>
      </c>
      <c r="I5" s="11">
        <f>IF(ISNUMBER(D5),D5,"")</f>
        <v>86.52</v>
      </c>
      <c r="J5" s="11">
        <f>IF(ISNUMBER(E5),E5,"")</f>
        <v>82.03</v>
      </c>
      <c r="K5" s="11">
        <f>IF(ISNUMBER(F5),F5,"")</f>
        <v>82.27</v>
      </c>
      <c r="L5" s="11">
        <f>IF(ISNUMBER(G5),G5,"")</f>
        <v>85.34</v>
      </c>
      <c r="M5" s="12">
        <f>IF(COUNT(H5:L5)=5,SUMPRODUCT(H5:L5,$H$2:$L$2),"")</f>
        <v>83.603499999999997</v>
      </c>
    </row>
    <row r="6" spans="1:13" ht="20" customHeight="1">
      <c r="A6" s="35" t="str">
        <v>Bangladesh</v>
      </c>
      <c r="B6" s="35" t="str">
        <v>BGD</v>
      </c>
      <c r="C6" s="33">
        <f>IF($B6="","",_xlfn.XLOOKUP($B6,[1]pillars_WIP!$B$7:$B$116,[1]pillars_WIP!$P$7:$P$116,"Missing",0))</f>
        <v>40.9</v>
      </c>
      <c r="D6" s="33">
        <f>IF($B6="","",_xlfn.XLOOKUP($B6,[1]pillars_WIP!$B$7:$B$116,[1]pillars_WIP!$Q$7:$Q$116,"Missing",0))</f>
        <v>39.31</v>
      </c>
      <c r="E6" s="33">
        <f>IF($B6="","",_xlfn.XLOOKUP($B6,[1]pillars_WIP!$B$7:$B$116,[1]pillars_WIP!$R$7:$R$116,"Missing",0))</f>
        <v>39.880000000000003</v>
      </c>
      <c r="F6" s="33">
        <f>IF($B6="","",_xlfn.XLOOKUP($B6,[1]pillars_WIP!$B$7:$B$116,[1]pillars_WIP!$S$7:$S$116,"Missing",0))</f>
        <v>40.44</v>
      </c>
      <c r="G6" s="33">
        <f>IF($B6="","",_xlfn.XLOOKUP($B6,[1]pillars_WIP!$B$7:$B$116,[1]pillars_WIP!$T$7:$T$116,"Missing",0))</f>
        <v>25.55</v>
      </c>
      <c r="H6" s="11">
        <f t="shared" ref="H6:H40" si="0">IF(ISNUMBER(C6),C6,"")</f>
        <v>40.9</v>
      </c>
      <c r="I6" s="11">
        <f t="shared" ref="I6:I40" si="1">IF(ISNUMBER(D6),D6,"")</f>
        <v>39.31</v>
      </c>
      <c r="J6" s="11">
        <f t="shared" ref="J6:J40" si="2">IF(ISNUMBER(E6),E6,"")</f>
        <v>39.880000000000003</v>
      </c>
      <c r="K6" s="11">
        <f t="shared" ref="K6:K40" si="3">IF(ISNUMBER(F6),F6,"")</f>
        <v>40.44</v>
      </c>
      <c r="L6" s="11">
        <f t="shared" ref="L6:L40" si="4">IF(ISNUMBER(G6),G6,"")</f>
        <v>25.55</v>
      </c>
      <c r="M6" s="12">
        <f t="shared" ref="M6:M40" si="5">IF(COUNT(H6:L6)=5,SUMPRODUCT(H6:L6,$H$2:$L$2),"")</f>
        <v>37.085500000000003</v>
      </c>
    </row>
    <row r="7" spans="1:13" ht="20" customHeight="1">
      <c r="A7" s="35" t="str">
        <v>Bosnia and Herzegovina</v>
      </c>
      <c r="B7" s="35" t="str">
        <v>BIH</v>
      </c>
      <c r="C7" s="33">
        <f>IF($B7="","",_xlfn.XLOOKUP($B7,[1]pillars_WIP!$B$7:$B$116,[1]pillars_WIP!$P$7:$P$116,"Missing",0))</f>
        <v>57.34</v>
      </c>
      <c r="D7" s="33">
        <f>IF($B7="","",_xlfn.XLOOKUP($B7,[1]pillars_WIP!$B$7:$B$116,[1]pillars_WIP!$Q$7:$Q$116,"Missing",0))</f>
        <v>38.99</v>
      </c>
      <c r="E7" s="33">
        <f>IF($B7="","",_xlfn.XLOOKUP($B7,[1]pillars_WIP!$B$7:$B$116,[1]pillars_WIP!$R$7:$R$116,"Missing",0))</f>
        <v>49.35</v>
      </c>
      <c r="F7" s="33">
        <f>IF($B7="","",_xlfn.XLOOKUP($B7,[1]pillars_WIP!$B$7:$B$116,[1]pillars_WIP!$S$7:$S$116,"Missing",0))</f>
        <v>51.47</v>
      </c>
      <c r="G7" s="33">
        <f>IF($B7="","",_xlfn.XLOOKUP($B7,[1]pillars_WIP!$B$7:$B$116,[1]pillars_WIP!$T$7:$T$116,"Missing",0))</f>
        <v>37.47</v>
      </c>
      <c r="H7" s="11">
        <f t="shared" si="0"/>
        <v>57.34</v>
      </c>
      <c r="I7" s="11">
        <f t="shared" si="1"/>
        <v>38.99</v>
      </c>
      <c r="J7" s="11">
        <f t="shared" si="2"/>
        <v>49.35</v>
      </c>
      <c r="K7" s="11">
        <f t="shared" si="3"/>
        <v>51.47</v>
      </c>
      <c r="L7" s="11">
        <f t="shared" si="4"/>
        <v>37.47</v>
      </c>
      <c r="M7" s="12">
        <f t="shared" si="5"/>
        <v>45.606999999999999</v>
      </c>
    </row>
    <row r="8" spans="1:13" ht="20" customHeight="1">
      <c r="A8" s="35" t="str">
        <v>Brazil</v>
      </c>
      <c r="B8" s="35" t="str">
        <v>BRA</v>
      </c>
      <c r="C8" s="33">
        <f>IF($B8="","",_xlfn.XLOOKUP($B8,[1]pillars_WIP!$B$7:$B$116,[1]pillars_WIP!$P$7:$P$116,"Missing",0))</f>
        <v>57</v>
      </c>
      <c r="D8" s="33">
        <f>IF($B8="","",_xlfn.XLOOKUP($B8,[1]pillars_WIP!$B$7:$B$116,[1]pillars_WIP!$Q$7:$Q$116,"Missing",0))</f>
        <v>46.98</v>
      </c>
      <c r="E8" s="33">
        <f>IF($B8="","",_xlfn.XLOOKUP($B8,[1]pillars_WIP!$B$7:$B$116,[1]pillars_WIP!$R$7:$R$116,"Missing",0))</f>
        <v>50.22</v>
      </c>
      <c r="F8" s="33">
        <f>IF($B8="","",_xlfn.XLOOKUP($B8,[1]pillars_WIP!$B$7:$B$116,[1]pillars_WIP!$S$7:$S$116,"Missing",0))</f>
        <v>49.28</v>
      </c>
      <c r="G8" s="33">
        <f>IF($B8="","",_xlfn.XLOOKUP($B8,[1]pillars_WIP!$B$7:$B$116,[1]pillars_WIP!$T$7:$T$116,"Missing",0))</f>
        <v>39.58</v>
      </c>
      <c r="H8" s="11">
        <f t="shared" si="0"/>
        <v>57</v>
      </c>
      <c r="I8" s="11">
        <f t="shared" si="1"/>
        <v>46.98</v>
      </c>
      <c r="J8" s="11">
        <f t="shared" si="2"/>
        <v>50.22</v>
      </c>
      <c r="K8" s="11">
        <f t="shared" si="3"/>
        <v>49.28</v>
      </c>
      <c r="L8" s="11">
        <f t="shared" si="4"/>
        <v>39.58</v>
      </c>
      <c r="M8" s="12">
        <f t="shared" si="5"/>
        <v>47.772000000000006</v>
      </c>
    </row>
    <row r="9" spans="1:13" ht="20" customHeight="1">
      <c r="A9" s="35" t="str">
        <v>Bulgaria</v>
      </c>
      <c r="B9" s="35" t="str">
        <v>BGR</v>
      </c>
      <c r="C9" s="33">
        <f>IF($B9="","",_xlfn.XLOOKUP($B9,[1]pillars_WIP!$B$7:$B$116,[1]pillars_WIP!$P$7:$P$116,"Missing",0))</f>
        <v>66.58</v>
      </c>
      <c r="D9" s="33">
        <f>IF($B9="","",_xlfn.XLOOKUP($B9,[1]pillars_WIP!$B$7:$B$116,[1]pillars_WIP!$Q$7:$Q$116,"Missing",0))</f>
        <v>52.17</v>
      </c>
      <c r="E9" s="33">
        <f>IF($B9="","",_xlfn.XLOOKUP($B9,[1]pillars_WIP!$B$7:$B$116,[1]pillars_WIP!$R$7:$R$116,"Missing",0))</f>
        <v>59.41</v>
      </c>
      <c r="F9" s="33">
        <f>IF($B9="","",_xlfn.XLOOKUP($B9,[1]pillars_WIP!$B$7:$B$116,[1]pillars_WIP!$S$7:$S$116,"Missing",0))</f>
        <v>56.39</v>
      </c>
      <c r="G9" s="33">
        <f>IF($B9="","",_xlfn.XLOOKUP($B9,[1]pillars_WIP!$B$7:$B$116,[1]pillars_WIP!$T$7:$T$116,"Missing",0))</f>
        <v>43</v>
      </c>
      <c r="H9" s="11">
        <f t="shared" si="0"/>
        <v>66.58</v>
      </c>
      <c r="I9" s="11">
        <f t="shared" si="1"/>
        <v>52.17</v>
      </c>
      <c r="J9" s="11">
        <f t="shared" si="2"/>
        <v>59.41</v>
      </c>
      <c r="K9" s="11">
        <f t="shared" si="3"/>
        <v>56.39</v>
      </c>
      <c r="L9" s="11">
        <f t="shared" si="4"/>
        <v>43</v>
      </c>
      <c r="M9" s="12">
        <f t="shared" si="5"/>
        <v>54.430999999999997</v>
      </c>
    </row>
    <row r="10" spans="1:13" ht="20" customHeight="1">
      <c r="A10" s="35" t="str">
        <v>Cambodia</v>
      </c>
      <c r="B10" s="35" t="str">
        <v>KHM</v>
      </c>
      <c r="C10" s="33">
        <f>IF($B10="","",_xlfn.XLOOKUP($B10,[1]pillars_WIP!$B$7:$B$116,[1]pillars_WIP!$P$7:$P$116,"Missing",0))</f>
        <v>68.09</v>
      </c>
      <c r="D10" s="33">
        <f>IF($B10="","",_xlfn.XLOOKUP($B10,[1]pillars_WIP!$B$7:$B$116,[1]pillars_WIP!$Q$7:$Q$116,"Missing",0))</f>
        <v>45.63</v>
      </c>
      <c r="E10" s="33">
        <f>IF($B10="","",_xlfn.XLOOKUP($B10,[1]pillars_WIP!$B$7:$B$116,[1]pillars_WIP!$R$7:$R$116,"Missing",0))</f>
        <v>44.91</v>
      </c>
      <c r="F10" s="33">
        <f>IF($B10="","",_xlfn.XLOOKUP($B10,[1]pillars_WIP!$B$7:$B$116,[1]pillars_WIP!$S$7:$S$116,"Missing",0))</f>
        <v>38.79</v>
      </c>
      <c r="G10" s="33">
        <f>IF($B10="","",_xlfn.XLOOKUP($B10,[1]pillars_WIP!$B$7:$B$116,[1]pillars_WIP!$T$7:$T$116,"Missing",0))</f>
        <v>22.9</v>
      </c>
      <c r="H10" s="11">
        <f t="shared" si="0"/>
        <v>68.09</v>
      </c>
      <c r="I10" s="11">
        <f t="shared" si="1"/>
        <v>45.63</v>
      </c>
      <c r="J10" s="11">
        <f t="shared" si="2"/>
        <v>44.91</v>
      </c>
      <c r="K10" s="11">
        <f t="shared" si="3"/>
        <v>38.79</v>
      </c>
      <c r="L10" s="11">
        <f t="shared" si="4"/>
        <v>22.9</v>
      </c>
      <c r="M10" s="12">
        <f t="shared" si="5"/>
        <v>41.782000000000004</v>
      </c>
    </row>
    <row r="11" spans="1:13" ht="20" customHeight="1">
      <c r="A11" s="35" t="str">
        <v>Canada</v>
      </c>
      <c r="B11" s="35" t="str">
        <v>CAN</v>
      </c>
      <c r="C11" s="33">
        <f>IF($B11="","",_xlfn.XLOOKUP($B11,[1]pillars_WIP!$B$7:$B$116,[1]pillars_WIP!$P$7:$P$116,"Missing",0))</f>
        <v>76.12</v>
      </c>
      <c r="D11" s="33">
        <f>IF($B11="","",_xlfn.XLOOKUP($B11,[1]pillars_WIP!$B$7:$B$116,[1]pillars_WIP!$Q$7:$Q$116,"Missing",0))</f>
        <v>85.54</v>
      </c>
      <c r="E11" s="33">
        <f>IF($B11="","",_xlfn.XLOOKUP($B11,[1]pillars_WIP!$B$7:$B$116,[1]pillars_WIP!$R$7:$R$116,"Missing",0))</f>
        <v>76.349999999999994</v>
      </c>
      <c r="F11" s="33">
        <f>IF($B11="","",_xlfn.XLOOKUP($B11,[1]pillars_WIP!$B$7:$B$116,[1]pillars_WIP!$S$7:$S$116,"Missing",0))</f>
        <v>82.11</v>
      </c>
      <c r="G11" s="33">
        <f>IF($B11="","",_xlfn.XLOOKUP($B11,[1]pillars_WIP!$B$7:$B$116,[1]pillars_WIP!$T$7:$T$116,"Missing",0))</f>
        <v>80.89</v>
      </c>
      <c r="H11" s="11">
        <f t="shared" si="0"/>
        <v>76.12</v>
      </c>
      <c r="I11" s="11">
        <f t="shared" si="1"/>
        <v>85.54</v>
      </c>
      <c r="J11" s="11">
        <f t="shared" si="2"/>
        <v>76.349999999999994</v>
      </c>
      <c r="K11" s="11">
        <f t="shared" si="3"/>
        <v>82.11</v>
      </c>
      <c r="L11" s="11">
        <f t="shared" si="4"/>
        <v>80.89</v>
      </c>
      <c r="M11" s="12">
        <f t="shared" si="5"/>
        <v>80.6845</v>
      </c>
    </row>
    <row r="12" spans="1:13" ht="20" customHeight="1">
      <c r="A12" s="35" t="str">
        <v>Chile</v>
      </c>
      <c r="B12" s="35" t="str">
        <v>CHL</v>
      </c>
      <c r="C12" s="33">
        <f>IF($B12="","",_xlfn.XLOOKUP($B12,[1]pillars_WIP!$B$7:$B$116,[1]pillars_WIP!$P$7:$P$116,"Missing",0))</f>
        <v>67.97</v>
      </c>
      <c r="D12" s="33">
        <f>IF($B12="","",_xlfn.XLOOKUP($B12,[1]pillars_WIP!$B$7:$B$116,[1]pillars_WIP!$Q$7:$Q$116,"Missing",0))</f>
        <v>70.09</v>
      </c>
      <c r="E12" s="33">
        <f>IF($B12="","",_xlfn.XLOOKUP($B12,[1]pillars_WIP!$B$7:$B$116,[1]pillars_WIP!$R$7:$R$116,"Missing",0))</f>
        <v>67.180000000000007</v>
      </c>
      <c r="F12" s="33">
        <f>IF($B12="","",_xlfn.XLOOKUP($B12,[1]pillars_WIP!$B$7:$B$116,[1]pillars_WIP!$S$7:$S$116,"Missing",0))</f>
        <v>68.86</v>
      </c>
      <c r="G12" s="33">
        <f>IF($B12="","",_xlfn.XLOOKUP($B12,[1]pillars_WIP!$B$7:$B$116,[1]pillars_WIP!$T$7:$T$116,"Missing",0))</f>
        <v>70.239999999999995</v>
      </c>
      <c r="H12" s="11">
        <f t="shared" si="0"/>
        <v>67.97</v>
      </c>
      <c r="I12" s="11">
        <f t="shared" si="1"/>
        <v>70.09</v>
      </c>
      <c r="J12" s="11">
        <f t="shared" si="2"/>
        <v>67.180000000000007</v>
      </c>
      <c r="K12" s="11">
        <f t="shared" si="3"/>
        <v>68.86</v>
      </c>
      <c r="L12" s="11">
        <f t="shared" si="4"/>
        <v>70.239999999999995</v>
      </c>
      <c r="M12" s="12">
        <f t="shared" si="5"/>
        <v>68.9345</v>
      </c>
    </row>
    <row r="13" spans="1:13" ht="20" customHeight="1">
      <c r="A13" s="35" t="str">
        <v>China</v>
      </c>
      <c r="B13" s="35" t="str">
        <v>CHN</v>
      </c>
      <c r="C13" s="33">
        <f>IF($B13="","",_xlfn.XLOOKUP($B13,[1]pillars_WIP!$B$7:$B$116,[1]pillars_WIP!$P$7:$P$116,"Missing",0))</f>
        <v>63.28</v>
      </c>
      <c r="D13" s="33">
        <f>IF($B13="","",_xlfn.XLOOKUP($B13,[1]pillars_WIP!$B$7:$B$116,[1]pillars_WIP!$Q$7:$Q$116,"Missing",0))</f>
        <v>68.760000000000005</v>
      </c>
      <c r="E13" s="33">
        <f>IF($B13="","",_xlfn.XLOOKUP($B13,[1]pillars_WIP!$B$7:$B$116,[1]pillars_WIP!$R$7:$R$116,"Missing",0))</f>
        <v>53.74</v>
      </c>
      <c r="F13" s="33">
        <f>IF($B13="","",_xlfn.XLOOKUP($B13,[1]pillars_WIP!$B$7:$B$116,[1]pillars_WIP!$S$7:$S$116,"Missing",0))</f>
        <v>46.99</v>
      </c>
      <c r="G13" s="33">
        <f>IF($B13="","",_xlfn.XLOOKUP($B13,[1]pillars_WIP!$B$7:$B$116,[1]pillars_WIP!$T$7:$T$116,"Missing",0))</f>
        <v>49.65</v>
      </c>
      <c r="H13" s="11">
        <f t="shared" si="0"/>
        <v>63.28</v>
      </c>
      <c r="I13" s="11">
        <f t="shared" si="1"/>
        <v>68.760000000000005</v>
      </c>
      <c r="J13" s="11">
        <f t="shared" si="2"/>
        <v>53.74</v>
      </c>
      <c r="K13" s="11">
        <f t="shared" si="3"/>
        <v>46.99</v>
      </c>
      <c r="L13" s="11">
        <f t="shared" si="4"/>
        <v>49.65</v>
      </c>
      <c r="M13" s="12">
        <f t="shared" si="5"/>
        <v>56.281000000000006</v>
      </c>
    </row>
    <row r="14" spans="1:13" ht="20" customHeight="1">
      <c r="A14" s="35" t="str">
        <v>Czech Republic</v>
      </c>
      <c r="B14" s="35" t="str">
        <v>CZE</v>
      </c>
      <c r="C14" s="33">
        <f>IF($B14="","",_xlfn.XLOOKUP($B14,[1]pillars_WIP!$B$7:$B$116,[1]pillars_WIP!$P$7:$P$116,"Missing",0))</f>
        <v>82.5</v>
      </c>
      <c r="D14" s="33">
        <f>IF($B14="","",_xlfn.XLOOKUP($B14,[1]pillars_WIP!$B$7:$B$116,[1]pillars_WIP!$Q$7:$Q$116,"Missing",0))</f>
        <v>74.23</v>
      </c>
      <c r="E14" s="33">
        <f>IF($B14="","",_xlfn.XLOOKUP($B14,[1]pillars_WIP!$B$7:$B$116,[1]pillars_WIP!$R$7:$R$116,"Missing",0))</f>
        <v>74.290000000000006</v>
      </c>
      <c r="F14" s="33">
        <f>IF($B14="","",_xlfn.XLOOKUP($B14,[1]pillars_WIP!$B$7:$B$116,[1]pillars_WIP!$S$7:$S$116,"Missing",0))</f>
        <v>77.41</v>
      </c>
      <c r="G14" s="33">
        <f>IF($B14="","",_xlfn.XLOOKUP($B14,[1]pillars_WIP!$B$7:$B$116,[1]pillars_WIP!$T$7:$T$116,"Missing",0))</f>
        <v>66.7</v>
      </c>
      <c r="H14" s="11">
        <f t="shared" si="0"/>
        <v>82.5</v>
      </c>
      <c r="I14" s="11">
        <f t="shared" si="1"/>
        <v>74.23</v>
      </c>
      <c r="J14" s="11">
        <f t="shared" si="2"/>
        <v>74.290000000000006</v>
      </c>
      <c r="K14" s="11">
        <f t="shared" si="3"/>
        <v>77.41</v>
      </c>
      <c r="L14" s="11">
        <f t="shared" si="4"/>
        <v>66.7</v>
      </c>
      <c r="M14" s="12">
        <f t="shared" si="5"/>
        <v>74.201999999999998</v>
      </c>
    </row>
    <row r="15" spans="1:13" ht="20" customHeight="1">
      <c r="A15" s="35" t="str">
        <v>Dominican Republic</v>
      </c>
      <c r="B15" s="35" t="str">
        <v>DOM</v>
      </c>
      <c r="C15" s="33">
        <f>IF($B15="","",_xlfn.XLOOKUP($B15,[1]pillars_WIP!$B$7:$B$116,[1]pillars_WIP!$P$7:$P$116,"Missing",0))</f>
        <v>75.959999999999994</v>
      </c>
      <c r="D15" s="33">
        <f>IF($B15="","",_xlfn.XLOOKUP($B15,[1]pillars_WIP!$B$7:$B$116,[1]pillars_WIP!$Q$7:$Q$116,"Missing",0))</f>
        <v>52.79</v>
      </c>
      <c r="E15" s="33">
        <f>IF($B15="","",_xlfn.XLOOKUP($B15,[1]pillars_WIP!$B$7:$B$116,[1]pillars_WIP!$R$7:$R$116,"Missing",0))</f>
        <v>58.13</v>
      </c>
      <c r="F15" s="33">
        <f>IF($B15="","",_xlfn.XLOOKUP($B15,[1]pillars_WIP!$B$7:$B$116,[1]pillars_WIP!$S$7:$S$116,"Missing",0))</f>
        <v>53.83</v>
      </c>
      <c r="G15" s="33">
        <f>IF($B15="","",_xlfn.XLOOKUP($B15,[1]pillars_WIP!$B$7:$B$116,[1]pillars_WIP!$T$7:$T$116,"Missing",0))</f>
        <v>42.48</v>
      </c>
      <c r="H15" s="11">
        <f t="shared" si="0"/>
        <v>75.959999999999994</v>
      </c>
      <c r="I15" s="11">
        <f t="shared" si="1"/>
        <v>52.79</v>
      </c>
      <c r="J15" s="11">
        <f t="shared" si="2"/>
        <v>58.13</v>
      </c>
      <c r="K15" s="11">
        <f t="shared" si="3"/>
        <v>53.83</v>
      </c>
      <c r="L15" s="11">
        <f t="shared" si="4"/>
        <v>42.48</v>
      </c>
      <c r="M15" s="12">
        <f t="shared" si="5"/>
        <v>54.588000000000001</v>
      </c>
    </row>
    <row r="16" spans="1:13" ht="20" customHeight="1">
      <c r="A16" s="35" t="str">
        <v>Germany</v>
      </c>
      <c r="B16" s="35" t="str">
        <v>DEU</v>
      </c>
      <c r="C16" s="33">
        <f>IF($B16="","",_xlfn.XLOOKUP($B16,[1]pillars_WIP!$B$7:$B$116,[1]pillars_WIP!$P$7:$P$116,"Missing",0))</f>
        <v>68.02</v>
      </c>
      <c r="D16" s="33">
        <f>IF($B16="","",_xlfn.XLOOKUP($B16,[1]pillars_WIP!$B$7:$B$116,[1]pillars_WIP!$Q$7:$Q$116,"Missing",0))</f>
        <v>81.41</v>
      </c>
      <c r="E16" s="33">
        <f>IF($B16="","",_xlfn.XLOOKUP($B16,[1]pillars_WIP!$B$7:$B$116,[1]pillars_WIP!$R$7:$R$116,"Missing",0))</f>
        <v>78.489999999999995</v>
      </c>
      <c r="F16" s="33">
        <f>IF($B16="","",_xlfn.XLOOKUP($B16,[1]pillars_WIP!$B$7:$B$116,[1]pillars_WIP!$S$7:$S$116,"Missing",0))</f>
        <v>84.95</v>
      </c>
      <c r="G16" s="33">
        <f>IF($B16="","",_xlfn.XLOOKUP($B16,[1]pillars_WIP!$B$7:$B$116,[1]pillars_WIP!$T$7:$T$116,"Missing",0))</f>
        <v>83.75</v>
      </c>
      <c r="H16" s="11">
        <f t="shared" si="0"/>
        <v>68.02</v>
      </c>
      <c r="I16" s="11">
        <f t="shared" si="1"/>
        <v>81.41</v>
      </c>
      <c r="J16" s="11">
        <f t="shared" si="2"/>
        <v>78.489999999999995</v>
      </c>
      <c r="K16" s="11">
        <f t="shared" si="3"/>
        <v>84.95</v>
      </c>
      <c r="L16" s="11">
        <f t="shared" si="4"/>
        <v>83.75</v>
      </c>
      <c r="M16" s="12">
        <f t="shared" si="5"/>
        <v>80.516999999999996</v>
      </c>
    </row>
    <row r="17" spans="1:13" ht="20" customHeight="1">
      <c r="A17" s="35" t="str">
        <v>Hong Kong</v>
      </c>
      <c r="B17" s="35" t="str">
        <v>HKG</v>
      </c>
      <c r="C17" s="33">
        <f>IF($B17="","",_xlfn.XLOOKUP($B17,[1]pillars_WIP!$B$7:$B$116,[1]pillars_WIP!$P$7:$P$116,"Missing",0))</f>
        <v>76.67</v>
      </c>
      <c r="D17" s="33">
        <f>IF($B17="","",_xlfn.XLOOKUP($B17,[1]pillars_WIP!$B$7:$B$116,[1]pillars_WIP!$Q$7:$Q$116,"Missing",0))</f>
        <v>83.18</v>
      </c>
      <c r="E17" s="33">
        <f>IF($B17="","",_xlfn.XLOOKUP($B17,[1]pillars_WIP!$B$7:$B$116,[1]pillars_WIP!$R$7:$R$116,"Missing",0))</f>
        <v>82.3</v>
      </c>
      <c r="F17" s="33">
        <f>IF($B17="","",_xlfn.XLOOKUP($B17,[1]pillars_WIP!$B$7:$B$116,[1]pillars_WIP!$S$7:$S$116,"Missing",0))</f>
        <v>72.819999999999993</v>
      </c>
      <c r="G17" s="33">
        <f>IF($B17="","",_xlfn.XLOOKUP($B17,[1]pillars_WIP!$B$7:$B$116,[1]pillars_WIP!$T$7:$T$116,"Missing",0))</f>
        <v>79.680000000000007</v>
      </c>
      <c r="H17" s="11">
        <f t="shared" si="0"/>
        <v>76.67</v>
      </c>
      <c r="I17" s="11">
        <f t="shared" si="1"/>
        <v>83.18</v>
      </c>
      <c r="J17" s="11">
        <f t="shared" si="2"/>
        <v>82.3</v>
      </c>
      <c r="K17" s="11">
        <f t="shared" si="3"/>
        <v>72.819999999999993</v>
      </c>
      <c r="L17" s="11">
        <f t="shared" si="4"/>
        <v>79.680000000000007</v>
      </c>
      <c r="M17" s="12">
        <f t="shared" si="5"/>
        <v>79.537000000000006</v>
      </c>
    </row>
    <row r="18" spans="1:13" ht="20" customHeight="1">
      <c r="A18" s="35" t="str">
        <v>India</v>
      </c>
      <c r="B18" s="35" t="str">
        <v>IND</v>
      </c>
      <c r="C18" s="33">
        <f>IF($B18="","",_xlfn.XLOOKUP($B18,[1]pillars_WIP!$B$7:$B$116,[1]pillars_WIP!$P$7:$P$116,"Missing",0))</f>
        <v>52.47</v>
      </c>
      <c r="D18" s="33">
        <f>IF($B18="","",_xlfn.XLOOKUP($B18,[1]pillars_WIP!$B$7:$B$116,[1]pillars_WIP!$Q$7:$Q$116,"Missing",0))</f>
        <v>59.21</v>
      </c>
      <c r="E18" s="33">
        <f>IF($B18="","",_xlfn.XLOOKUP($B18,[1]pillars_WIP!$B$7:$B$116,[1]pillars_WIP!$R$7:$R$116,"Missing",0))</f>
        <v>53.35</v>
      </c>
      <c r="F18" s="33">
        <f>IF($B18="","",_xlfn.XLOOKUP($B18,[1]pillars_WIP!$B$7:$B$116,[1]pillars_WIP!$S$7:$S$116,"Missing",0))</f>
        <v>56.29</v>
      </c>
      <c r="G18" s="33">
        <f>IF($B18="","",_xlfn.XLOOKUP($B18,[1]pillars_WIP!$B$7:$B$116,[1]pillars_WIP!$T$7:$T$116,"Missing",0))</f>
        <v>41.88</v>
      </c>
      <c r="H18" s="11">
        <f t="shared" si="0"/>
        <v>52.47</v>
      </c>
      <c r="I18" s="11">
        <f t="shared" si="1"/>
        <v>59.21</v>
      </c>
      <c r="J18" s="11">
        <f t="shared" si="2"/>
        <v>53.35</v>
      </c>
      <c r="K18" s="11">
        <f t="shared" si="3"/>
        <v>56.29</v>
      </c>
      <c r="L18" s="11">
        <f t="shared" si="4"/>
        <v>41.88</v>
      </c>
      <c r="M18" s="12">
        <f t="shared" si="5"/>
        <v>53.021000000000001</v>
      </c>
    </row>
    <row r="19" spans="1:13" ht="20" customHeight="1">
      <c r="A19" s="35" t="str">
        <v>Indonesia</v>
      </c>
      <c r="B19" s="35" t="str">
        <v>IDN</v>
      </c>
      <c r="C19" s="33">
        <f>IF($B19="","",_xlfn.XLOOKUP($B19,[1]pillars_WIP!$B$7:$B$116,[1]pillars_WIP!$P$7:$P$116,"Missing",0))</f>
        <v>55.49</v>
      </c>
      <c r="D19" s="33">
        <f>IF($B19="","",_xlfn.XLOOKUP($B19,[1]pillars_WIP!$B$7:$B$116,[1]pillars_WIP!$Q$7:$Q$116,"Missing",0))</f>
        <v>54.84</v>
      </c>
      <c r="E19" s="33">
        <f>IF($B19="","",_xlfn.XLOOKUP($B19,[1]pillars_WIP!$B$7:$B$116,[1]pillars_WIP!$R$7:$R$116,"Missing",0))</f>
        <v>56.83</v>
      </c>
      <c r="F19" s="33">
        <f>IF($B19="","",_xlfn.XLOOKUP($B19,[1]pillars_WIP!$B$7:$B$116,[1]pillars_WIP!$S$7:$S$116,"Missing",0))</f>
        <v>53.41</v>
      </c>
      <c r="G19" s="33">
        <f>IF($B19="","",_xlfn.XLOOKUP($B19,[1]pillars_WIP!$B$7:$B$116,[1]pillars_WIP!$T$7:$T$116,"Missing",0))</f>
        <v>36.83</v>
      </c>
      <c r="H19" s="11">
        <f t="shared" si="0"/>
        <v>55.49</v>
      </c>
      <c r="I19" s="11">
        <f t="shared" si="1"/>
        <v>54.84</v>
      </c>
      <c r="J19" s="11">
        <f t="shared" si="2"/>
        <v>56.83</v>
      </c>
      <c r="K19" s="11">
        <f t="shared" si="3"/>
        <v>53.41</v>
      </c>
      <c r="L19" s="11">
        <f t="shared" si="4"/>
        <v>36.83</v>
      </c>
      <c r="M19" s="12">
        <f t="shared" si="5"/>
        <v>51.514499999999998</v>
      </c>
    </row>
    <row r="20" spans="1:13" ht="20" customHeight="1">
      <c r="A20" s="35" t="str">
        <v>Japan</v>
      </c>
      <c r="B20" s="35" t="str">
        <v>JPN</v>
      </c>
      <c r="C20" s="33">
        <f>IF($B20="","",_xlfn.XLOOKUP($B20,[1]pillars_WIP!$B$7:$B$116,[1]pillars_WIP!$P$7:$P$116,"Missing",0))</f>
        <v>85.27</v>
      </c>
      <c r="D20" s="33">
        <f>IF($B20="","",_xlfn.XLOOKUP($B20,[1]pillars_WIP!$B$7:$B$116,[1]pillars_WIP!$Q$7:$Q$116,"Missing",0))</f>
        <v>91.94</v>
      </c>
      <c r="E20" s="33">
        <f>IF($B20="","",_xlfn.XLOOKUP($B20,[1]pillars_WIP!$B$7:$B$116,[1]pillars_WIP!$R$7:$R$116,"Missing",0))</f>
        <v>75.83</v>
      </c>
      <c r="F20" s="33">
        <f>IF($B20="","",_xlfn.XLOOKUP($B20,[1]pillars_WIP!$B$7:$B$116,[1]pillars_WIP!$S$7:$S$116,"Missing",0))</f>
        <v>82.98</v>
      </c>
      <c r="G20" s="33">
        <f>IF($B20="","",_xlfn.XLOOKUP($B20,[1]pillars_WIP!$B$7:$B$116,[1]pillars_WIP!$T$7:$T$116,"Missing",0))</f>
        <v>75.319999999999993</v>
      </c>
      <c r="H20" s="11">
        <f t="shared" si="0"/>
        <v>85.27</v>
      </c>
      <c r="I20" s="11">
        <f t="shared" si="1"/>
        <v>91.94</v>
      </c>
      <c r="J20" s="11">
        <f t="shared" si="2"/>
        <v>75.83</v>
      </c>
      <c r="K20" s="11">
        <f t="shared" si="3"/>
        <v>82.98</v>
      </c>
      <c r="L20" s="11">
        <f t="shared" si="4"/>
        <v>75.319999999999993</v>
      </c>
      <c r="M20" s="12">
        <f t="shared" si="5"/>
        <v>82.129500000000007</v>
      </c>
    </row>
    <row r="21" spans="1:13" ht="20" customHeight="1">
      <c r="A21" s="35" t="str">
        <v>Kazakhstan</v>
      </c>
      <c r="B21" s="35" t="str">
        <v>KAZ</v>
      </c>
      <c r="C21" s="33">
        <f>IF($B21="","",_xlfn.XLOOKUP($B21,[1]pillars_WIP!$B$7:$B$116,[1]pillars_WIP!$P$7:$P$116,"Missing",0))</f>
        <v>61.06</v>
      </c>
      <c r="D21" s="33">
        <f>IF($B21="","",_xlfn.XLOOKUP($B21,[1]pillars_WIP!$B$7:$B$116,[1]pillars_WIP!$Q$7:$Q$116,"Missing",0))</f>
        <v>54.19</v>
      </c>
      <c r="E21" s="33">
        <f>IF($B21="","",_xlfn.XLOOKUP($B21,[1]pillars_WIP!$B$7:$B$116,[1]pillars_WIP!$R$7:$R$116,"Missing",0))</f>
        <v>55.6</v>
      </c>
      <c r="F21" s="33">
        <f>IF($B21="","",_xlfn.XLOOKUP($B21,[1]pillars_WIP!$B$7:$B$116,[1]pillars_WIP!$S$7:$S$116,"Missing",0))</f>
        <v>50.4</v>
      </c>
      <c r="G21" s="33">
        <f>IF($B21="","",_xlfn.XLOOKUP($B21,[1]pillars_WIP!$B$7:$B$116,[1]pillars_WIP!$T$7:$T$116,"Missing",0))</f>
        <v>46.5</v>
      </c>
      <c r="H21" s="11">
        <f t="shared" si="0"/>
        <v>61.06</v>
      </c>
      <c r="I21" s="11">
        <f t="shared" si="1"/>
        <v>54.19</v>
      </c>
      <c r="J21" s="11">
        <f t="shared" si="2"/>
        <v>55.6</v>
      </c>
      <c r="K21" s="11">
        <f t="shared" si="3"/>
        <v>50.4</v>
      </c>
      <c r="L21" s="11">
        <f t="shared" si="4"/>
        <v>46.5</v>
      </c>
      <c r="M21" s="12">
        <f t="shared" si="5"/>
        <v>52.933499999999995</v>
      </c>
    </row>
    <row r="22" spans="1:13" ht="20" customHeight="1">
      <c r="A22" s="35" t="str">
        <v>Laos</v>
      </c>
      <c r="B22" s="35" t="str">
        <v>LAO</v>
      </c>
      <c r="C22" s="33">
        <f>IF($B22="","",_xlfn.XLOOKUP($B22,[1]pillars_WIP!$B$7:$B$116,[1]pillars_WIP!$P$7:$P$116,"Missing",0))</f>
        <v>75.42</v>
      </c>
      <c r="D22" s="33">
        <f>IF($B22="","",_xlfn.XLOOKUP($B22,[1]pillars_WIP!$B$7:$B$116,[1]pillars_WIP!$Q$7:$Q$116,"Missing",0))</f>
        <v>40.03</v>
      </c>
      <c r="E22" s="33">
        <f>IF($B22="","",_xlfn.XLOOKUP($B22,[1]pillars_WIP!$B$7:$B$116,[1]pillars_WIP!$R$7:$R$116,"Missing",0))</f>
        <v>44.83</v>
      </c>
      <c r="F22" s="33">
        <f>IF($B22="","",_xlfn.XLOOKUP($B22,[1]pillars_WIP!$B$7:$B$116,[1]pillars_WIP!$S$7:$S$116,"Missing",0))</f>
        <v>44.19</v>
      </c>
      <c r="G22" s="33">
        <f>IF($B22="","",_xlfn.XLOOKUP($B22,[1]pillars_WIP!$B$7:$B$116,[1]pillars_WIP!$T$7:$T$116,"Missing",0))</f>
        <v>28.02</v>
      </c>
      <c r="H22" s="11">
        <f t="shared" si="0"/>
        <v>75.42</v>
      </c>
      <c r="I22" s="11">
        <f t="shared" si="1"/>
        <v>40.03</v>
      </c>
      <c r="J22" s="11">
        <f t="shared" si="2"/>
        <v>44.83</v>
      </c>
      <c r="K22" s="11">
        <f t="shared" si="3"/>
        <v>44.19</v>
      </c>
      <c r="L22" s="11">
        <f t="shared" si="4"/>
        <v>28.02</v>
      </c>
      <c r="M22" s="12">
        <f t="shared" si="5"/>
        <v>43.198999999999998</v>
      </c>
    </row>
    <row r="23" spans="1:13" ht="20" customHeight="1">
      <c r="A23" s="35" t="str">
        <v>Malaysia</v>
      </c>
      <c r="B23" s="35" t="str">
        <v>MYS</v>
      </c>
      <c r="C23" s="33">
        <f>IF($B23="","",_xlfn.XLOOKUP($B23,[1]pillars_WIP!$B$7:$B$116,[1]pillars_WIP!$P$7:$P$116,"Missing",0))</f>
        <v>72.47</v>
      </c>
      <c r="D23" s="33">
        <f>IF($B23="","",_xlfn.XLOOKUP($B23,[1]pillars_WIP!$B$7:$B$116,[1]pillars_WIP!$Q$7:$Q$116,"Missing",0))</f>
        <v>69.13</v>
      </c>
      <c r="E23" s="33">
        <f>IF($B23="","",_xlfn.XLOOKUP($B23,[1]pillars_WIP!$B$7:$B$116,[1]pillars_WIP!$R$7:$R$116,"Missing",0))</f>
        <v>65.59</v>
      </c>
      <c r="F23" s="33">
        <f>IF($B23="","",_xlfn.XLOOKUP($B23,[1]pillars_WIP!$B$7:$B$116,[1]pillars_WIP!$S$7:$S$116,"Missing",0))</f>
        <v>62.9</v>
      </c>
      <c r="G23" s="33">
        <f>IF($B23="","",_xlfn.XLOOKUP($B23,[1]pillars_WIP!$B$7:$B$116,[1]pillars_WIP!$T$7:$T$116,"Missing",0))</f>
        <v>57.94</v>
      </c>
      <c r="H23" s="11">
        <f t="shared" si="0"/>
        <v>72.47</v>
      </c>
      <c r="I23" s="11">
        <f t="shared" si="1"/>
        <v>69.13</v>
      </c>
      <c r="J23" s="11">
        <f t="shared" si="2"/>
        <v>65.59</v>
      </c>
      <c r="K23" s="11">
        <f t="shared" si="3"/>
        <v>62.9</v>
      </c>
      <c r="L23" s="11">
        <f t="shared" si="4"/>
        <v>57.94</v>
      </c>
      <c r="M23" s="12">
        <f t="shared" si="5"/>
        <v>65.094999999999999</v>
      </c>
    </row>
    <row r="24" spans="1:13" ht="20" customHeight="1">
      <c r="A24" s="35" t="str">
        <v>Mexico</v>
      </c>
      <c r="B24" s="35" t="str">
        <v>MEX</v>
      </c>
      <c r="C24" s="33">
        <f>IF($B24="","",_xlfn.XLOOKUP($B24,[1]pillars_WIP!$B$7:$B$116,[1]pillars_WIP!$P$7:$P$116,"Missing",0))</f>
        <v>53.67</v>
      </c>
      <c r="D24" s="33">
        <f>IF($B24="","",_xlfn.XLOOKUP($B24,[1]pillars_WIP!$B$7:$B$116,[1]pillars_WIP!$Q$7:$Q$116,"Missing",0))</f>
        <v>47.06</v>
      </c>
      <c r="E24" s="33">
        <f>IF($B24="","",_xlfn.XLOOKUP($B24,[1]pillars_WIP!$B$7:$B$116,[1]pillars_WIP!$R$7:$R$116,"Missing",0))</f>
        <v>51.77</v>
      </c>
      <c r="F24" s="33">
        <f>IF($B24="","",_xlfn.XLOOKUP($B24,[1]pillars_WIP!$B$7:$B$116,[1]pillars_WIP!$S$7:$S$116,"Missing",0))</f>
        <v>37.11</v>
      </c>
      <c r="G24" s="33">
        <f>IF($B24="","",_xlfn.XLOOKUP($B24,[1]pillars_WIP!$B$7:$B$116,[1]pillars_WIP!$T$7:$T$116,"Missing",0))</f>
        <v>28.81</v>
      </c>
      <c r="H24" s="11">
        <f t="shared" si="0"/>
        <v>53.67</v>
      </c>
      <c r="I24" s="11">
        <f t="shared" si="1"/>
        <v>47.06</v>
      </c>
      <c r="J24" s="11">
        <f t="shared" si="2"/>
        <v>51.77</v>
      </c>
      <c r="K24" s="11">
        <f t="shared" si="3"/>
        <v>37.11</v>
      </c>
      <c r="L24" s="11">
        <f t="shared" si="4"/>
        <v>28.81</v>
      </c>
      <c r="M24" s="12">
        <f t="shared" si="5"/>
        <v>43.258499999999998</v>
      </c>
    </row>
    <row r="25" spans="1:13" ht="20" customHeight="1">
      <c r="A25" s="35" t="str">
        <v>Mongolia</v>
      </c>
      <c r="B25" s="35" t="str">
        <v>MNG</v>
      </c>
      <c r="C25" s="33">
        <f>IF($B25="","",_xlfn.XLOOKUP($B25,[1]pillars_WIP!$B$7:$B$116,[1]pillars_WIP!$P$7:$P$116,"Missing",0))</f>
        <v>73.08</v>
      </c>
      <c r="D25" s="33">
        <f>IF($B25="","",_xlfn.XLOOKUP($B25,[1]pillars_WIP!$B$7:$B$116,[1]pillars_WIP!$Q$7:$Q$116,"Missing",0))</f>
        <v>43.77</v>
      </c>
      <c r="E25" s="33">
        <f>IF($B25="","",_xlfn.XLOOKUP($B25,[1]pillars_WIP!$B$7:$B$116,[1]pillars_WIP!$R$7:$R$116,"Missing",0))</f>
        <v>53.75</v>
      </c>
      <c r="F25" s="33">
        <f>IF($B25="","",_xlfn.XLOOKUP($B25,[1]pillars_WIP!$B$7:$B$116,[1]pillars_WIP!$S$7:$S$116,"Missing",0))</f>
        <v>55.25</v>
      </c>
      <c r="G25" s="33">
        <f>IF($B25="","",_xlfn.XLOOKUP($B25,[1]pillars_WIP!$B$7:$B$116,[1]pillars_WIP!$T$7:$T$116,"Missing",0))</f>
        <v>38.020000000000003</v>
      </c>
      <c r="H25" s="11">
        <f t="shared" si="0"/>
        <v>73.08</v>
      </c>
      <c r="I25" s="11">
        <f t="shared" si="1"/>
        <v>43.77</v>
      </c>
      <c r="J25" s="11">
        <f t="shared" si="2"/>
        <v>53.75</v>
      </c>
      <c r="K25" s="11">
        <f t="shared" si="3"/>
        <v>55.25</v>
      </c>
      <c r="L25" s="11">
        <f t="shared" si="4"/>
        <v>38.020000000000003</v>
      </c>
      <c r="M25" s="12">
        <f t="shared" si="5"/>
        <v>50.341999999999999</v>
      </c>
    </row>
    <row r="26" spans="1:13" ht="20" customHeight="1">
      <c r="A26" s="35" t="str">
        <v>Morocco</v>
      </c>
      <c r="B26" s="35" t="str">
        <v>MAR</v>
      </c>
      <c r="C26" s="33">
        <f>IF($B26="","",_xlfn.XLOOKUP($B26,[1]pillars_WIP!$B$7:$B$116,[1]pillars_WIP!$P$7:$P$116,"Missing",0))</f>
        <v>58.36</v>
      </c>
      <c r="D26" s="33">
        <f>IF($B26="","",_xlfn.XLOOKUP($B26,[1]pillars_WIP!$B$7:$B$116,[1]pillars_WIP!$Q$7:$Q$116,"Missing",0))</f>
        <v>54.77</v>
      </c>
      <c r="E26" s="33">
        <f>IF($B26="","",_xlfn.XLOOKUP($B26,[1]pillars_WIP!$B$7:$B$116,[1]pillars_WIP!$R$7:$R$116,"Missing",0))</f>
        <v>54.44</v>
      </c>
      <c r="F26" s="33">
        <f>IF($B26="","",_xlfn.XLOOKUP($B26,[1]pillars_WIP!$B$7:$B$116,[1]pillars_WIP!$S$7:$S$116,"Missing",0))</f>
        <v>50.63</v>
      </c>
      <c r="G26" s="33">
        <f>IF($B26="","",_xlfn.XLOOKUP($B26,[1]pillars_WIP!$B$7:$B$116,[1]pillars_WIP!$T$7:$T$116,"Missing",0))</f>
        <v>37.36</v>
      </c>
      <c r="H26" s="11">
        <f t="shared" si="0"/>
        <v>58.36</v>
      </c>
      <c r="I26" s="11">
        <f t="shared" si="1"/>
        <v>54.77</v>
      </c>
      <c r="J26" s="11">
        <f t="shared" si="2"/>
        <v>54.44</v>
      </c>
      <c r="K26" s="11">
        <f t="shared" si="3"/>
        <v>50.63</v>
      </c>
      <c r="L26" s="11">
        <f t="shared" si="4"/>
        <v>37.36</v>
      </c>
      <c r="M26" s="12">
        <f t="shared" si="5"/>
        <v>50.736499999999999</v>
      </c>
    </row>
    <row r="27" spans="1:13" ht="20" customHeight="1">
      <c r="A27" s="35" t="str">
        <v>North Korea</v>
      </c>
      <c r="B27" s="35" t="str">
        <v>PRK</v>
      </c>
      <c r="C27" s="33">
        <f>IF($B27="","",_xlfn.XLOOKUP($B27,[1]pillars_WIP!$B$7:$B$116,[1]pillars_WIP!$P$7:$P$116,"Missing",0))</f>
        <v>71.400000000000006</v>
      </c>
      <c r="D27" s="33">
        <f>IF($B27="","",_xlfn.XLOOKUP($B27,[1]pillars_WIP!$B$7:$B$116,[1]pillars_WIP!$Q$7:$Q$116,"Missing",0))</f>
        <v>26.62</v>
      </c>
      <c r="E27" s="33">
        <f>IF($B27="","",_xlfn.XLOOKUP($B27,[1]pillars_WIP!$B$7:$B$116,[1]pillars_WIP!$R$7:$R$116,"Missing",0))</f>
        <v>25.3</v>
      </c>
      <c r="F27" s="33">
        <f>IF($B27="","",_xlfn.XLOOKUP($B27,[1]pillars_WIP!$B$7:$B$116,[1]pillars_WIP!$S$7:$S$116,"Missing",0))</f>
        <v>30.71</v>
      </c>
      <c r="G27" s="33">
        <f>IF($B27="","",_xlfn.XLOOKUP($B27,[1]pillars_WIP!$B$7:$B$116,[1]pillars_WIP!$T$7:$T$116,"Missing",0))</f>
        <v>16.329999999999998</v>
      </c>
      <c r="H27" s="11">
        <f t="shared" si="0"/>
        <v>71.400000000000006</v>
      </c>
      <c r="I27" s="11">
        <f t="shared" si="1"/>
        <v>26.62</v>
      </c>
      <c r="J27" s="11">
        <f t="shared" si="2"/>
        <v>25.3</v>
      </c>
      <c r="K27" s="11">
        <f t="shared" si="3"/>
        <v>30.71</v>
      </c>
      <c r="L27" s="11">
        <f t="shared" si="4"/>
        <v>16.329999999999998</v>
      </c>
      <c r="M27" s="12">
        <f t="shared" si="5"/>
        <v>29.527999999999999</v>
      </c>
    </row>
    <row r="28" spans="1:13" ht="20" customHeight="1">
      <c r="A28" s="35" t="str">
        <v>Pakistan</v>
      </c>
      <c r="B28" s="35" t="str">
        <v>PAK</v>
      </c>
      <c r="C28" s="33">
        <f>IF($B28="","",_xlfn.XLOOKUP($B28,[1]pillars_WIP!$B$7:$B$116,[1]pillars_WIP!$P$7:$P$116,"Missing",0))</f>
        <v>30.65</v>
      </c>
      <c r="D28" s="33">
        <f>IF($B28="","",_xlfn.XLOOKUP($B28,[1]pillars_WIP!$B$7:$B$116,[1]pillars_WIP!$Q$7:$Q$116,"Missing",0))</f>
        <v>39.67</v>
      </c>
      <c r="E28" s="33">
        <f>IF($B28="","",_xlfn.XLOOKUP($B28,[1]pillars_WIP!$B$7:$B$116,[1]pillars_WIP!$R$7:$R$116,"Missing",0))</f>
        <v>42.36</v>
      </c>
      <c r="F28" s="33">
        <f>IF($B28="","",_xlfn.XLOOKUP($B28,[1]pillars_WIP!$B$7:$B$116,[1]pillars_WIP!$S$7:$S$116,"Missing",0))</f>
        <v>39.46</v>
      </c>
      <c r="G28" s="33">
        <f>IF($B28="","",_xlfn.XLOOKUP($B28,[1]pillars_WIP!$B$7:$B$116,[1]pillars_WIP!$T$7:$T$116,"Missing",0))</f>
        <v>26.28</v>
      </c>
      <c r="H28" s="11">
        <f t="shared" si="0"/>
        <v>30.65</v>
      </c>
      <c r="I28" s="11">
        <f t="shared" si="1"/>
        <v>39.67</v>
      </c>
      <c r="J28" s="11">
        <f t="shared" si="2"/>
        <v>42.36</v>
      </c>
      <c r="K28" s="11">
        <f t="shared" si="3"/>
        <v>39.46</v>
      </c>
      <c r="L28" s="11">
        <f t="shared" si="4"/>
        <v>26.28</v>
      </c>
      <c r="M28" s="12">
        <f t="shared" si="5"/>
        <v>36.720500000000001</v>
      </c>
    </row>
    <row r="29" spans="1:13" ht="20" customHeight="1">
      <c r="A29" s="35" t="str">
        <v>Philippines</v>
      </c>
      <c r="B29" s="35" t="str">
        <v>PHL</v>
      </c>
      <c r="C29" s="33">
        <f>IF($B29="","",_xlfn.XLOOKUP($B29,[1]pillars_WIP!$B$7:$B$116,[1]pillars_WIP!$P$7:$P$116,"Missing",0))</f>
        <v>52.67</v>
      </c>
      <c r="D29" s="33">
        <f>IF($B29="","",_xlfn.XLOOKUP($B29,[1]pillars_WIP!$B$7:$B$116,[1]pillars_WIP!$Q$7:$Q$116,"Missing",0))</f>
        <v>54.15</v>
      </c>
      <c r="E29" s="33">
        <f>IF($B29="","",_xlfn.XLOOKUP($B29,[1]pillars_WIP!$B$7:$B$116,[1]pillars_WIP!$R$7:$R$116,"Missing",0))</f>
        <v>56.11</v>
      </c>
      <c r="F29" s="33">
        <f>IF($B29="","",_xlfn.XLOOKUP($B29,[1]pillars_WIP!$B$7:$B$116,[1]pillars_WIP!$S$7:$S$116,"Missing",0))</f>
        <v>47.09</v>
      </c>
      <c r="G29" s="33">
        <f>IF($B29="","",_xlfn.XLOOKUP($B29,[1]pillars_WIP!$B$7:$B$116,[1]pillars_WIP!$T$7:$T$116,"Missing",0))</f>
        <v>36.18</v>
      </c>
      <c r="H29" s="11">
        <f t="shared" si="0"/>
        <v>52.67</v>
      </c>
      <c r="I29" s="11">
        <f t="shared" si="1"/>
        <v>54.15</v>
      </c>
      <c r="J29" s="11">
        <f t="shared" si="2"/>
        <v>56.11</v>
      </c>
      <c r="K29" s="11">
        <f t="shared" si="3"/>
        <v>47.09</v>
      </c>
      <c r="L29" s="11">
        <f t="shared" si="4"/>
        <v>36.18</v>
      </c>
      <c r="M29" s="12">
        <f t="shared" si="5"/>
        <v>49.486000000000004</v>
      </c>
    </row>
    <row r="30" spans="1:13" ht="20" customHeight="1">
      <c r="A30" s="35" t="str">
        <v>Poland</v>
      </c>
      <c r="B30" s="35" t="str">
        <v>POL</v>
      </c>
      <c r="C30" s="33">
        <f>IF($B30="","",_xlfn.XLOOKUP($B30,[1]pillars_WIP!$B$7:$B$116,[1]pillars_WIP!$P$7:$P$116,"Missing",0))</f>
        <v>74.41</v>
      </c>
      <c r="D30" s="33">
        <f>IF($B30="","",_xlfn.XLOOKUP($B30,[1]pillars_WIP!$B$7:$B$116,[1]pillars_WIP!$Q$7:$Q$116,"Missing",0))</f>
        <v>64.430000000000007</v>
      </c>
      <c r="E30" s="33">
        <f>IF($B30="","",_xlfn.XLOOKUP($B30,[1]pillars_WIP!$B$7:$B$116,[1]pillars_WIP!$R$7:$R$116,"Missing",0))</f>
        <v>65.680000000000007</v>
      </c>
      <c r="F30" s="33">
        <f>IF($B30="","",_xlfn.XLOOKUP($B30,[1]pillars_WIP!$B$7:$B$116,[1]pillars_WIP!$S$7:$S$116,"Missing",0))</f>
        <v>66.89</v>
      </c>
      <c r="G30" s="33">
        <f>IF($B30="","",_xlfn.XLOOKUP($B30,[1]pillars_WIP!$B$7:$B$116,[1]pillars_WIP!$T$7:$T$116,"Missing",0))</f>
        <v>63.93</v>
      </c>
      <c r="H30" s="11">
        <f t="shared" si="0"/>
        <v>74.41</v>
      </c>
      <c r="I30" s="11">
        <f t="shared" si="1"/>
        <v>64.430000000000007</v>
      </c>
      <c r="J30" s="11">
        <f t="shared" si="2"/>
        <v>65.680000000000007</v>
      </c>
      <c r="K30" s="11">
        <f t="shared" si="3"/>
        <v>66.89</v>
      </c>
      <c r="L30" s="11">
        <f t="shared" si="4"/>
        <v>63.93</v>
      </c>
      <c r="M30" s="12">
        <f t="shared" si="5"/>
        <v>66.132500000000007</v>
      </c>
    </row>
    <row r="31" spans="1:13" ht="20" customHeight="1">
      <c r="A31" s="35" t="str">
        <v>Russia</v>
      </c>
      <c r="B31" s="35" t="str">
        <v>RUS</v>
      </c>
      <c r="C31" s="33">
        <f>IF($B31="","",_xlfn.XLOOKUP($B31,[1]pillars_WIP!$B$7:$B$116,[1]pillars_WIP!$P$7:$P$116,"Missing",0))</f>
        <v>50.46</v>
      </c>
      <c r="D31" s="33">
        <f>IF($B31="","",_xlfn.XLOOKUP($B31,[1]pillars_WIP!$B$7:$B$116,[1]pillars_WIP!$Q$7:$Q$116,"Missing",0))</f>
        <v>45.09</v>
      </c>
      <c r="E31" s="33">
        <f>IF($B31="","",_xlfn.XLOOKUP($B31,[1]pillars_WIP!$B$7:$B$116,[1]pillars_WIP!$R$7:$R$116,"Missing",0))</f>
        <v>38.01</v>
      </c>
      <c r="F31" s="33">
        <f>IF($B31="","",_xlfn.XLOOKUP($B31,[1]pillars_WIP!$B$7:$B$116,[1]pillars_WIP!$S$7:$S$116,"Missing",0))</f>
        <v>37.06</v>
      </c>
      <c r="G31" s="33">
        <f>IF($B31="","",_xlfn.XLOOKUP($B31,[1]pillars_WIP!$B$7:$B$116,[1]pillars_WIP!$T$7:$T$116,"Missing",0))</f>
        <v>29.82</v>
      </c>
      <c r="H31" s="11">
        <f t="shared" si="0"/>
        <v>50.46</v>
      </c>
      <c r="I31" s="11">
        <f t="shared" si="1"/>
        <v>45.09</v>
      </c>
      <c r="J31" s="11">
        <f t="shared" si="2"/>
        <v>38.01</v>
      </c>
      <c r="K31" s="11">
        <f t="shared" si="3"/>
        <v>37.06</v>
      </c>
      <c r="L31" s="11">
        <f t="shared" si="4"/>
        <v>29.82</v>
      </c>
      <c r="M31" s="12">
        <f t="shared" si="5"/>
        <v>39.196999999999996</v>
      </c>
    </row>
    <row r="32" spans="1:13" ht="20" customHeight="1">
      <c r="A32" s="35" t="str">
        <v>Serbia</v>
      </c>
      <c r="B32" s="35" t="str">
        <v>SRB</v>
      </c>
      <c r="C32" s="33">
        <f>IF($B32="","",_xlfn.XLOOKUP($B32,[1]pillars_WIP!$B$7:$B$116,[1]pillars_WIP!$P$7:$P$116,"Missing",0))</f>
        <v>63.01</v>
      </c>
      <c r="D32" s="33">
        <f>IF($B32="","",_xlfn.XLOOKUP($B32,[1]pillars_WIP!$B$7:$B$116,[1]pillars_WIP!$Q$7:$Q$116,"Missing",0))</f>
        <v>53.32</v>
      </c>
      <c r="E32" s="33">
        <f>IF($B32="","",_xlfn.XLOOKUP($B32,[1]pillars_WIP!$B$7:$B$116,[1]pillars_WIP!$R$7:$R$116,"Missing",0))</f>
        <v>56.1</v>
      </c>
      <c r="F32" s="33">
        <f>IF($B32="","",_xlfn.XLOOKUP($B32,[1]pillars_WIP!$B$7:$B$116,[1]pillars_WIP!$S$7:$S$116,"Missing",0))</f>
        <v>53.52</v>
      </c>
      <c r="G32" s="33">
        <f>IF($B32="","",_xlfn.XLOOKUP($B32,[1]pillars_WIP!$B$7:$B$116,[1]pillars_WIP!$T$7:$T$116,"Missing",0))</f>
        <v>36.5</v>
      </c>
      <c r="H32" s="11">
        <f t="shared" si="0"/>
        <v>63.01</v>
      </c>
      <c r="I32" s="11">
        <f t="shared" si="1"/>
        <v>53.32</v>
      </c>
      <c r="J32" s="11">
        <f t="shared" si="2"/>
        <v>56.1</v>
      </c>
      <c r="K32" s="11">
        <f t="shared" si="3"/>
        <v>53.52</v>
      </c>
      <c r="L32" s="11">
        <f t="shared" si="4"/>
        <v>36.5</v>
      </c>
      <c r="M32" s="12">
        <f t="shared" si="5"/>
        <v>51.66</v>
      </c>
    </row>
    <row r="33" spans="1:13" ht="20" customHeight="1">
      <c r="A33" s="35" t="str">
        <v>South Africa</v>
      </c>
      <c r="B33" s="35" t="str">
        <v>ZAF</v>
      </c>
      <c r="C33" s="33">
        <f>IF($B33="","",_xlfn.XLOOKUP($B33,[1]pillars_WIP!$B$7:$B$116,[1]pillars_WIP!$P$7:$P$116,"Missing",0))</f>
        <v>55.35</v>
      </c>
      <c r="D33" s="33">
        <f>IF($B33="","",_xlfn.XLOOKUP($B33,[1]pillars_WIP!$B$7:$B$116,[1]pillars_WIP!$Q$7:$Q$116,"Missing",0))</f>
        <v>46.95</v>
      </c>
      <c r="E33" s="33">
        <f>IF($B33="","",_xlfn.XLOOKUP($B33,[1]pillars_WIP!$B$7:$B$116,[1]pillars_WIP!$R$7:$R$116,"Missing",0))</f>
        <v>53.91</v>
      </c>
      <c r="F33" s="33">
        <f>IF($B33="","",_xlfn.XLOOKUP($B33,[1]pillars_WIP!$B$7:$B$116,[1]pillars_WIP!$S$7:$S$116,"Missing",0))</f>
        <v>57.27</v>
      </c>
      <c r="G33" s="33">
        <f>IF($B33="","",_xlfn.XLOOKUP($B33,[1]pillars_WIP!$B$7:$B$116,[1]pillars_WIP!$T$7:$T$116,"Missing",0))</f>
        <v>43.97</v>
      </c>
      <c r="H33" s="11">
        <f t="shared" si="0"/>
        <v>55.35</v>
      </c>
      <c r="I33" s="11">
        <f t="shared" si="1"/>
        <v>46.95</v>
      </c>
      <c r="J33" s="11">
        <f t="shared" si="2"/>
        <v>53.91</v>
      </c>
      <c r="K33" s="11">
        <f t="shared" si="3"/>
        <v>57.27</v>
      </c>
      <c r="L33" s="11">
        <f t="shared" si="4"/>
        <v>43.97</v>
      </c>
      <c r="M33" s="12">
        <f t="shared" si="5"/>
        <v>50.998000000000005</v>
      </c>
    </row>
    <row r="34" spans="1:13" ht="20" customHeight="1">
      <c r="A34" s="35" t="str">
        <v>South Korea</v>
      </c>
      <c r="B34" s="35" t="str">
        <v>KOR</v>
      </c>
      <c r="C34" s="33">
        <f>IF($B34="","",_xlfn.XLOOKUP($B34,[1]pillars_WIP!$B$7:$B$116,[1]pillars_WIP!$P$7:$P$116,"Missing",0))</f>
        <v>76.819999999999993</v>
      </c>
      <c r="D34" s="33">
        <f>IF($B34="","",_xlfn.XLOOKUP($B34,[1]pillars_WIP!$B$7:$B$116,[1]pillars_WIP!$Q$7:$Q$116,"Missing",0))</f>
        <v>80.25</v>
      </c>
      <c r="E34" s="33">
        <f>IF($B34="","",_xlfn.XLOOKUP($B34,[1]pillars_WIP!$B$7:$B$116,[1]pillars_WIP!$R$7:$R$116,"Missing",0))</f>
        <v>70.849999999999994</v>
      </c>
      <c r="F34" s="33">
        <f>IF($B34="","",_xlfn.XLOOKUP($B34,[1]pillars_WIP!$B$7:$B$116,[1]pillars_WIP!$S$7:$S$116,"Missing",0))</f>
        <v>76.2</v>
      </c>
      <c r="G34" s="33">
        <f>IF($B34="","",_xlfn.XLOOKUP($B34,[1]pillars_WIP!$B$7:$B$116,[1]pillars_WIP!$T$7:$T$116,"Missing",0))</f>
        <v>65.05</v>
      </c>
      <c r="H34" s="11">
        <f t="shared" si="0"/>
        <v>76.819999999999993</v>
      </c>
      <c r="I34" s="11">
        <f t="shared" si="1"/>
        <v>80.25</v>
      </c>
      <c r="J34" s="11">
        <f t="shared" si="2"/>
        <v>70.849999999999994</v>
      </c>
      <c r="K34" s="11">
        <f t="shared" si="3"/>
        <v>76.2</v>
      </c>
      <c r="L34" s="11">
        <f t="shared" si="4"/>
        <v>65.05</v>
      </c>
      <c r="M34" s="12">
        <f t="shared" si="5"/>
        <v>73.706999999999994</v>
      </c>
    </row>
    <row r="35" spans="1:13" ht="20" customHeight="1">
      <c r="A35" s="35" t="str">
        <v>Sri Lanka</v>
      </c>
      <c r="B35" s="35" t="str">
        <v>LKA</v>
      </c>
      <c r="C35" s="33">
        <f>IF($B35="","",_xlfn.XLOOKUP($B35,[1]pillars_WIP!$B$7:$B$116,[1]pillars_WIP!$P$7:$P$116,"Missing",0))</f>
        <v>59.91</v>
      </c>
      <c r="D35" s="33">
        <f>IF($B35="","",_xlfn.XLOOKUP($B35,[1]pillars_WIP!$B$7:$B$116,[1]pillars_WIP!$Q$7:$Q$116,"Missing",0))</f>
        <v>46</v>
      </c>
      <c r="E35" s="33">
        <f>IF($B35="","",_xlfn.XLOOKUP($B35,[1]pillars_WIP!$B$7:$B$116,[1]pillars_WIP!$R$7:$R$116,"Missing",0))</f>
        <v>50.14</v>
      </c>
      <c r="F35" s="33">
        <f>IF($B35="","",_xlfn.XLOOKUP($B35,[1]pillars_WIP!$B$7:$B$116,[1]pillars_WIP!$S$7:$S$116,"Missing",0))</f>
        <v>52.53</v>
      </c>
      <c r="G35" s="33">
        <f>IF($B35="","",_xlfn.XLOOKUP($B35,[1]pillars_WIP!$B$7:$B$116,[1]pillars_WIP!$T$7:$T$116,"Missing",0))</f>
        <v>40.07</v>
      </c>
      <c r="H35" s="11">
        <f t="shared" si="0"/>
        <v>59.91</v>
      </c>
      <c r="I35" s="11">
        <f t="shared" si="1"/>
        <v>46</v>
      </c>
      <c r="J35" s="11">
        <f t="shared" si="2"/>
        <v>50.14</v>
      </c>
      <c r="K35" s="11">
        <f t="shared" si="3"/>
        <v>52.53</v>
      </c>
      <c r="L35" s="11">
        <f t="shared" si="4"/>
        <v>40.07</v>
      </c>
      <c r="M35" s="12">
        <f t="shared" si="5"/>
        <v>48.545999999999999</v>
      </c>
    </row>
    <row r="36" spans="1:13" ht="20" customHeight="1">
      <c r="A36" s="35" t="str">
        <v>Taiwan, China</v>
      </c>
      <c r="B36" s="35" t="str">
        <v>TWN</v>
      </c>
      <c r="C36" s="33">
        <f>IF($B36="","",_xlfn.XLOOKUP($B36,[1]pillars_WIP!$B$7:$B$116,[1]pillars_WIP!$P$7:$P$116,"Missing",0))</f>
        <v>81.55</v>
      </c>
      <c r="D36" s="33">
        <f>IF($B36="","",_xlfn.XLOOKUP($B36,[1]pillars_WIP!$B$7:$B$116,[1]pillars_WIP!$Q$7:$Q$116,"Missing",0))</f>
        <v>80.41</v>
      </c>
      <c r="E36" s="33">
        <f>IF($B36="","",_xlfn.XLOOKUP($B36,[1]pillars_WIP!$B$7:$B$116,[1]pillars_WIP!$R$7:$R$116,"Missing",0))</f>
        <v>75.290000000000006</v>
      </c>
      <c r="F36" s="33">
        <f>IF($B36="","",_xlfn.XLOOKUP($B36,[1]pillars_WIP!$B$7:$B$116,[1]pillars_WIP!$S$7:$S$116,"Missing",0))</f>
        <v>79.13</v>
      </c>
      <c r="G36" s="33">
        <f>IF($B36="","",_xlfn.XLOOKUP($B36,[1]pillars_WIP!$B$7:$B$116,[1]pillars_WIP!$T$7:$T$116,"Missing",0))</f>
        <v>71.8</v>
      </c>
      <c r="H36" s="11">
        <f t="shared" si="0"/>
        <v>81.55</v>
      </c>
      <c r="I36" s="11">
        <f t="shared" si="1"/>
        <v>80.41</v>
      </c>
      <c r="J36" s="11">
        <f t="shared" si="2"/>
        <v>75.290000000000006</v>
      </c>
      <c r="K36" s="11">
        <f t="shared" si="3"/>
        <v>79.13</v>
      </c>
      <c r="L36" s="11">
        <f t="shared" si="4"/>
        <v>71.8</v>
      </c>
      <c r="M36" s="12">
        <f t="shared" si="5"/>
        <v>77.265999999999991</v>
      </c>
    </row>
    <row r="37" spans="1:13" ht="20" customHeight="1">
      <c r="A37" s="35" t="str">
        <v>Thailand</v>
      </c>
      <c r="B37" s="35" t="str">
        <v>THA</v>
      </c>
      <c r="C37" s="33">
        <f>IF($B37="","",_xlfn.XLOOKUP($B37,[1]pillars_WIP!$B$7:$B$116,[1]pillars_WIP!$P$7:$P$116,"Missing",0))</f>
        <v>54.22</v>
      </c>
      <c r="D37" s="33">
        <f>IF($B37="","",_xlfn.XLOOKUP($B37,[1]pillars_WIP!$B$7:$B$116,[1]pillars_WIP!$Q$7:$Q$116,"Missing",0))</f>
        <v>56.27</v>
      </c>
      <c r="E37" s="33">
        <f>IF($B37="","",_xlfn.XLOOKUP($B37,[1]pillars_WIP!$B$7:$B$116,[1]pillars_WIP!$R$7:$R$116,"Missing",0))</f>
        <v>56.54</v>
      </c>
      <c r="F37" s="33">
        <f>IF($B37="","",_xlfn.XLOOKUP($B37,[1]pillars_WIP!$B$7:$B$116,[1]pillars_WIP!$S$7:$S$116,"Missing",0))</f>
        <v>53.26</v>
      </c>
      <c r="G37" s="33">
        <f>IF($B37="","",_xlfn.XLOOKUP($B37,[1]pillars_WIP!$B$7:$B$116,[1]pillars_WIP!$T$7:$T$116,"Missing",0))</f>
        <v>37.18</v>
      </c>
      <c r="H37" s="11">
        <f t="shared" si="0"/>
        <v>54.22</v>
      </c>
      <c r="I37" s="11">
        <f t="shared" si="1"/>
        <v>56.27</v>
      </c>
      <c r="J37" s="11">
        <f t="shared" si="2"/>
        <v>56.54</v>
      </c>
      <c r="K37" s="11">
        <f t="shared" si="3"/>
        <v>53.26</v>
      </c>
      <c r="L37" s="11">
        <f t="shared" si="4"/>
        <v>37.18</v>
      </c>
      <c r="M37" s="12">
        <f t="shared" si="5"/>
        <v>51.712499999999999</v>
      </c>
    </row>
    <row r="38" spans="1:13" ht="20" customHeight="1">
      <c r="A38" s="35" t="str">
        <v>Türkiye</v>
      </c>
      <c r="B38" s="35" t="str">
        <v>TUR</v>
      </c>
      <c r="C38" s="33">
        <f>IF($B38="","",_xlfn.XLOOKUP($B38,[1]pillars_WIP!$B$7:$B$116,[1]pillars_WIP!$P$7:$P$116,"Missing",0))</f>
        <v>49.31</v>
      </c>
      <c r="D38" s="33">
        <f>IF($B38="","",_xlfn.XLOOKUP($B38,[1]pillars_WIP!$B$7:$B$116,[1]pillars_WIP!$Q$7:$Q$116,"Missing",0))</f>
        <v>49.97</v>
      </c>
      <c r="E38" s="33">
        <f>IF($B38="","",_xlfn.XLOOKUP($B38,[1]pillars_WIP!$B$7:$B$116,[1]pillars_WIP!$R$7:$R$116,"Missing",0))</f>
        <v>51.53</v>
      </c>
      <c r="F38" s="33">
        <f>IF($B38="","",_xlfn.XLOOKUP($B38,[1]pillars_WIP!$B$7:$B$116,[1]pillars_WIP!$S$7:$S$116,"Missing",0))</f>
        <v>42.45</v>
      </c>
      <c r="G38" s="33">
        <f>IF($B38="","",_xlfn.XLOOKUP($B38,[1]pillars_WIP!$B$7:$B$116,[1]pillars_WIP!$T$7:$T$116,"Missing",0))</f>
        <v>36.450000000000003</v>
      </c>
      <c r="H38" s="11">
        <f t="shared" si="0"/>
        <v>49.31</v>
      </c>
      <c r="I38" s="11">
        <f t="shared" si="1"/>
        <v>49.97</v>
      </c>
      <c r="J38" s="11">
        <f t="shared" si="2"/>
        <v>51.53</v>
      </c>
      <c r="K38" s="11">
        <f t="shared" si="3"/>
        <v>42.45</v>
      </c>
      <c r="L38" s="11">
        <f t="shared" si="4"/>
        <v>36.450000000000003</v>
      </c>
      <c r="M38" s="12">
        <f t="shared" si="5"/>
        <v>46.085999999999999</v>
      </c>
    </row>
    <row r="39" spans="1:13" ht="20" customHeight="1">
      <c r="A39" s="35" t="str">
        <v>United States</v>
      </c>
      <c r="B39" s="35" t="str">
        <v>USA</v>
      </c>
      <c r="C39" s="33">
        <f>IF($B39="","",_xlfn.XLOOKUP($B39,[1]pillars_WIP!$B$7:$B$116,[1]pillars_WIP!$P$7:$P$116,"Missing",0))</f>
        <v>64.27</v>
      </c>
      <c r="D39" s="33">
        <f>IF($B39="","",_xlfn.XLOOKUP($B39,[1]pillars_WIP!$B$7:$B$116,[1]pillars_WIP!$Q$7:$Q$116,"Missing",0))</f>
        <v>77.78</v>
      </c>
      <c r="E39" s="33">
        <f>IF($B39="","",_xlfn.XLOOKUP($B39,[1]pillars_WIP!$B$7:$B$116,[1]pillars_WIP!$R$7:$R$116,"Missing",0))</f>
        <v>76.19</v>
      </c>
      <c r="F39" s="33">
        <f>IF($B39="","",_xlfn.XLOOKUP($B39,[1]pillars_WIP!$B$7:$B$116,[1]pillars_WIP!$S$7:$S$116,"Missing",0))</f>
        <v>73.52</v>
      </c>
      <c r="G39" s="33">
        <f>IF($B39="","",_xlfn.XLOOKUP($B39,[1]pillars_WIP!$B$7:$B$116,[1]pillars_WIP!$T$7:$T$116,"Missing",0))</f>
        <v>69.86</v>
      </c>
      <c r="H39" s="11">
        <f t="shared" si="0"/>
        <v>64.27</v>
      </c>
      <c r="I39" s="11">
        <f t="shared" si="1"/>
        <v>77.78</v>
      </c>
      <c r="J39" s="11">
        <f t="shared" si="2"/>
        <v>76.19</v>
      </c>
      <c r="K39" s="11">
        <f t="shared" si="3"/>
        <v>73.52</v>
      </c>
      <c r="L39" s="11">
        <f t="shared" si="4"/>
        <v>69.86</v>
      </c>
      <c r="M39" s="12">
        <f t="shared" si="5"/>
        <v>73.595500000000001</v>
      </c>
    </row>
    <row r="40" spans="1:13" ht="20" customHeight="1">
      <c r="A40" s="35" t="str">
        <v>Vietnam</v>
      </c>
      <c r="B40" s="35" t="str">
        <v>VNM</v>
      </c>
      <c r="C40" s="33">
        <f>IF($B40="","",_xlfn.XLOOKUP($B40,[1]pillars_WIP!$B$7:$B$116,[1]pillars_WIP!$P$7:$P$116,"Missing",0))</f>
        <v>65.989999999999995</v>
      </c>
      <c r="D40" s="33">
        <f>IF($B40="","",_xlfn.XLOOKUP($B40,[1]pillars_WIP!$B$7:$B$116,[1]pillars_WIP!$Q$7:$Q$116,"Missing",0))</f>
        <v>49.55</v>
      </c>
      <c r="E40" s="33">
        <f>IF($B40="","",_xlfn.XLOOKUP($B40,[1]pillars_WIP!$B$7:$B$116,[1]pillars_WIP!$R$7:$R$116,"Missing",0))</f>
        <v>50.65</v>
      </c>
      <c r="F40" s="33">
        <f>IF($B40="","",_xlfn.XLOOKUP($B40,[1]pillars_WIP!$B$7:$B$116,[1]pillars_WIP!$S$7:$S$116,"Missing",0))</f>
        <v>51.56</v>
      </c>
      <c r="G40" s="33">
        <f>IF($B40="","",_xlfn.XLOOKUP($B40,[1]pillars_WIP!$B$7:$B$116,[1]pillars_WIP!$T$7:$T$116,"Missing",0))</f>
        <v>42.76</v>
      </c>
      <c r="H40" s="11">
        <f t="shared" si="0"/>
        <v>65.989999999999995</v>
      </c>
      <c r="I40" s="11">
        <f t="shared" si="1"/>
        <v>49.55</v>
      </c>
      <c r="J40" s="11">
        <f t="shared" si="2"/>
        <v>50.65</v>
      </c>
      <c r="K40" s="11">
        <f t="shared" si="3"/>
        <v>51.56</v>
      </c>
      <c r="L40" s="11">
        <f t="shared" si="4"/>
        <v>42.76</v>
      </c>
      <c r="M40" s="12">
        <f t="shared" si="5"/>
        <v>50.512999999999998</v>
      </c>
    </row>
    <row r="41" spans="1:13" s="57" customFormat="1" ht="20" customHeight="1">
      <c r="A41" s="45"/>
      <c r="B41" s="45"/>
      <c r="C41" s="56"/>
      <c r="D41" s="56"/>
      <c r="E41" s="56"/>
      <c r="F41" s="56"/>
      <c r="G41" s="56"/>
      <c r="H41" s="49"/>
      <c r="I41" s="49"/>
      <c r="J41" s="49"/>
      <c r="K41" s="49"/>
      <c r="L41" s="49"/>
      <c r="M41" s="50"/>
    </row>
    <row r="42" spans="1:13" ht="20" customHeight="1">
      <c r="A42" s="10"/>
      <c r="B42" s="10"/>
      <c r="C42" s="27"/>
      <c r="D42" s="27"/>
      <c r="E42" s="27"/>
      <c r="F42" s="27"/>
      <c r="G42" s="27"/>
      <c r="H42" s="11"/>
      <c r="I42" s="11"/>
      <c r="J42" s="11"/>
      <c r="K42" s="11"/>
      <c r="L42" s="11"/>
      <c r="M42" s="12"/>
    </row>
    <row r="43" spans="1:13" ht="20" hidden="1" customHeight="1">
      <c r="A43" s="78" t="s">
        <v>706</v>
      </c>
      <c r="B43" s="78"/>
      <c r="C43" s="27"/>
      <c r="D43" s="27"/>
      <c r="E43" s="27"/>
      <c r="F43" s="27"/>
      <c r="G43" s="27"/>
      <c r="H43" s="11"/>
      <c r="I43" s="11"/>
      <c r="J43" s="11"/>
      <c r="K43" s="11"/>
      <c r="L43" s="11"/>
      <c r="M43" s="12"/>
    </row>
    <row r="44" spans="1:13" ht="20" hidden="1" customHeight="1">
      <c r="A44" s="77" t="s">
        <v>711</v>
      </c>
      <c r="B44" s="77"/>
      <c r="C44" s="27"/>
      <c r="D44" s="27"/>
      <c r="E44" s="27"/>
      <c r="F44" s="27"/>
      <c r="G44" s="27"/>
      <c r="H44" s="11"/>
      <c r="I44" s="11"/>
      <c r="J44" s="11"/>
      <c r="K44" s="11"/>
      <c r="L44" s="11"/>
      <c r="M44" s="12"/>
    </row>
    <row r="45" spans="1:13" s="109" customFormat="1" ht="20" hidden="1" customHeight="1">
      <c r="A45" s="10"/>
      <c r="B45" s="10"/>
      <c r="C45" s="27"/>
      <c r="D45" s="27"/>
      <c r="E45" s="27"/>
      <c r="F45" s="27"/>
      <c r="G45" s="27"/>
      <c r="H45" s="11"/>
      <c r="I45" s="11"/>
      <c r="J45" s="11"/>
      <c r="K45" s="11"/>
      <c r="L45" s="11"/>
      <c r="M45" s="12"/>
    </row>
    <row r="46" spans="1:13" s="109" customFormat="1" ht="20" hidden="1" customHeight="1">
      <c r="A46" s="10"/>
      <c r="B46" s="10"/>
      <c r="C46" s="27"/>
      <c r="D46" s="27"/>
      <c r="E46" s="27"/>
      <c r="F46" s="27"/>
      <c r="G46" s="27"/>
      <c r="H46" s="11"/>
      <c r="I46" s="11"/>
      <c r="J46" s="11"/>
      <c r="K46" s="11"/>
      <c r="L46" s="11"/>
      <c r="M46" s="12"/>
    </row>
    <row r="47" spans="1:13" s="109" customFormat="1" ht="20" hidden="1" customHeight="1">
      <c r="A47" s="107" t="s">
        <v>745</v>
      </c>
      <c r="B47" s="106"/>
      <c r="C47" s="27"/>
      <c r="D47" s="27"/>
      <c r="E47" s="27"/>
      <c r="F47" s="27"/>
      <c r="G47" s="27"/>
      <c r="H47" s="11"/>
      <c r="I47" s="11"/>
      <c r="J47" s="11"/>
      <c r="K47" s="11"/>
      <c r="L47" s="11"/>
      <c r="M47" s="12"/>
    </row>
    <row r="48" spans="1:13" s="109" customFormat="1" ht="20" hidden="1" customHeight="1">
      <c r="A48" s="96" t="s">
        <v>290</v>
      </c>
      <c r="B48" s="96" t="s">
        <v>291</v>
      </c>
      <c r="C48" s="71"/>
      <c r="D48" s="100">
        <v>74.69</v>
      </c>
      <c r="E48" s="71"/>
      <c r="F48" s="71"/>
      <c r="G48" s="71"/>
      <c r="H48" s="108" t="s">
        <v>722</v>
      </c>
      <c r="I48" s="93"/>
      <c r="J48" s="93"/>
      <c r="K48" s="93"/>
      <c r="L48" s="93"/>
      <c r="M48" s="93"/>
    </row>
    <row r="49" spans="1:13" s="109" customFormat="1" ht="20" hidden="1" customHeight="1">
      <c r="A49" s="96" t="s">
        <v>290</v>
      </c>
      <c r="B49" s="96" t="s">
        <v>291</v>
      </c>
      <c r="C49" s="71"/>
      <c r="D49" s="71"/>
      <c r="E49" s="100">
        <v>72.94</v>
      </c>
      <c r="F49" s="71"/>
      <c r="G49" s="71"/>
      <c r="H49" s="108" t="s">
        <v>722</v>
      </c>
      <c r="I49" s="93"/>
      <c r="J49" s="93"/>
      <c r="K49" s="93"/>
      <c r="L49" s="93"/>
      <c r="M49" s="93"/>
    </row>
    <row r="50" spans="1:13" s="109" customFormat="1" ht="20" customHeight="1">
      <c r="A50" s="10"/>
      <c r="B50" s="10"/>
      <c r="C50" s="27"/>
      <c r="D50" s="27"/>
      <c r="E50" s="27"/>
      <c r="F50" s="27"/>
      <c r="G50" s="27"/>
      <c r="H50" s="11"/>
      <c r="I50" s="11"/>
      <c r="J50" s="11"/>
      <c r="K50" s="11"/>
      <c r="L50" s="11"/>
      <c r="M50" s="12"/>
    </row>
    <row r="51" spans="1:13" s="109" customFormat="1" ht="20" customHeight="1">
      <c r="A51" s="193"/>
      <c r="B51" s="193"/>
      <c r="C51" s="27"/>
      <c r="D51" s="27"/>
      <c r="E51" s="27"/>
      <c r="F51" s="27"/>
      <c r="G51" s="27"/>
      <c r="H51" s="11"/>
      <c r="I51" s="11"/>
      <c r="J51" s="11"/>
      <c r="K51" s="11"/>
      <c r="L51" s="11"/>
      <c r="M51" s="12"/>
    </row>
    <row r="52" spans="1:13" s="109" customFormat="1" ht="20" hidden="1" customHeight="1">
      <c r="A52" s="107" t="s">
        <v>925</v>
      </c>
      <c r="B52" s="106"/>
      <c r="C52" s="106"/>
      <c r="D52" s="106"/>
      <c r="E52" s="106"/>
      <c r="F52" s="106"/>
      <c r="G52" s="106"/>
      <c r="H52" s="106"/>
      <c r="I52" s="11"/>
      <c r="J52" s="11"/>
      <c r="K52" s="11"/>
      <c r="L52" s="11"/>
      <c r="M52" s="12"/>
    </row>
    <row r="53" spans="1:13" s="109" customFormat="1" ht="20" hidden="1" customHeight="1">
      <c r="A53" s="10" t="s">
        <v>2</v>
      </c>
      <c r="B53" s="10" t="s">
        <v>443</v>
      </c>
      <c r="C53" s="189" t="s">
        <v>14</v>
      </c>
      <c r="D53" s="189" t="s">
        <v>15</v>
      </c>
      <c r="E53" s="189" t="s">
        <v>16</v>
      </c>
      <c r="F53" s="189" t="s">
        <v>17</v>
      </c>
      <c r="G53" s="189" t="s">
        <v>18</v>
      </c>
      <c r="H53" s="11" t="s">
        <v>805</v>
      </c>
      <c r="I53" s="11"/>
      <c r="J53" s="11"/>
      <c r="K53" s="11"/>
      <c r="L53" s="11"/>
      <c r="M53" s="12"/>
    </row>
    <row r="54" spans="1:13" s="109" customFormat="1" ht="20" hidden="1" customHeight="1">
      <c r="A54" s="10" t="str">
        <f>A5</f>
        <v>Australia</v>
      </c>
      <c r="B54" s="10" t="str">
        <f>B5</f>
        <v>AUS</v>
      </c>
      <c r="C54" s="195" cm="1">
        <f t="array" ref="C54">--(SUMPRODUCT(($B$48:$B$49=$B54)*(LEN($C$48:$C$49)&gt;0))&gt;0)</f>
        <v>0</v>
      </c>
      <c r="D54" s="195" cm="1">
        <f t="array" ref="D54">--(SUMPRODUCT(($B$48:$B$49=$B54)*(LEN($D$48:$D$49)&gt;0))&gt;0)</f>
        <v>0</v>
      </c>
      <c r="E54" s="195" cm="1">
        <f t="array" ref="E54">--(SUMPRODUCT(($B$48:$B$49=$B54)*(LEN($E$48:$E$49)&gt;0))&gt;0)</f>
        <v>0</v>
      </c>
      <c r="F54" s="195" cm="1">
        <f t="array" ref="F54">--(SUMPRODUCT(($B$48:$B$49=$B54)*(LEN($F$48:$F$49)&gt;0))&gt;0)</f>
        <v>0</v>
      </c>
      <c r="G54" s="195" cm="1">
        <f t="array" ref="G54">--(SUMPRODUCT(($B$48:$B$49=$B54)*(LEN($G$48:$G$49)&gt;0))&gt;0)</f>
        <v>0</v>
      </c>
      <c r="H54" s="190">
        <f>SUM(C54:G54)</f>
        <v>0</v>
      </c>
      <c r="I54" s="11"/>
      <c r="J54" s="11"/>
      <c r="K54" s="11"/>
      <c r="L54" s="11"/>
      <c r="M54" s="12"/>
    </row>
    <row r="55" spans="1:13" ht="20" hidden="1" customHeight="1">
      <c r="A55" s="10" t="str">
        <f t="shared" ref="A55:B55" si="6">A6</f>
        <v>Bangladesh</v>
      </c>
      <c r="B55" s="10" t="str">
        <f t="shared" si="6"/>
        <v>BGD</v>
      </c>
      <c r="C55" s="195" cm="1">
        <f t="array" ref="C55">--(SUMPRODUCT(($B$48:$B$49=$B55)*(LEN($C$48:$C$49)&gt;0))&gt;0)</f>
        <v>0</v>
      </c>
      <c r="D55" s="195" cm="1">
        <f t="array" ref="D55">--(SUMPRODUCT(($B$48:$B$49=$B55)*(LEN($D$48:$D$49)&gt;0))&gt;0)</f>
        <v>0</v>
      </c>
      <c r="E55" s="195" cm="1">
        <f t="array" ref="E55">--(SUMPRODUCT(($B$48:$B$49=$B55)*(LEN($E$48:$E$49)&gt;0))&gt;0)</f>
        <v>0</v>
      </c>
      <c r="F55" s="195" cm="1">
        <f t="array" ref="F55">--(SUMPRODUCT(($B$48:$B$49=$B55)*(LEN($F$48:$F$49)&gt;0))&gt;0)</f>
        <v>0</v>
      </c>
      <c r="G55" s="195" cm="1">
        <f t="array" ref="G55">--(SUMPRODUCT(($B$48:$B$49=$B55)*(LEN($G$48:$G$49)&gt;0))&gt;0)</f>
        <v>0</v>
      </c>
      <c r="H55" s="190">
        <f t="shared" ref="H55:H89" si="7">SUM(C55:G55)</f>
        <v>0</v>
      </c>
      <c r="I55" s="11"/>
      <c r="J55" s="11"/>
      <c r="K55" s="11"/>
      <c r="L55" s="11"/>
      <c r="M55" s="12"/>
    </row>
    <row r="56" spans="1:13" ht="20" hidden="1" customHeight="1">
      <c r="A56" s="10" t="str">
        <f t="shared" ref="A56:B56" si="8">A7</f>
        <v>Bosnia and Herzegovina</v>
      </c>
      <c r="B56" s="10" t="str">
        <f t="shared" si="8"/>
        <v>BIH</v>
      </c>
      <c r="C56" s="195" cm="1">
        <f t="array" ref="C56">--(SUMPRODUCT(($B$48:$B$49=$B56)*(LEN($C$48:$C$49)&gt;0))&gt;0)</f>
        <v>0</v>
      </c>
      <c r="D56" s="195" cm="1">
        <f t="array" ref="D56">--(SUMPRODUCT(($B$48:$B$49=$B56)*(LEN($D$48:$D$49)&gt;0))&gt;0)</f>
        <v>0</v>
      </c>
      <c r="E56" s="195" cm="1">
        <f t="array" ref="E56">--(SUMPRODUCT(($B$48:$B$49=$B56)*(LEN($E$48:$E$49)&gt;0))&gt;0)</f>
        <v>0</v>
      </c>
      <c r="F56" s="195" cm="1">
        <f t="array" ref="F56">--(SUMPRODUCT(($B$48:$B$49=$B56)*(LEN($F$48:$F$49)&gt;0))&gt;0)</f>
        <v>0</v>
      </c>
      <c r="G56" s="195" cm="1">
        <f t="array" ref="G56">--(SUMPRODUCT(($B$48:$B$49=$B56)*(LEN($G$48:$G$49)&gt;0))&gt;0)</f>
        <v>0</v>
      </c>
      <c r="H56" s="190">
        <f t="shared" si="7"/>
        <v>0</v>
      </c>
      <c r="I56" s="11"/>
      <c r="J56" s="11"/>
      <c r="K56" s="11"/>
      <c r="L56" s="11"/>
      <c r="M56" s="12"/>
    </row>
    <row r="57" spans="1:13" ht="20" hidden="1" customHeight="1">
      <c r="A57" s="10" t="str">
        <f t="shared" ref="A57:B57" si="9">A8</f>
        <v>Brazil</v>
      </c>
      <c r="B57" s="10" t="str">
        <f t="shared" si="9"/>
        <v>BRA</v>
      </c>
      <c r="C57" s="195" cm="1">
        <f t="array" ref="C57">--(SUMPRODUCT(($B$48:$B$49=$B57)*(LEN($C$48:$C$49)&gt;0))&gt;0)</f>
        <v>0</v>
      </c>
      <c r="D57" s="195" cm="1">
        <f t="array" ref="D57">--(SUMPRODUCT(($B$48:$B$49=$B57)*(LEN($D$48:$D$49)&gt;0))&gt;0)</f>
        <v>0</v>
      </c>
      <c r="E57" s="195" cm="1">
        <f t="array" ref="E57">--(SUMPRODUCT(($B$48:$B$49=$B57)*(LEN($E$48:$E$49)&gt;0))&gt;0)</f>
        <v>0</v>
      </c>
      <c r="F57" s="195" cm="1">
        <f t="array" ref="F57">--(SUMPRODUCT(($B$48:$B$49=$B57)*(LEN($F$48:$F$49)&gt;0))&gt;0)</f>
        <v>0</v>
      </c>
      <c r="G57" s="195" cm="1">
        <f t="array" ref="G57">--(SUMPRODUCT(($B$48:$B$49=$B57)*(LEN($G$48:$G$49)&gt;0))&gt;0)</f>
        <v>0</v>
      </c>
      <c r="H57" s="190">
        <f t="shared" si="7"/>
        <v>0</v>
      </c>
      <c r="I57" s="11"/>
      <c r="J57" s="11"/>
      <c r="K57" s="11"/>
      <c r="L57" s="11"/>
      <c r="M57" s="12"/>
    </row>
    <row r="58" spans="1:13" ht="20" hidden="1" customHeight="1">
      <c r="A58" s="10" t="str">
        <f t="shared" ref="A58:B58" si="10">A9</f>
        <v>Bulgaria</v>
      </c>
      <c r="B58" s="10" t="str">
        <f t="shared" si="10"/>
        <v>BGR</v>
      </c>
      <c r="C58" s="195" cm="1">
        <f t="array" ref="C58">--(SUMPRODUCT(($B$48:$B$49=$B58)*(LEN($C$48:$C$49)&gt;0))&gt;0)</f>
        <v>0</v>
      </c>
      <c r="D58" s="195" cm="1">
        <f t="array" ref="D58">--(SUMPRODUCT(($B$48:$B$49=$B58)*(LEN($D$48:$D$49)&gt;0))&gt;0)</f>
        <v>0</v>
      </c>
      <c r="E58" s="195" cm="1">
        <f t="array" ref="E58">--(SUMPRODUCT(($B$48:$B$49=$B58)*(LEN($E$48:$E$49)&gt;0))&gt;0)</f>
        <v>0</v>
      </c>
      <c r="F58" s="195" cm="1">
        <f t="array" ref="F58">--(SUMPRODUCT(($B$48:$B$49=$B58)*(LEN($F$48:$F$49)&gt;0))&gt;0)</f>
        <v>0</v>
      </c>
      <c r="G58" s="195" cm="1">
        <f t="array" ref="G58">--(SUMPRODUCT(($B$48:$B$49=$B58)*(LEN($G$48:$G$49)&gt;0))&gt;0)</f>
        <v>0</v>
      </c>
      <c r="H58" s="190">
        <f t="shared" si="7"/>
        <v>0</v>
      </c>
      <c r="I58" s="11"/>
      <c r="J58" s="11"/>
      <c r="K58" s="11"/>
      <c r="L58" s="11"/>
      <c r="M58" s="12"/>
    </row>
    <row r="59" spans="1:13" ht="20" hidden="1" customHeight="1">
      <c r="A59" s="10" t="str">
        <f t="shared" ref="A59:B59" si="11">A10</f>
        <v>Cambodia</v>
      </c>
      <c r="B59" s="10" t="str">
        <f t="shared" si="11"/>
        <v>KHM</v>
      </c>
      <c r="C59" s="195" cm="1">
        <f t="array" ref="C59">--(SUMPRODUCT(($B$48:$B$49=$B59)*(LEN($C$48:$C$49)&gt;0))&gt;0)</f>
        <v>0</v>
      </c>
      <c r="D59" s="195" cm="1">
        <f t="array" ref="D59">--(SUMPRODUCT(($B$48:$B$49=$B59)*(LEN($D$48:$D$49)&gt;0))&gt;0)</f>
        <v>0</v>
      </c>
      <c r="E59" s="195" cm="1">
        <f t="array" ref="E59">--(SUMPRODUCT(($B$48:$B$49=$B59)*(LEN($E$48:$E$49)&gt;0))&gt;0)</f>
        <v>0</v>
      </c>
      <c r="F59" s="195" cm="1">
        <f t="array" ref="F59">--(SUMPRODUCT(($B$48:$B$49=$B59)*(LEN($F$48:$F$49)&gt;0))&gt;0)</f>
        <v>0</v>
      </c>
      <c r="G59" s="195" cm="1">
        <f t="array" ref="G59">--(SUMPRODUCT(($B$48:$B$49=$B59)*(LEN($G$48:$G$49)&gt;0))&gt;0)</f>
        <v>0</v>
      </c>
      <c r="H59" s="190">
        <f t="shared" si="7"/>
        <v>0</v>
      </c>
      <c r="I59" s="11"/>
      <c r="J59" s="11"/>
      <c r="K59" s="11"/>
      <c r="L59" s="11"/>
      <c r="M59" s="12"/>
    </row>
    <row r="60" spans="1:13" ht="20" hidden="1" customHeight="1">
      <c r="A60" s="10" t="str">
        <f t="shared" ref="A60:B60" si="12">A11</f>
        <v>Canada</v>
      </c>
      <c r="B60" s="10" t="str">
        <f t="shared" si="12"/>
        <v>CAN</v>
      </c>
      <c r="C60" s="195" cm="1">
        <f t="array" ref="C60">--(SUMPRODUCT(($B$48:$B$49=$B60)*(LEN($C$48:$C$49)&gt;0))&gt;0)</f>
        <v>0</v>
      </c>
      <c r="D60" s="195" cm="1">
        <f t="array" ref="D60">--(SUMPRODUCT(($B$48:$B$49=$B60)*(LEN($D$48:$D$49)&gt;0))&gt;0)</f>
        <v>0</v>
      </c>
      <c r="E60" s="195" cm="1">
        <f t="array" ref="E60">--(SUMPRODUCT(($B$48:$B$49=$B60)*(LEN($E$48:$E$49)&gt;0))&gt;0)</f>
        <v>0</v>
      </c>
      <c r="F60" s="195" cm="1">
        <f t="array" ref="F60">--(SUMPRODUCT(($B$48:$B$49=$B60)*(LEN($F$48:$F$49)&gt;0))&gt;0)</f>
        <v>0</v>
      </c>
      <c r="G60" s="195" cm="1">
        <f t="array" ref="G60">--(SUMPRODUCT(($B$48:$B$49=$B60)*(LEN($G$48:$G$49)&gt;0))&gt;0)</f>
        <v>0</v>
      </c>
      <c r="H60" s="190">
        <f t="shared" si="7"/>
        <v>0</v>
      </c>
      <c r="I60" s="11"/>
      <c r="J60" s="11"/>
      <c r="K60" s="11"/>
      <c r="L60" s="11"/>
      <c r="M60" s="12"/>
    </row>
    <row r="61" spans="1:13" ht="20" hidden="1" customHeight="1">
      <c r="A61" s="10" t="str">
        <f t="shared" ref="A61:B61" si="13">A12</f>
        <v>Chile</v>
      </c>
      <c r="B61" s="10" t="str">
        <f t="shared" si="13"/>
        <v>CHL</v>
      </c>
      <c r="C61" s="195" cm="1">
        <f t="array" ref="C61">--(SUMPRODUCT(($B$48:$B$49=$B61)*(LEN($C$48:$C$49)&gt;0))&gt;0)</f>
        <v>0</v>
      </c>
      <c r="D61" s="195" cm="1">
        <f t="array" ref="D61">--(SUMPRODUCT(($B$48:$B$49=$B61)*(LEN($D$48:$D$49)&gt;0))&gt;0)</f>
        <v>0</v>
      </c>
      <c r="E61" s="195" cm="1">
        <f t="array" ref="E61">--(SUMPRODUCT(($B$48:$B$49=$B61)*(LEN($E$48:$E$49)&gt;0))&gt;0)</f>
        <v>0</v>
      </c>
      <c r="F61" s="195" cm="1">
        <f t="array" ref="F61">--(SUMPRODUCT(($B$48:$B$49=$B61)*(LEN($F$48:$F$49)&gt;0))&gt;0)</f>
        <v>0</v>
      </c>
      <c r="G61" s="195" cm="1">
        <f t="array" ref="G61">--(SUMPRODUCT(($B$48:$B$49=$B61)*(LEN($G$48:$G$49)&gt;0))&gt;0)</f>
        <v>0</v>
      </c>
      <c r="H61" s="190">
        <f t="shared" si="7"/>
        <v>0</v>
      </c>
      <c r="I61" s="11"/>
      <c r="J61" s="11"/>
      <c r="K61" s="11"/>
      <c r="L61" s="11"/>
      <c r="M61" s="12"/>
    </row>
    <row r="62" spans="1:13" ht="20" hidden="1" customHeight="1">
      <c r="A62" s="10" t="str">
        <f t="shared" ref="A62:B62" si="14">A13</f>
        <v>China</v>
      </c>
      <c r="B62" s="10" t="str">
        <f t="shared" si="14"/>
        <v>CHN</v>
      </c>
      <c r="C62" s="195" cm="1">
        <f t="array" ref="C62">--(SUMPRODUCT(($B$48:$B$49=$B62)*(LEN($C$48:$C$49)&gt;0))&gt;0)</f>
        <v>0</v>
      </c>
      <c r="D62" s="195" cm="1">
        <f t="array" ref="D62">--(SUMPRODUCT(($B$48:$B$49=$B62)*(LEN($D$48:$D$49)&gt;0))&gt;0)</f>
        <v>0</v>
      </c>
      <c r="E62" s="195" cm="1">
        <f t="array" ref="E62">--(SUMPRODUCT(($B$48:$B$49=$B62)*(LEN($E$48:$E$49)&gt;0))&gt;0)</f>
        <v>0</v>
      </c>
      <c r="F62" s="195" cm="1">
        <f t="array" ref="F62">--(SUMPRODUCT(($B$48:$B$49=$B62)*(LEN($F$48:$F$49)&gt;0))&gt;0)</f>
        <v>0</v>
      </c>
      <c r="G62" s="195" cm="1">
        <f t="array" ref="G62">--(SUMPRODUCT(($B$48:$B$49=$B62)*(LEN($G$48:$G$49)&gt;0))&gt;0)</f>
        <v>0</v>
      </c>
      <c r="H62" s="190">
        <f t="shared" si="7"/>
        <v>0</v>
      </c>
      <c r="I62" s="11"/>
      <c r="J62" s="11"/>
      <c r="K62" s="11"/>
      <c r="L62" s="11"/>
      <c r="M62" s="12"/>
    </row>
    <row r="63" spans="1:13" ht="20" hidden="1" customHeight="1">
      <c r="A63" s="10" t="str">
        <f t="shared" ref="A63:B63" si="15">A14</f>
        <v>Czech Republic</v>
      </c>
      <c r="B63" s="10" t="str">
        <f t="shared" si="15"/>
        <v>CZE</v>
      </c>
      <c r="C63" s="195" cm="1">
        <f t="array" ref="C63">--(SUMPRODUCT(($B$48:$B$49=$B63)*(LEN($C$48:$C$49)&gt;0))&gt;0)</f>
        <v>0</v>
      </c>
      <c r="D63" s="195" cm="1">
        <f t="array" ref="D63">--(SUMPRODUCT(($B$48:$B$49=$B63)*(LEN($D$48:$D$49)&gt;0))&gt;0)</f>
        <v>0</v>
      </c>
      <c r="E63" s="195" cm="1">
        <f t="array" ref="E63">--(SUMPRODUCT(($B$48:$B$49=$B63)*(LEN($E$48:$E$49)&gt;0))&gt;0)</f>
        <v>0</v>
      </c>
      <c r="F63" s="195" cm="1">
        <f t="array" ref="F63">--(SUMPRODUCT(($B$48:$B$49=$B63)*(LEN($F$48:$F$49)&gt;0))&gt;0)</f>
        <v>0</v>
      </c>
      <c r="G63" s="195" cm="1">
        <f t="array" ref="G63">--(SUMPRODUCT(($B$48:$B$49=$B63)*(LEN($G$48:$G$49)&gt;0))&gt;0)</f>
        <v>0</v>
      </c>
      <c r="H63" s="190">
        <f t="shared" si="7"/>
        <v>0</v>
      </c>
      <c r="I63" s="11"/>
      <c r="J63" s="11"/>
      <c r="K63" s="11"/>
      <c r="L63" s="11"/>
      <c r="M63" s="12"/>
    </row>
    <row r="64" spans="1:13" ht="20" hidden="1" customHeight="1">
      <c r="A64" s="10" t="str">
        <f t="shared" ref="A64:B64" si="16">A15</f>
        <v>Dominican Republic</v>
      </c>
      <c r="B64" s="10" t="str">
        <f t="shared" si="16"/>
        <v>DOM</v>
      </c>
      <c r="C64" s="195" cm="1">
        <f t="array" ref="C64">--(SUMPRODUCT(($B$48:$B$49=$B64)*(LEN($C$48:$C$49)&gt;0))&gt;0)</f>
        <v>0</v>
      </c>
      <c r="D64" s="195" cm="1">
        <f t="array" ref="D64">--(SUMPRODUCT(($B$48:$B$49=$B64)*(LEN($D$48:$D$49)&gt;0))&gt;0)</f>
        <v>0</v>
      </c>
      <c r="E64" s="195" cm="1">
        <f t="array" ref="E64">--(SUMPRODUCT(($B$48:$B$49=$B64)*(LEN($E$48:$E$49)&gt;0))&gt;0)</f>
        <v>0</v>
      </c>
      <c r="F64" s="195" cm="1">
        <f t="array" ref="F64">--(SUMPRODUCT(($B$48:$B$49=$B64)*(LEN($F$48:$F$49)&gt;0))&gt;0)</f>
        <v>0</v>
      </c>
      <c r="G64" s="195" cm="1">
        <f t="array" ref="G64">--(SUMPRODUCT(($B$48:$B$49=$B64)*(LEN($G$48:$G$49)&gt;0))&gt;0)</f>
        <v>0</v>
      </c>
      <c r="H64" s="190">
        <f t="shared" si="7"/>
        <v>0</v>
      </c>
      <c r="I64" s="11"/>
      <c r="J64" s="11"/>
      <c r="K64" s="11"/>
      <c r="L64" s="11"/>
      <c r="M64" s="12"/>
    </row>
    <row r="65" spans="1:13" ht="20" hidden="1" customHeight="1">
      <c r="A65" s="10" t="str">
        <f t="shared" ref="A65:B65" si="17">A16</f>
        <v>Germany</v>
      </c>
      <c r="B65" s="10" t="str">
        <f t="shared" si="17"/>
        <v>DEU</v>
      </c>
      <c r="C65" s="195" cm="1">
        <f t="array" ref="C65">--(SUMPRODUCT(($B$48:$B$49=$B65)*(LEN($C$48:$C$49)&gt;0))&gt;0)</f>
        <v>0</v>
      </c>
      <c r="D65" s="195" cm="1">
        <f t="array" ref="D65">--(SUMPRODUCT(($B$48:$B$49=$B65)*(LEN($D$48:$D$49)&gt;0))&gt;0)</f>
        <v>0</v>
      </c>
      <c r="E65" s="195" cm="1">
        <f t="array" ref="E65">--(SUMPRODUCT(($B$48:$B$49=$B65)*(LEN($E$48:$E$49)&gt;0))&gt;0)</f>
        <v>0</v>
      </c>
      <c r="F65" s="195" cm="1">
        <f t="array" ref="F65">--(SUMPRODUCT(($B$48:$B$49=$B65)*(LEN($F$48:$F$49)&gt;0))&gt;0)</f>
        <v>0</v>
      </c>
      <c r="G65" s="195" cm="1">
        <f t="array" ref="G65">--(SUMPRODUCT(($B$48:$B$49=$B65)*(LEN($G$48:$G$49)&gt;0))&gt;0)</f>
        <v>0</v>
      </c>
      <c r="H65" s="190">
        <f t="shared" si="7"/>
        <v>0</v>
      </c>
      <c r="I65" s="11"/>
      <c r="J65" s="11"/>
      <c r="K65" s="11"/>
      <c r="L65" s="11"/>
      <c r="M65" s="12"/>
    </row>
    <row r="66" spans="1:13" ht="20" hidden="1" customHeight="1">
      <c r="A66" s="10" t="str">
        <f t="shared" ref="A66:B66" si="18">A17</f>
        <v>Hong Kong</v>
      </c>
      <c r="B66" s="10" t="str">
        <f t="shared" si="18"/>
        <v>HKG</v>
      </c>
      <c r="C66" s="195" cm="1">
        <f t="array" ref="C66">--(SUMPRODUCT(($B$48:$B$49=$B66)*(LEN($C$48:$C$49)&gt;0))&gt;0)</f>
        <v>0</v>
      </c>
      <c r="D66" s="195" cm="1">
        <f t="array" ref="D66">--(SUMPRODUCT(($B$48:$B$49=$B66)*(LEN($D$48:$D$49)&gt;0))&gt;0)</f>
        <v>0</v>
      </c>
      <c r="E66" s="195" cm="1">
        <f t="array" ref="E66">--(SUMPRODUCT(($B$48:$B$49=$B66)*(LEN($E$48:$E$49)&gt;0))&gt;0)</f>
        <v>0</v>
      </c>
      <c r="F66" s="195" cm="1">
        <f t="array" ref="F66">--(SUMPRODUCT(($B$48:$B$49=$B66)*(LEN($F$48:$F$49)&gt;0))&gt;0)</f>
        <v>0</v>
      </c>
      <c r="G66" s="195" cm="1">
        <f t="array" ref="G66">--(SUMPRODUCT(($B$48:$B$49=$B66)*(LEN($G$48:$G$49)&gt;0))&gt;0)</f>
        <v>0</v>
      </c>
      <c r="H66" s="190">
        <f t="shared" si="7"/>
        <v>0</v>
      </c>
      <c r="I66" s="11"/>
      <c r="J66" s="11"/>
      <c r="K66" s="11"/>
      <c r="L66" s="11"/>
      <c r="M66" s="12"/>
    </row>
    <row r="67" spans="1:13" ht="20" hidden="1" customHeight="1">
      <c r="A67" s="10" t="str">
        <f t="shared" ref="A67:B67" si="19">A18</f>
        <v>India</v>
      </c>
      <c r="B67" s="10" t="str">
        <f t="shared" si="19"/>
        <v>IND</v>
      </c>
      <c r="C67" s="195" cm="1">
        <f t="array" ref="C67">--(SUMPRODUCT(($B$48:$B$49=$B67)*(LEN($C$48:$C$49)&gt;0))&gt;0)</f>
        <v>0</v>
      </c>
      <c r="D67" s="195" cm="1">
        <f t="array" ref="D67">--(SUMPRODUCT(($B$48:$B$49=$B67)*(LEN($D$48:$D$49)&gt;0))&gt;0)</f>
        <v>0</v>
      </c>
      <c r="E67" s="195" cm="1">
        <f t="array" ref="E67">--(SUMPRODUCT(($B$48:$B$49=$B67)*(LEN($E$48:$E$49)&gt;0))&gt;0)</f>
        <v>0</v>
      </c>
      <c r="F67" s="195" cm="1">
        <f t="array" ref="F67">--(SUMPRODUCT(($B$48:$B$49=$B67)*(LEN($F$48:$F$49)&gt;0))&gt;0)</f>
        <v>0</v>
      </c>
      <c r="G67" s="195" cm="1">
        <f t="array" ref="G67">--(SUMPRODUCT(($B$48:$B$49=$B67)*(LEN($G$48:$G$49)&gt;0))&gt;0)</f>
        <v>0</v>
      </c>
      <c r="H67" s="190">
        <f t="shared" si="7"/>
        <v>0</v>
      </c>
      <c r="I67" s="11"/>
      <c r="J67" s="11"/>
      <c r="K67" s="11"/>
      <c r="L67" s="11"/>
      <c r="M67" s="12"/>
    </row>
    <row r="68" spans="1:13" ht="20" hidden="1" customHeight="1">
      <c r="A68" s="10" t="str">
        <f t="shared" ref="A68:B68" si="20">A19</f>
        <v>Indonesia</v>
      </c>
      <c r="B68" s="10" t="str">
        <f t="shared" si="20"/>
        <v>IDN</v>
      </c>
      <c r="C68" s="195" cm="1">
        <f t="array" ref="C68">--(SUMPRODUCT(($B$48:$B$49=$B68)*(LEN($C$48:$C$49)&gt;0))&gt;0)</f>
        <v>0</v>
      </c>
      <c r="D68" s="195" cm="1">
        <f t="array" ref="D68">--(SUMPRODUCT(($B$48:$B$49=$B68)*(LEN($D$48:$D$49)&gt;0))&gt;0)</f>
        <v>0</v>
      </c>
      <c r="E68" s="195" cm="1">
        <f t="array" ref="E68">--(SUMPRODUCT(($B$48:$B$49=$B68)*(LEN($E$48:$E$49)&gt;0))&gt;0)</f>
        <v>0</v>
      </c>
      <c r="F68" s="195" cm="1">
        <f t="array" ref="F68">--(SUMPRODUCT(($B$48:$B$49=$B68)*(LEN($F$48:$F$49)&gt;0))&gt;0)</f>
        <v>0</v>
      </c>
      <c r="G68" s="195" cm="1">
        <f t="array" ref="G68">--(SUMPRODUCT(($B$48:$B$49=$B68)*(LEN($G$48:$G$49)&gt;0))&gt;0)</f>
        <v>0</v>
      </c>
      <c r="H68" s="190">
        <f t="shared" si="7"/>
        <v>0</v>
      </c>
      <c r="I68" s="11"/>
      <c r="J68" s="11"/>
      <c r="K68" s="11"/>
      <c r="L68" s="11"/>
      <c r="M68" s="12"/>
    </row>
    <row r="69" spans="1:13" ht="20" hidden="1" customHeight="1">
      <c r="A69" s="10" t="str">
        <f t="shared" ref="A69:B69" si="21">A20</f>
        <v>Japan</v>
      </c>
      <c r="B69" s="10" t="str">
        <f t="shared" si="21"/>
        <v>JPN</v>
      </c>
      <c r="C69" s="195" cm="1">
        <f t="array" ref="C69">--(SUMPRODUCT(($B$48:$B$49=$B69)*(LEN($C$48:$C$49)&gt;0))&gt;0)</f>
        <v>0</v>
      </c>
      <c r="D69" s="195" cm="1">
        <f t="array" ref="D69">--(SUMPRODUCT(($B$48:$B$49=$B69)*(LEN($D$48:$D$49)&gt;0))&gt;0)</f>
        <v>0</v>
      </c>
      <c r="E69" s="195" cm="1">
        <f t="array" ref="E69">--(SUMPRODUCT(($B$48:$B$49=$B69)*(LEN($E$48:$E$49)&gt;0))&gt;0)</f>
        <v>0</v>
      </c>
      <c r="F69" s="195" cm="1">
        <f t="array" ref="F69">--(SUMPRODUCT(($B$48:$B$49=$B69)*(LEN($F$48:$F$49)&gt;0))&gt;0)</f>
        <v>0</v>
      </c>
      <c r="G69" s="195" cm="1">
        <f t="array" ref="G69">--(SUMPRODUCT(($B$48:$B$49=$B69)*(LEN($G$48:$G$49)&gt;0))&gt;0)</f>
        <v>0</v>
      </c>
      <c r="H69" s="190">
        <f t="shared" si="7"/>
        <v>0</v>
      </c>
      <c r="I69" s="11"/>
      <c r="J69" s="11"/>
      <c r="K69" s="11"/>
      <c r="L69" s="11"/>
      <c r="M69" s="12"/>
    </row>
    <row r="70" spans="1:13" ht="20" hidden="1" customHeight="1">
      <c r="A70" s="10" t="str">
        <f t="shared" ref="A70:B70" si="22">A21</f>
        <v>Kazakhstan</v>
      </c>
      <c r="B70" s="10" t="str">
        <f t="shared" si="22"/>
        <v>KAZ</v>
      </c>
      <c r="C70" s="195" cm="1">
        <f t="array" ref="C70">--(SUMPRODUCT(($B$48:$B$49=$B70)*(LEN($C$48:$C$49)&gt;0))&gt;0)</f>
        <v>0</v>
      </c>
      <c r="D70" s="195" cm="1">
        <f t="array" ref="D70">--(SUMPRODUCT(($B$48:$B$49=$B70)*(LEN($D$48:$D$49)&gt;0))&gt;0)</f>
        <v>0</v>
      </c>
      <c r="E70" s="195" cm="1">
        <f t="array" ref="E70">--(SUMPRODUCT(($B$48:$B$49=$B70)*(LEN($E$48:$E$49)&gt;0))&gt;0)</f>
        <v>0</v>
      </c>
      <c r="F70" s="195" cm="1">
        <f t="array" ref="F70">--(SUMPRODUCT(($B$48:$B$49=$B70)*(LEN($F$48:$F$49)&gt;0))&gt;0)</f>
        <v>0</v>
      </c>
      <c r="G70" s="195" cm="1">
        <f t="array" ref="G70">--(SUMPRODUCT(($B$48:$B$49=$B70)*(LEN($G$48:$G$49)&gt;0))&gt;0)</f>
        <v>0</v>
      </c>
      <c r="H70" s="190">
        <f t="shared" si="7"/>
        <v>0</v>
      </c>
      <c r="I70" s="11"/>
      <c r="J70" s="11"/>
      <c r="K70" s="11"/>
      <c r="L70" s="11"/>
      <c r="M70" s="12"/>
    </row>
    <row r="71" spans="1:13" ht="20" hidden="1" customHeight="1">
      <c r="A71" s="10" t="str">
        <f t="shared" ref="A71:B71" si="23">A22</f>
        <v>Laos</v>
      </c>
      <c r="B71" s="10" t="str">
        <f t="shared" si="23"/>
        <v>LAO</v>
      </c>
      <c r="C71" s="195" cm="1">
        <f t="array" ref="C71">--(SUMPRODUCT(($B$48:$B$49=$B71)*(LEN($C$48:$C$49)&gt;0))&gt;0)</f>
        <v>0</v>
      </c>
      <c r="D71" s="195" cm="1">
        <f t="array" ref="D71">--(SUMPRODUCT(($B$48:$B$49=$B71)*(LEN($D$48:$D$49)&gt;0))&gt;0)</f>
        <v>0</v>
      </c>
      <c r="E71" s="195" cm="1">
        <f t="array" ref="E71">--(SUMPRODUCT(($B$48:$B$49=$B71)*(LEN($E$48:$E$49)&gt;0))&gt;0)</f>
        <v>0</v>
      </c>
      <c r="F71" s="195" cm="1">
        <f t="array" ref="F71">--(SUMPRODUCT(($B$48:$B$49=$B71)*(LEN($F$48:$F$49)&gt;0))&gt;0)</f>
        <v>0</v>
      </c>
      <c r="G71" s="195" cm="1">
        <f t="array" ref="G71">--(SUMPRODUCT(($B$48:$B$49=$B71)*(LEN($G$48:$G$49)&gt;0))&gt;0)</f>
        <v>0</v>
      </c>
      <c r="H71" s="190">
        <f t="shared" si="7"/>
        <v>0</v>
      </c>
      <c r="I71" s="11"/>
      <c r="J71" s="11"/>
      <c r="K71" s="11"/>
      <c r="L71" s="11"/>
      <c r="M71" s="12"/>
    </row>
    <row r="72" spans="1:13" ht="20" hidden="1" customHeight="1">
      <c r="A72" s="10" t="str">
        <f t="shared" ref="A72:B72" si="24">A23</f>
        <v>Malaysia</v>
      </c>
      <c r="B72" s="10" t="str">
        <f t="shared" si="24"/>
        <v>MYS</v>
      </c>
      <c r="C72" s="195" cm="1">
        <f t="array" ref="C72">--(SUMPRODUCT(($B$48:$B$49=$B72)*(LEN($C$48:$C$49)&gt;0))&gt;0)</f>
        <v>0</v>
      </c>
      <c r="D72" s="195" cm="1">
        <f t="array" ref="D72">--(SUMPRODUCT(($B$48:$B$49=$B72)*(LEN($D$48:$D$49)&gt;0))&gt;0)</f>
        <v>0</v>
      </c>
      <c r="E72" s="195" cm="1">
        <f t="array" ref="E72">--(SUMPRODUCT(($B$48:$B$49=$B72)*(LEN($E$48:$E$49)&gt;0))&gt;0)</f>
        <v>0</v>
      </c>
      <c r="F72" s="195" cm="1">
        <f t="array" ref="F72">--(SUMPRODUCT(($B$48:$B$49=$B72)*(LEN($F$48:$F$49)&gt;0))&gt;0)</f>
        <v>0</v>
      </c>
      <c r="G72" s="195" cm="1">
        <f t="array" ref="G72">--(SUMPRODUCT(($B$48:$B$49=$B72)*(LEN($G$48:$G$49)&gt;0))&gt;0)</f>
        <v>0</v>
      </c>
      <c r="H72" s="190">
        <f t="shared" si="7"/>
        <v>0</v>
      </c>
      <c r="I72" s="11"/>
      <c r="J72" s="11"/>
      <c r="K72" s="11"/>
      <c r="L72" s="11"/>
      <c r="M72" s="12"/>
    </row>
    <row r="73" spans="1:13" ht="20" hidden="1" customHeight="1">
      <c r="A73" s="10" t="str">
        <f t="shared" ref="A73:B73" si="25">A24</f>
        <v>Mexico</v>
      </c>
      <c r="B73" s="10" t="str">
        <f t="shared" si="25"/>
        <v>MEX</v>
      </c>
      <c r="C73" s="195" cm="1">
        <f t="array" ref="C73">--(SUMPRODUCT(($B$48:$B$49=$B73)*(LEN($C$48:$C$49)&gt;0))&gt;0)</f>
        <v>0</v>
      </c>
      <c r="D73" s="195" cm="1">
        <f t="array" ref="D73">--(SUMPRODUCT(($B$48:$B$49=$B73)*(LEN($D$48:$D$49)&gt;0))&gt;0)</f>
        <v>0</v>
      </c>
      <c r="E73" s="195" cm="1">
        <f t="array" ref="E73">--(SUMPRODUCT(($B$48:$B$49=$B73)*(LEN($E$48:$E$49)&gt;0))&gt;0)</f>
        <v>0</v>
      </c>
      <c r="F73" s="195" cm="1">
        <f t="array" ref="F73">--(SUMPRODUCT(($B$48:$B$49=$B73)*(LEN($F$48:$F$49)&gt;0))&gt;0)</f>
        <v>0</v>
      </c>
      <c r="G73" s="195" cm="1">
        <f t="array" ref="G73">--(SUMPRODUCT(($B$48:$B$49=$B73)*(LEN($G$48:$G$49)&gt;0))&gt;0)</f>
        <v>0</v>
      </c>
      <c r="H73" s="190">
        <f t="shared" si="7"/>
        <v>0</v>
      </c>
      <c r="I73" s="11"/>
      <c r="J73" s="11"/>
      <c r="K73" s="11"/>
      <c r="L73" s="11"/>
      <c r="M73" s="12"/>
    </row>
    <row r="74" spans="1:13" ht="20" hidden="1" customHeight="1">
      <c r="A74" s="10" t="str">
        <f t="shared" ref="A74:B74" si="26">A25</f>
        <v>Mongolia</v>
      </c>
      <c r="B74" s="10" t="str">
        <f t="shared" si="26"/>
        <v>MNG</v>
      </c>
      <c r="C74" s="195" cm="1">
        <f t="array" ref="C74">--(SUMPRODUCT(($B$48:$B$49=$B74)*(LEN($C$48:$C$49)&gt;0))&gt;0)</f>
        <v>0</v>
      </c>
      <c r="D74" s="195" cm="1">
        <f t="array" ref="D74">--(SUMPRODUCT(($B$48:$B$49=$B74)*(LEN($D$48:$D$49)&gt;0))&gt;0)</f>
        <v>0</v>
      </c>
      <c r="E74" s="195" cm="1">
        <f t="array" ref="E74">--(SUMPRODUCT(($B$48:$B$49=$B74)*(LEN($E$48:$E$49)&gt;0))&gt;0)</f>
        <v>0</v>
      </c>
      <c r="F74" s="195" cm="1">
        <f t="array" ref="F74">--(SUMPRODUCT(($B$48:$B$49=$B74)*(LEN($F$48:$F$49)&gt;0))&gt;0)</f>
        <v>0</v>
      </c>
      <c r="G74" s="195" cm="1">
        <f t="array" ref="G74">--(SUMPRODUCT(($B$48:$B$49=$B74)*(LEN($G$48:$G$49)&gt;0))&gt;0)</f>
        <v>0</v>
      </c>
      <c r="H74" s="190">
        <f t="shared" si="7"/>
        <v>0</v>
      </c>
      <c r="I74" s="11"/>
      <c r="J74" s="11"/>
      <c r="K74" s="11"/>
      <c r="L74" s="11"/>
      <c r="M74" s="12"/>
    </row>
    <row r="75" spans="1:13" ht="20" hidden="1" customHeight="1">
      <c r="A75" s="10" t="str">
        <f t="shared" ref="A75:B75" si="27">A26</f>
        <v>Morocco</v>
      </c>
      <c r="B75" s="10" t="str">
        <f t="shared" si="27"/>
        <v>MAR</v>
      </c>
      <c r="C75" s="195" cm="1">
        <f t="array" ref="C75">--(SUMPRODUCT(($B$48:$B$49=$B75)*(LEN($C$48:$C$49)&gt;0))&gt;0)</f>
        <v>0</v>
      </c>
      <c r="D75" s="195" cm="1">
        <f t="array" ref="D75">--(SUMPRODUCT(($B$48:$B$49=$B75)*(LEN($D$48:$D$49)&gt;0))&gt;0)</f>
        <v>0</v>
      </c>
      <c r="E75" s="195" cm="1">
        <f t="array" ref="E75">--(SUMPRODUCT(($B$48:$B$49=$B75)*(LEN($E$48:$E$49)&gt;0))&gt;0)</f>
        <v>0</v>
      </c>
      <c r="F75" s="195" cm="1">
        <f t="array" ref="F75">--(SUMPRODUCT(($B$48:$B$49=$B75)*(LEN($F$48:$F$49)&gt;0))&gt;0)</f>
        <v>0</v>
      </c>
      <c r="G75" s="195" cm="1">
        <f t="array" ref="G75">--(SUMPRODUCT(($B$48:$B$49=$B75)*(LEN($G$48:$G$49)&gt;0))&gt;0)</f>
        <v>0</v>
      </c>
      <c r="H75" s="190">
        <f t="shared" si="7"/>
        <v>0</v>
      </c>
      <c r="I75" s="11"/>
      <c r="J75" s="11"/>
      <c r="K75" s="11"/>
      <c r="L75" s="11"/>
      <c r="M75" s="12"/>
    </row>
    <row r="76" spans="1:13" ht="20" hidden="1" customHeight="1">
      <c r="A76" s="10" t="str">
        <f t="shared" ref="A76:B76" si="28">A27</f>
        <v>North Korea</v>
      </c>
      <c r="B76" s="10" t="str">
        <f t="shared" si="28"/>
        <v>PRK</v>
      </c>
      <c r="C76" s="195" cm="1">
        <f t="array" ref="C76">--(SUMPRODUCT(($B$48:$B$49=$B76)*(LEN($C$48:$C$49)&gt;0))&gt;0)</f>
        <v>0</v>
      </c>
      <c r="D76" s="195" cm="1">
        <f t="array" ref="D76">--(SUMPRODUCT(($B$48:$B$49=$B76)*(LEN($D$48:$D$49)&gt;0))&gt;0)</f>
        <v>0</v>
      </c>
      <c r="E76" s="195" cm="1">
        <f t="array" ref="E76">--(SUMPRODUCT(($B$48:$B$49=$B76)*(LEN($E$48:$E$49)&gt;0))&gt;0)</f>
        <v>0</v>
      </c>
      <c r="F76" s="195" cm="1">
        <f t="array" ref="F76">--(SUMPRODUCT(($B$48:$B$49=$B76)*(LEN($F$48:$F$49)&gt;0))&gt;0)</f>
        <v>0</v>
      </c>
      <c r="G76" s="195" cm="1">
        <f t="array" ref="G76">--(SUMPRODUCT(($B$48:$B$49=$B76)*(LEN($G$48:$G$49)&gt;0))&gt;0)</f>
        <v>0</v>
      </c>
      <c r="H76" s="190">
        <f t="shared" si="7"/>
        <v>0</v>
      </c>
      <c r="I76" s="11"/>
      <c r="J76" s="11"/>
      <c r="K76" s="11"/>
      <c r="L76" s="11"/>
      <c r="M76" s="12"/>
    </row>
    <row r="77" spans="1:13" ht="20" hidden="1" customHeight="1">
      <c r="A77" s="10" t="str">
        <f t="shared" ref="A77:B77" si="29">A28</f>
        <v>Pakistan</v>
      </c>
      <c r="B77" s="10" t="str">
        <f t="shared" si="29"/>
        <v>PAK</v>
      </c>
      <c r="C77" s="195" cm="1">
        <f t="array" ref="C77">--(SUMPRODUCT(($B$48:$B$49=$B77)*(LEN($C$48:$C$49)&gt;0))&gt;0)</f>
        <v>0</v>
      </c>
      <c r="D77" s="195" cm="1">
        <f t="array" ref="D77">--(SUMPRODUCT(($B$48:$B$49=$B77)*(LEN($D$48:$D$49)&gt;0))&gt;0)</f>
        <v>0</v>
      </c>
      <c r="E77" s="195" cm="1">
        <f t="array" ref="E77">--(SUMPRODUCT(($B$48:$B$49=$B77)*(LEN($E$48:$E$49)&gt;0))&gt;0)</f>
        <v>0</v>
      </c>
      <c r="F77" s="195" cm="1">
        <f t="array" ref="F77">--(SUMPRODUCT(($B$48:$B$49=$B77)*(LEN($F$48:$F$49)&gt;0))&gt;0)</f>
        <v>0</v>
      </c>
      <c r="G77" s="195" cm="1">
        <f t="array" ref="G77">--(SUMPRODUCT(($B$48:$B$49=$B77)*(LEN($G$48:$G$49)&gt;0))&gt;0)</f>
        <v>0</v>
      </c>
      <c r="H77" s="190">
        <f t="shared" si="7"/>
        <v>0</v>
      </c>
      <c r="I77" s="11"/>
      <c r="J77" s="11"/>
      <c r="K77" s="11"/>
      <c r="L77" s="11"/>
      <c r="M77" s="12"/>
    </row>
    <row r="78" spans="1:13" ht="20" hidden="1" customHeight="1">
      <c r="A78" s="10" t="str">
        <f t="shared" ref="A78:B78" si="30">A29</f>
        <v>Philippines</v>
      </c>
      <c r="B78" s="10" t="str">
        <f t="shared" si="30"/>
        <v>PHL</v>
      </c>
      <c r="C78" s="195" cm="1">
        <f t="array" ref="C78">--(SUMPRODUCT(($B$48:$B$49=$B78)*(LEN($C$48:$C$49)&gt;0))&gt;0)</f>
        <v>0</v>
      </c>
      <c r="D78" s="195" cm="1">
        <f t="array" ref="D78">--(SUMPRODUCT(($B$48:$B$49=$B78)*(LEN($D$48:$D$49)&gt;0))&gt;0)</f>
        <v>0</v>
      </c>
      <c r="E78" s="195" cm="1">
        <f t="array" ref="E78">--(SUMPRODUCT(($B$48:$B$49=$B78)*(LEN($E$48:$E$49)&gt;0))&gt;0)</f>
        <v>0</v>
      </c>
      <c r="F78" s="195" cm="1">
        <f t="array" ref="F78">--(SUMPRODUCT(($B$48:$B$49=$B78)*(LEN($F$48:$F$49)&gt;0))&gt;0)</f>
        <v>0</v>
      </c>
      <c r="G78" s="195" cm="1">
        <f t="array" ref="G78">--(SUMPRODUCT(($B$48:$B$49=$B78)*(LEN($G$48:$G$49)&gt;0))&gt;0)</f>
        <v>0</v>
      </c>
      <c r="H78" s="190">
        <f t="shared" si="7"/>
        <v>0</v>
      </c>
      <c r="I78" s="11"/>
      <c r="J78" s="11"/>
      <c r="K78" s="11"/>
      <c r="L78" s="11"/>
      <c r="M78" s="12"/>
    </row>
    <row r="79" spans="1:13" ht="20" hidden="1" customHeight="1">
      <c r="A79" s="10" t="str">
        <f t="shared" ref="A79:B79" si="31">A30</f>
        <v>Poland</v>
      </c>
      <c r="B79" s="10" t="str">
        <f t="shared" si="31"/>
        <v>POL</v>
      </c>
      <c r="C79" s="195" cm="1">
        <f t="array" ref="C79">--(SUMPRODUCT(($B$48:$B$49=$B79)*(LEN($C$48:$C$49)&gt;0))&gt;0)</f>
        <v>0</v>
      </c>
      <c r="D79" s="195" cm="1">
        <f t="array" ref="D79">--(SUMPRODUCT(($B$48:$B$49=$B79)*(LEN($D$48:$D$49)&gt;0))&gt;0)</f>
        <v>0</v>
      </c>
      <c r="E79" s="195" cm="1">
        <f t="array" ref="E79">--(SUMPRODUCT(($B$48:$B$49=$B79)*(LEN($E$48:$E$49)&gt;0))&gt;0)</f>
        <v>0</v>
      </c>
      <c r="F79" s="195" cm="1">
        <f t="array" ref="F79">--(SUMPRODUCT(($B$48:$B$49=$B79)*(LEN($F$48:$F$49)&gt;0))&gt;0)</f>
        <v>0</v>
      </c>
      <c r="G79" s="195" cm="1">
        <f t="array" ref="G79">--(SUMPRODUCT(($B$48:$B$49=$B79)*(LEN($G$48:$G$49)&gt;0))&gt;0)</f>
        <v>0</v>
      </c>
      <c r="H79" s="190">
        <f t="shared" si="7"/>
        <v>0</v>
      </c>
      <c r="I79" s="11"/>
      <c r="J79" s="11"/>
      <c r="K79" s="11"/>
      <c r="L79" s="11"/>
      <c r="M79" s="12"/>
    </row>
    <row r="80" spans="1:13" ht="20" hidden="1" customHeight="1">
      <c r="A80" s="10" t="str">
        <f t="shared" ref="A80:B80" si="32">A31</f>
        <v>Russia</v>
      </c>
      <c r="B80" s="10" t="str">
        <f t="shared" si="32"/>
        <v>RUS</v>
      </c>
      <c r="C80" s="195" cm="1">
        <f t="array" ref="C80">--(SUMPRODUCT(($B$48:$B$49=$B80)*(LEN($C$48:$C$49)&gt;0))&gt;0)</f>
        <v>0</v>
      </c>
      <c r="D80" s="195" cm="1">
        <f t="array" ref="D80">--(SUMPRODUCT(($B$48:$B$49=$B80)*(LEN($D$48:$D$49)&gt;0))&gt;0)</f>
        <v>0</v>
      </c>
      <c r="E80" s="195" cm="1">
        <f t="array" ref="E80">--(SUMPRODUCT(($B$48:$B$49=$B80)*(LEN($E$48:$E$49)&gt;0))&gt;0)</f>
        <v>0</v>
      </c>
      <c r="F80" s="195" cm="1">
        <f t="array" ref="F80">--(SUMPRODUCT(($B$48:$B$49=$B80)*(LEN($F$48:$F$49)&gt;0))&gt;0)</f>
        <v>0</v>
      </c>
      <c r="G80" s="195" cm="1">
        <f t="array" ref="G80">--(SUMPRODUCT(($B$48:$B$49=$B80)*(LEN($G$48:$G$49)&gt;0))&gt;0)</f>
        <v>0</v>
      </c>
      <c r="H80" s="190">
        <f t="shared" si="7"/>
        <v>0</v>
      </c>
      <c r="I80" s="11"/>
      <c r="J80" s="11"/>
      <c r="K80" s="11"/>
      <c r="L80" s="11"/>
      <c r="M80" s="12"/>
    </row>
    <row r="81" spans="1:13" ht="20" hidden="1" customHeight="1">
      <c r="A81" s="10" t="str">
        <f t="shared" ref="A81:B81" si="33">A32</f>
        <v>Serbia</v>
      </c>
      <c r="B81" s="10" t="str">
        <f t="shared" si="33"/>
        <v>SRB</v>
      </c>
      <c r="C81" s="195" cm="1">
        <f t="array" ref="C81">--(SUMPRODUCT(($B$48:$B$49=$B81)*(LEN($C$48:$C$49)&gt;0))&gt;0)</f>
        <v>0</v>
      </c>
      <c r="D81" s="195" cm="1">
        <f t="array" ref="D81">--(SUMPRODUCT(($B$48:$B$49=$B81)*(LEN($D$48:$D$49)&gt;0))&gt;0)</f>
        <v>0</v>
      </c>
      <c r="E81" s="195" cm="1">
        <f t="array" ref="E81">--(SUMPRODUCT(($B$48:$B$49=$B81)*(LEN($E$48:$E$49)&gt;0))&gt;0)</f>
        <v>0</v>
      </c>
      <c r="F81" s="195" cm="1">
        <f t="array" ref="F81">--(SUMPRODUCT(($B$48:$B$49=$B81)*(LEN($F$48:$F$49)&gt;0))&gt;0)</f>
        <v>0</v>
      </c>
      <c r="G81" s="195" cm="1">
        <f t="array" ref="G81">--(SUMPRODUCT(($B$48:$B$49=$B81)*(LEN($G$48:$G$49)&gt;0))&gt;0)</f>
        <v>0</v>
      </c>
      <c r="H81" s="190">
        <f t="shared" si="7"/>
        <v>0</v>
      </c>
      <c r="I81" s="11"/>
      <c r="J81" s="11"/>
      <c r="K81" s="11"/>
      <c r="L81" s="11"/>
      <c r="M81" s="12"/>
    </row>
    <row r="82" spans="1:13" ht="20" hidden="1" customHeight="1">
      <c r="A82" s="10" t="str">
        <f t="shared" ref="A82:B82" si="34">A33</f>
        <v>South Africa</v>
      </c>
      <c r="B82" s="10" t="str">
        <f t="shared" si="34"/>
        <v>ZAF</v>
      </c>
      <c r="C82" s="195" cm="1">
        <f t="array" ref="C82">--(SUMPRODUCT(($B$48:$B$49=$B82)*(LEN($C$48:$C$49)&gt;0))&gt;0)</f>
        <v>0</v>
      </c>
      <c r="D82" s="195" cm="1">
        <f t="array" ref="D82">--(SUMPRODUCT(($B$48:$B$49=$B82)*(LEN($D$48:$D$49)&gt;0))&gt;0)</f>
        <v>0</v>
      </c>
      <c r="E82" s="195" cm="1">
        <f t="array" ref="E82">--(SUMPRODUCT(($B$48:$B$49=$B82)*(LEN($E$48:$E$49)&gt;0))&gt;0)</f>
        <v>0</v>
      </c>
      <c r="F82" s="195" cm="1">
        <f t="array" ref="F82">--(SUMPRODUCT(($B$48:$B$49=$B82)*(LEN($F$48:$F$49)&gt;0))&gt;0)</f>
        <v>0</v>
      </c>
      <c r="G82" s="195" cm="1">
        <f t="array" ref="G82">--(SUMPRODUCT(($B$48:$B$49=$B82)*(LEN($G$48:$G$49)&gt;0))&gt;0)</f>
        <v>0</v>
      </c>
      <c r="H82" s="190">
        <f t="shared" si="7"/>
        <v>0</v>
      </c>
      <c r="I82" s="11"/>
      <c r="J82" s="11"/>
      <c r="K82" s="11"/>
      <c r="L82" s="11"/>
      <c r="M82" s="12"/>
    </row>
    <row r="83" spans="1:13" ht="20" hidden="1" customHeight="1">
      <c r="A83" s="10" t="str">
        <f t="shared" ref="A83:B83" si="35">A34</f>
        <v>South Korea</v>
      </c>
      <c r="B83" s="10" t="str">
        <f t="shared" si="35"/>
        <v>KOR</v>
      </c>
      <c r="C83" s="195" cm="1">
        <f t="array" ref="C83">--(SUMPRODUCT(($B$48:$B$49=$B83)*(LEN($C$48:$C$49)&gt;0))&gt;0)</f>
        <v>0</v>
      </c>
      <c r="D83" s="195" cm="1">
        <f t="array" ref="D83">--(SUMPRODUCT(($B$48:$B$49=$B83)*(LEN($D$48:$D$49)&gt;0))&gt;0)</f>
        <v>0</v>
      </c>
      <c r="E83" s="195" cm="1">
        <f t="array" ref="E83">--(SUMPRODUCT(($B$48:$B$49=$B83)*(LEN($E$48:$E$49)&gt;0))&gt;0)</f>
        <v>0</v>
      </c>
      <c r="F83" s="195" cm="1">
        <f t="array" ref="F83">--(SUMPRODUCT(($B$48:$B$49=$B83)*(LEN($F$48:$F$49)&gt;0))&gt;0)</f>
        <v>0</v>
      </c>
      <c r="G83" s="195" cm="1">
        <f t="array" ref="G83">--(SUMPRODUCT(($B$48:$B$49=$B83)*(LEN($G$48:$G$49)&gt;0))&gt;0)</f>
        <v>0</v>
      </c>
      <c r="H83" s="190">
        <f t="shared" si="7"/>
        <v>0</v>
      </c>
      <c r="I83" s="11"/>
      <c r="J83" s="11"/>
      <c r="K83" s="11"/>
      <c r="L83" s="11"/>
      <c r="M83" s="12"/>
    </row>
    <row r="84" spans="1:13" ht="20" hidden="1" customHeight="1">
      <c r="A84" s="10" t="str">
        <f>A35</f>
        <v>Sri Lanka</v>
      </c>
      <c r="B84" s="10" t="str">
        <f>B35</f>
        <v>LKA</v>
      </c>
      <c r="C84" s="195" cm="1">
        <f t="array" ref="C84">--(SUMPRODUCT(($B$48:$B$49=$B84)*(LEN($C$48:$C$49)&gt;0))&gt;0)</f>
        <v>0</v>
      </c>
      <c r="D84" s="195" cm="1">
        <f t="array" ref="D84">--(SUMPRODUCT(($B$48:$B$49=$B84)*(LEN($D$48:$D$49)&gt;0))&gt;0)</f>
        <v>0</v>
      </c>
      <c r="E84" s="195" cm="1">
        <f t="array" ref="E84">--(SUMPRODUCT(($B$48:$B$49=$B84)*(LEN($E$48:$E$49)&gt;0))&gt;0)</f>
        <v>0</v>
      </c>
      <c r="F84" s="195" cm="1">
        <f t="array" ref="F84">--(SUMPRODUCT(($B$48:$B$49=$B84)*(LEN($F$48:$F$49)&gt;0))&gt;0)</f>
        <v>0</v>
      </c>
      <c r="G84" s="195" cm="1">
        <f t="array" ref="G84">--(SUMPRODUCT(($B$48:$B$49=$B84)*(LEN($G$48:$G$49)&gt;0))&gt;0)</f>
        <v>0</v>
      </c>
      <c r="H84" s="190">
        <f t="shared" si="7"/>
        <v>0</v>
      </c>
      <c r="I84" s="11"/>
      <c r="J84" s="11"/>
      <c r="K84" s="11"/>
      <c r="L84" s="11"/>
      <c r="M84" s="12"/>
    </row>
    <row r="85" spans="1:13" ht="20" hidden="1" customHeight="1">
      <c r="A85" s="10" t="str">
        <f t="shared" ref="A85:B85" si="36">A36</f>
        <v>Taiwan, China</v>
      </c>
      <c r="B85" s="10" t="str">
        <f t="shared" si="36"/>
        <v>TWN</v>
      </c>
      <c r="C85" s="195" cm="1">
        <f t="array" ref="C85">--(SUMPRODUCT(($B$48:$B$49=$B85)*(LEN($C$48:$C$49)&gt;0))&gt;0)</f>
        <v>0</v>
      </c>
      <c r="D85" s="195" cm="1">
        <f t="array" ref="D85">--(SUMPRODUCT(($B$48:$B$49=$B85)*(LEN($D$48:$D$49)&gt;0))&gt;0)</f>
        <v>0</v>
      </c>
      <c r="E85" s="195" cm="1">
        <f t="array" ref="E85">--(SUMPRODUCT(($B$48:$B$49=$B85)*(LEN($E$48:$E$49)&gt;0))&gt;0)</f>
        <v>0</v>
      </c>
      <c r="F85" s="195" cm="1">
        <f t="array" ref="F85">--(SUMPRODUCT(($B$48:$B$49=$B85)*(LEN($F$48:$F$49)&gt;0))&gt;0)</f>
        <v>0</v>
      </c>
      <c r="G85" s="195" cm="1">
        <f t="array" ref="G85">--(SUMPRODUCT(($B$48:$B$49=$B85)*(LEN($G$48:$G$49)&gt;0))&gt;0)</f>
        <v>0</v>
      </c>
      <c r="H85" s="190">
        <f t="shared" si="7"/>
        <v>0</v>
      </c>
      <c r="I85" s="11"/>
      <c r="J85" s="11"/>
      <c r="K85" s="11"/>
      <c r="L85" s="11"/>
      <c r="M85" s="12"/>
    </row>
    <row r="86" spans="1:13" ht="20" hidden="1" customHeight="1">
      <c r="A86" s="10" t="str">
        <f t="shared" ref="A86:B86" si="37">A37</f>
        <v>Thailand</v>
      </c>
      <c r="B86" s="10" t="str">
        <f t="shared" si="37"/>
        <v>THA</v>
      </c>
      <c r="C86" s="195" cm="1">
        <f t="array" ref="C86">--(SUMPRODUCT(($B$48:$B$49=$B86)*(LEN($C$48:$C$49)&gt;0))&gt;0)</f>
        <v>0</v>
      </c>
      <c r="D86" s="195" cm="1">
        <f t="array" ref="D86">--(SUMPRODUCT(($B$48:$B$49=$B86)*(LEN($D$48:$D$49)&gt;0))&gt;0)</f>
        <v>0</v>
      </c>
      <c r="E86" s="195" cm="1">
        <f t="array" ref="E86">--(SUMPRODUCT(($B$48:$B$49=$B86)*(LEN($E$48:$E$49)&gt;0))&gt;0)</f>
        <v>0</v>
      </c>
      <c r="F86" s="195" cm="1">
        <f t="array" ref="F86">--(SUMPRODUCT(($B$48:$B$49=$B86)*(LEN($F$48:$F$49)&gt;0))&gt;0)</f>
        <v>0</v>
      </c>
      <c r="G86" s="195" cm="1">
        <f t="array" ref="G86">--(SUMPRODUCT(($B$48:$B$49=$B86)*(LEN($G$48:$G$49)&gt;0))&gt;0)</f>
        <v>0</v>
      </c>
      <c r="H86" s="190">
        <f t="shared" si="7"/>
        <v>0</v>
      </c>
      <c r="I86" s="11"/>
      <c r="J86" s="11"/>
      <c r="K86" s="11"/>
      <c r="L86" s="11"/>
      <c r="M86" s="12"/>
    </row>
    <row r="87" spans="1:13" ht="20" hidden="1" customHeight="1">
      <c r="A87" s="10" t="str">
        <f t="shared" ref="A87:B87" si="38">A38</f>
        <v>Türkiye</v>
      </c>
      <c r="B87" s="10" t="str">
        <f t="shared" si="38"/>
        <v>TUR</v>
      </c>
      <c r="C87" s="195" cm="1">
        <f t="array" ref="C87">--(SUMPRODUCT(($B$48:$B$49=$B87)*(LEN($C$48:$C$49)&gt;0))&gt;0)</f>
        <v>0</v>
      </c>
      <c r="D87" s="195" cm="1">
        <f t="array" ref="D87">--(SUMPRODUCT(($B$48:$B$49=$B87)*(LEN($D$48:$D$49)&gt;0))&gt;0)</f>
        <v>0</v>
      </c>
      <c r="E87" s="195" cm="1">
        <f t="array" ref="E87">--(SUMPRODUCT(($B$48:$B$49=$B87)*(LEN($E$48:$E$49)&gt;0))&gt;0)</f>
        <v>0</v>
      </c>
      <c r="F87" s="195" cm="1">
        <f t="array" ref="F87">--(SUMPRODUCT(($B$48:$B$49=$B87)*(LEN($F$48:$F$49)&gt;0))&gt;0)</f>
        <v>0</v>
      </c>
      <c r="G87" s="195" cm="1">
        <f t="array" ref="G87">--(SUMPRODUCT(($B$48:$B$49=$B87)*(LEN($G$48:$G$49)&gt;0))&gt;0)</f>
        <v>0</v>
      </c>
      <c r="H87" s="190">
        <f t="shared" si="7"/>
        <v>0</v>
      </c>
      <c r="I87" s="11"/>
      <c r="J87" s="11"/>
      <c r="K87" s="11"/>
      <c r="L87" s="11"/>
      <c r="M87" s="12"/>
    </row>
    <row r="88" spans="1:13" ht="20" hidden="1" customHeight="1">
      <c r="A88" s="10" t="str">
        <f t="shared" ref="A88:B88" si="39">A39</f>
        <v>United States</v>
      </c>
      <c r="B88" s="10" t="str">
        <f t="shared" si="39"/>
        <v>USA</v>
      </c>
      <c r="C88" s="195" cm="1">
        <f t="array" ref="C88">--(SUMPRODUCT(($B$48:$B$49=$B88)*(LEN($C$48:$C$49)&gt;0))&gt;0)</f>
        <v>0</v>
      </c>
      <c r="D88" s="195" cm="1">
        <f t="array" ref="D88">--(SUMPRODUCT(($B$48:$B$49=$B88)*(LEN($D$48:$D$49)&gt;0))&gt;0)</f>
        <v>0</v>
      </c>
      <c r="E88" s="195" cm="1">
        <f t="array" ref="E88">--(SUMPRODUCT(($B$48:$B$49=$B88)*(LEN($E$48:$E$49)&gt;0))&gt;0)</f>
        <v>0</v>
      </c>
      <c r="F88" s="195" cm="1">
        <f t="array" ref="F88">--(SUMPRODUCT(($B$48:$B$49=$B88)*(LEN($F$48:$F$49)&gt;0))&gt;0)</f>
        <v>0</v>
      </c>
      <c r="G88" s="195" cm="1">
        <f t="array" ref="G88">--(SUMPRODUCT(($B$48:$B$49=$B88)*(LEN($G$48:$G$49)&gt;0))&gt;0)</f>
        <v>0</v>
      </c>
      <c r="H88" s="190">
        <f t="shared" si="7"/>
        <v>0</v>
      </c>
      <c r="I88" s="11"/>
      <c r="J88" s="11"/>
      <c r="K88" s="11"/>
      <c r="L88" s="11"/>
      <c r="M88" s="12"/>
    </row>
    <row r="89" spans="1:13" ht="20" hidden="1" customHeight="1">
      <c r="A89" s="10" t="str">
        <f t="shared" ref="A89:B89" si="40">A40</f>
        <v>Vietnam</v>
      </c>
      <c r="B89" s="10" t="str">
        <f t="shared" si="40"/>
        <v>VNM</v>
      </c>
      <c r="C89" s="195" cm="1">
        <f t="array" ref="C89">--(SUMPRODUCT(($B$48:$B$49=$B89)*(LEN($C$48:$C$49)&gt;0))&gt;0)</f>
        <v>0</v>
      </c>
      <c r="D89" s="195" cm="1">
        <f t="array" ref="D89">--(SUMPRODUCT(($B$48:$B$49=$B89)*(LEN($D$48:$D$49)&gt;0))&gt;0)</f>
        <v>0</v>
      </c>
      <c r="E89" s="195" cm="1">
        <f t="array" ref="E89">--(SUMPRODUCT(($B$48:$B$49=$B89)*(LEN($E$48:$E$49)&gt;0))&gt;0)</f>
        <v>0</v>
      </c>
      <c r="F89" s="195" cm="1">
        <f t="array" ref="F89">--(SUMPRODUCT(($B$48:$B$49=$B89)*(LEN($F$48:$F$49)&gt;0))&gt;0)</f>
        <v>0</v>
      </c>
      <c r="G89" s="195" cm="1">
        <f t="array" ref="G89">--(SUMPRODUCT(($B$48:$B$49=$B89)*(LEN($G$48:$G$49)&gt;0))&gt;0)</f>
        <v>0</v>
      </c>
      <c r="H89" s="190">
        <f t="shared" si="7"/>
        <v>0</v>
      </c>
      <c r="I89" s="11"/>
      <c r="J89" s="11"/>
      <c r="K89" s="11"/>
      <c r="L89" s="11"/>
      <c r="M89" s="12"/>
    </row>
    <row r="90" spans="1:13" ht="20" customHeight="1">
      <c r="A90" s="10"/>
      <c r="B90" s="10"/>
      <c r="C90" s="27"/>
      <c r="D90" s="27"/>
      <c r="E90" s="27"/>
      <c r="F90" s="27"/>
      <c r="G90" s="27"/>
      <c r="H90" s="11"/>
      <c r="I90" s="11"/>
      <c r="J90" s="11"/>
      <c r="K90" s="11"/>
      <c r="L90" s="11"/>
      <c r="M90" s="12"/>
    </row>
    <row r="91" spans="1:13" ht="20" customHeight="1">
      <c r="A91" s="10"/>
      <c r="B91" s="10"/>
      <c r="C91" s="27"/>
      <c r="D91" s="27"/>
      <c r="E91" s="27"/>
      <c r="F91" s="27"/>
      <c r="G91" s="27"/>
      <c r="H91" s="11"/>
      <c r="I91" s="11"/>
      <c r="J91" s="11"/>
      <c r="K91" s="11"/>
      <c r="L91" s="11"/>
      <c r="M91" s="12"/>
    </row>
    <row r="92" spans="1:13" ht="20" customHeight="1">
      <c r="A92" s="10"/>
      <c r="B92" s="10"/>
      <c r="C92" s="27"/>
      <c r="D92" s="27"/>
      <c r="E92" s="27"/>
      <c r="F92" s="27"/>
      <c r="G92" s="27"/>
      <c r="H92" s="11"/>
      <c r="I92" s="11"/>
      <c r="J92" s="11"/>
      <c r="K92" s="11"/>
      <c r="L92" s="11"/>
      <c r="M92" s="12"/>
    </row>
    <row r="93" spans="1:13" ht="20" customHeight="1">
      <c r="A93" s="10"/>
      <c r="B93" s="10"/>
      <c r="C93" s="27"/>
      <c r="D93" s="27"/>
      <c r="E93" s="27"/>
      <c r="F93" s="27"/>
      <c r="G93" s="27"/>
      <c r="H93" s="11"/>
      <c r="I93" s="11"/>
      <c r="J93" s="11"/>
      <c r="K93" s="11"/>
      <c r="L93" s="11"/>
      <c r="M93" s="12"/>
    </row>
    <row r="94" spans="1:13" ht="20" customHeight="1">
      <c r="A94" s="10"/>
      <c r="B94" s="10"/>
      <c r="C94" s="27"/>
      <c r="D94" s="27"/>
      <c r="E94" s="27"/>
      <c r="F94" s="27"/>
      <c r="G94" s="27"/>
      <c r="H94" s="11"/>
      <c r="I94" s="11"/>
      <c r="J94" s="11"/>
      <c r="K94" s="11"/>
      <c r="L94" s="11"/>
      <c r="M94" s="12"/>
    </row>
    <row r="95" spans="1:13" ht="20" customHeight="1">
      <c r="A95" s="10"/>
      <c r="B95" s="10"/>
      <c r="C95" s="27"/>
      <c r="D95" s="27"/>
      <c r="E95" s="27"/>
      <c r="F95" s="27"/>
      <c r="G95" s="27"/>
      <c r="H95" s="11"/>
      <c r="I95" s="11"/>
      <c r="J95" s="11"/>
      <c r="K95" s="11"/>
      <c r="L95" s="11"/>
      <c r="M95" s="12"/>
    </row>
    <row r="96" spans="1:13" ht="20" customHeight="1">
      <c r="A96" s="10"/>
      <c r="B96" s="10"/>
      <c r="C96" s="27"/>
      <c r="D96" s="27"/>
      <c r="E96" s="27"/>
      <c r="F96" s="27"/>
      <c r="G96" s="27"/>
      <c r="H96" s="11"/>
      <c r="I96" s="11"/>
      <c r="J96" s="11"/>
      <c r="K96" s="11"/>
      <c r="L96" s="11"/>
      <c r="M96" s="12"/>
    </row>
    <row r="97" spans="1:13" ht="20" customHeight="1">
      <c r="A97" s="10"/>
      <c r="B97" s="10"/>
      <c r="C97" s="27"/>
      <c r="D97" s="27"/>
      <c r="E97" s="27"/>
      <c r="F97" s="27"/>
      <c r="G97" s="27"/>
      <c r="H97" s="11"/>
      <c r="I97" s="11"/>
      <c r="J97" s="11"/>
      <c r="K97" s="11"/>
      <c r="L97" s="11"/>
      <c r="M97" s="12"/>
    </row>
    <row r="98" spans="1:13" ht="20" customHeight="1">
      <c r="A98" s="10"/>
      <c r="B98" s="10"/>
      <c r="C98" s="27"/>
      <c r="D98" s="27"/>
      <c r="E98" s="27"/>
      <c r="F98" s="27"/>
      <c r="G98" s="27"/>
      <c r="H98" s="11"/>
      <c r="I98" s="11"/>
      <c r="J98" s="11"/>
      <c r="K98" s="11"/>
      <c r="L98" s="11"/>
      <c r="M98" s="12"/>
    </row>
    <row r="99" spans="1:13" ht="20" customHeight="1">
      <c r="A99" s="10"/>
      <c r="B99" s="10"/>
      <c r="C99" s="27"/>
      <c r="D99" s="27"/>
      <c r="E99" s="27"/>
      <c r="F99" s="27"/>
      <c r="G99" s="27"/>
      <c r="H99" s="11"/>
      <c r="I99" s="11"/>
      <c r="J99" s="11"/>
      <c r="K99" s="11"/>
      <c r="L99" s="11"/>
      <c r="M99" s="12"/>
    </row>
    <row r="100" spans="1:13" ht="20" customHeight="1">
      <c r="A100" s="10"/>
      <c r="B100" s="10"/>
      <c r="C100" s="27"/>
      <c r="D100" s="27"/>
      <c r="E100" s="27"/>
      <c r="F100" s="27"/>
      <c r="G100" s="27"/>
      <c r="H100" s="11"/>
      <c r="I100" s="11"/>
      <c r="J100" s="11"/>
      <c r="K100" s="11"/>
      <c r="L100" s="11"/>
      <c r="M100" s="12"/>
    </row>
    <row r="101" spans="1:13" ht="20" customHeight="1">
      <c r="A101" s="10"/>
      <c r="B101" s="10"/>
      <c r="C101" s="27"/>
      <c r="D101" s="27"/>
      <c r="E101" s="27"/>
      <c r="F101" s="27"/>
      <c r="G101" s="27"/>
      <c r="H101" s="11"/>
      <c r="I101" s="11"/>
      <c r="J101" s="11"/>
      <c r="K101" s="11"/>
      <c r="L101" s="11"/>
      <c r="M101" s="12"/>
    </row>
    <row r="102" spans="1:13" ht="20" customHeight="1">
      <c r="A102" s="10"/>
      <c r="B102" s="10"/>
      <c r="C102" s="27"/>
      <c r="D102" s="27"/>
      <c r="E102" s="27"/>
      <c r="F102" s="27"/>
      <c r="G102" s="27"/>
      <c r="H102" s="11"/>
      <c r="I102" s="11"/>
      <c r="J102" s="11"/>
      <c r="K102" s="11"/>
      <c r="L102" s="11"/>
      <c r="M102" s="12"/>
    </row>
    <row r="103" spans="1:13" ht="20" customHeight="1">
      <c r="A103" s="10"/>
      <c r="B103" s="10"/>
      <c r="C103" s="27"/>
      <c r="D103" s="27"/>
      <c r="E103" s="27"/>
      <c r="F103" s="27"/>
      <c r="G103" s="27"/>
      <c r="H103" s="11"/>
      <c r="I103" s="11"/>
      <c r="J103" s="11"/>
      <c r="K103" s="11"/>
      <c r="L103" s="11"/>
      <c r="M103" s="12"/>
    </row>
    <row r="104" spans="1:13" ht="20" customHeight="1">
      <c r="A104" s="10"/>
      <c r="B104" s="10"/>
      <c r="C104" s="27"/>
      <c r="D104" s="27"/>
      <c r="E104" s="27"/>
      <c r="F104" s="27"/>
      <c r="G104" s="27"/>
      <c r="H104" s="11"/>
      <c r="I104" s="11"/>
      <c r="J104" s="11"/>
      <c r="K104" s="11"/>
      <c r="L104" s="11"/>
      <c r="M104" s="12"/>
    </row>
    <row r="105" spans="1:13" ht="20" customHeight="1">
      <c r="A105" s="10"/>
      <c r="B105" s="10"/>
      <c r="C105" s="27"/>
      <c r="D105" s="27"/>
      <c r="E105" s="27"/>
      <c r="F105" s="27"/>
      <c r="G105" s="27"/>
      <c r="H105" s="11"/>
      <c r="I105" s="11"/>
      <c r="J105" s="11"/>
      <c r="K105" s="11"/>
      <c r="L105" s="11"/>
      <c r="M105" s="12"/>
    </row>
    <row r="106" spans="1:13" ht="20" customHeight="1">
      <c r="A106" s="10"/>
      <c r="B106" s="10"/>
      <c r="C106" s="27"/>
      <c r="D106" s="27"/>
      <c r="E106" s="27"/>
      <c r="F106" s="27"/>
      <c r="G106" s="27"/>
      <c r="H106" s="11"/>
      <c r="I106" s="11"/>
      <c r="J106" s="11"/>
      <c r="K106" s="11"/>
      <c r="L106" s="11"/>
      <c r="M106" s="12"/>
    </row>
    <row r="107" spans="1:13" ht="20" customHeight="1">
      <c r="A107" s="10"/>
      <c r="B107" s="10"/>
      <c r="C107" s="27"/>
      <c r="D107" s="27"/>
      <c r="E107" s="27"/>
      <c r="F107" s="27"/>
      <c r="G107" s="27"/>
      <c r="H107" s="11"/>
      <c r="I107" s="11"/>
      <c r="J107" s="11"/>
      <c r="K107" s="11"/>
      <c r="L107" s="11"/>
      <c r="M107" s="12"/>
    </row>
    <row r="108" spans="1:13" ht="20" customHeight="1">
      <c r="A108" s="10"/>
      <c r="B108" s="10"/>
      <c r="C108" s="27"/>
      <c r="D108" s="27"/>
      <c r="E108" s="27"/>
      <c r="F108" s="27"/>
      <c r="G108" s="27"/>
      <c r="H108" s="11"/>
      <c r="I108" s="11"/>
      <c r="J108" s="11"/>
      <c r="K108" s="11"/>
      <c r="L108" s="11"/>
      <c r="M108" s="12"/>
    </row>
    <row r="109" spans="1:13" ht="20" customHeight="1">
      <c r="A109" s="10"/>
      <c r="B109" s="10"/>
      <c r="C109" s="27"/>
      <c r="D109" s="27"/>
      <c r="E109" s="27"/>
      <c r="F109" s="27"/>
      <c r="G109" s="27"/>
      <c r="H109" s="11"/>
      <c r="I109" s="11"/>
      <c r="J109" s="11"/>
      <c r="K109" s="11"/>
      <c r="L109" s="11"/>
      <c r="M109" s="12"/>
    </row>
    <row r="110" spans="1:13" ht="20" customHeight="1">
      <c r="A110" s="10"/>
      <c r="B110" s="10"/>
      <c r="C110" s="27"/>
      <c r="D110" s="27"/>
      <c r="E110" s="27"/>
      <c r="F110" s="27"/>
      <c r="G110" s="27"/>
      <c r="H110" s="11"/>
      <c r="I110" s="11"/>
      <c r="J110" s="11"/>
      <c r="K110" s="11"/>
      <c r="L110" s="11"/>
      <c r="M110" s="12"/>
    </row>
    <row r="111" spans="1:13" ht="20" customHeight="1">
      <c r="A111" s="10"/>
      <c r="B111" s="10"/>
      <c r="C111" s="27"/>
      <c r="D111" s="27"/>
      <c r="E111" s="27"/>
      <c r="F111" s="27"/>
      <c r="G111" s="27"/>
      <c r="H111" s="11"/>
      <c r="I111" s="11"/>
      <c r="J111" s="11"/>
      <c r="K111" s="11"/>
      <c r="L111" s="11"/>
      <c r="M111" s="12"/>
    </row>
    <row r="112" spans="1:13" ht="20" customHeight="1">
      <c r="A112" s="10"/>
      <c r="B112" s="10"/>
      <c r="C112" s="27"/>
      <c r="D112" s="27"/>
      <c r="E112" s="27"/>
      <c r="F112" s="27"/>
      <c r="G112" s="27"/>
      <c r="H112" s="11"/>
      <c r="I112" s="11"/>
      <c r="J112" s="11"/>
      <c r="K112" s="11"/>
      <c r="L112" s="11"/>
      <c r="M112" s="12"/>
    </row>
    <row r="113" spans="1:13" ht="20" customHeight="1">
      <c r="A113" s="10"/>
      <c r="B113" s="10"/>
      <c r="C113" s="27"/>
      <c r="D113" s="27"/>
      <c r="E113" s="27"/>
      <c r="F113" s="27"/>
      <c r="G113" s="27"/>
      <c r="H113" s="11"/>
      <c r="I113" s="11"/>
      <c r="J113" s="11"/>
      <c r="K113" s="11"/>
      <c r="L113" s="11"/>
      <c r="M113" s="12"/>
    </row>
    <row r="114" spans="1:13" ht="20" customHeight="1">
      <c r="A114" s="10"/>
      <c r="B114" s="10"/>
      <c r="C114" s="27"/>
      <c r="D114" s="27"/>
      <c r="E114" s="27"/>
      <c r="F114" s="27"/>
      <c r="G114" s="27"/>
      <c r="H114" s="11"/>
      <c r="I114" s="11"/>
      <c r="J114" s="11"/>
      <c r="K114" s="11"/>
      <c r="L114" s="11"/>
      <c r="M114" s="12"/>
    </row>
    <row r="115" spans="1:13" ht="20" customHeight="1">
      <c r="A115" s="10"/>
      <c r="B115" s="10"/>
      <c r="C115" s="27"/>
      <c r="D115" s="27"/>
      <c r="E115" s="27"/>
      <c r="F115" s="27"/>
      <c r="G115" s="27"/>
      <c r="H115" s="11"/>
      <c r="I115" s="11"/>
      <c r="J115" s="11"/>
      <c r="K115" s="11"/>
      <c r="L115" s="11"/>
      <c r="M115" s="12"/>
    </row>
    <row r="116" spans="1:13" ht="20" customHeight="1">
      <c r="A116" s="10"/>
      <c r="B116" s="10"/>
      <c r="C116" s="27"/>
      <c r="D116" s="27"/>
      <c r="E116" s="27"/>
      <c r="F116" s="27"/>
      <c r="G116" s="27"/>
      <c r="H116" s="11"/>
      <c r="I116" s="11"/>
      <c r="J116" s="11"/>
      <c r="K116" s="11"/>
      <c r="L116" s="11"/>
      <c r="M116" s="12"/>
    </row>
    <row r="117" spans="1:13" ht="20" customHeight="1">
      <c r="A117" s="10"/>
      <c r="B117" s="10"/>
      <c r="C117" s="27"/>
      <c r="D117" s="27"/>
      <c r="E117" s="27"/>
      <c r="F117" s="27"/>
      <c r="G117" s="27"/>
      <c r="H117" s="11"/>
      <c r="I117" s="11"/>
      <c r="J117" s="11"/>
      <c r="K117" s="11"/>
      <c r="L117" s="11"/>
      <c r="M117" s="12"/>
    </row>
    <row r="118" spans="1:13" ht="20" customHeight="1">
      <c r="A118" s="10"/>
      <c r="B118" s="10"/>
      <c r="C118" s="27"/>
      <c r="D118" s="27"/>
      <c r="E118" s="27"/>
      <c r="F118" s="27"/>
      <c r="G118" s="27"/>
      <c r="H118" s="11"/>
      <c r="I118" s="11"/>
      <c r="J118" s="11"/>
      <c r="K118" s="11"/>
      <c r="L118" s="11"/>
      <c r="M118" s="12"/>
    </row>
    <row r="119" spans="1:13" ht="20" customHeight="1">
      <c r="A119" s="10"/>
      <c r="B119" s="10"/>
      <c r="C119" s="27"/>
      <c r="D119" s="27"/>
      <c r="E119" s="27"/>
      <c r="F119" s="27"/>
      <c r="G119" s="27"/>
      <c r="H119" s="11"/>
      <c r="I119" s="11"/>
      <c r="J119" s="11"/>
      <c r="K119" s="11"/>
      <c r="L119" s="11"/>
      <c r="M119" s="12"/>
    </row>
    <row r="120" spans="1:13" ht="20" customHeight="1">
      <c r="A120" s="10"/>
      <c r="B120" s="10"/>
      <c r="C120" s="27"/>
      <c r="D120" s="27"/>
      <c r="E120" s="27"/>
      <c r="F120" s="27"/>
      <c r="G120" s="27"/>
      <c r="H120" s="11"/>
      <c r="I120" s="11"/>
      <c r="J120" s="11"/>
      <c r="K120" s="11"/>
      <c r="L120" s="11"/>
      <c r="M120" s="12"/>
    </row>
    <row r="121" spans="1:13" ht="20" customHeight="1">
      <c r="A121" s="10"/>
      <c r="B121" s="10"/>
      <c r="C121" s="27"/>
      <c r="D121" s="27"/>
      <c r="E121" s="27"/>
      <c r="F121" s="27"/>
      <c r="G121" s="27"/>
      <c r="H121" s="11"/>
      <c r="I121" s="11"/>
      <c r="J121" s="11"/>
      <c r="K121" s="11"/>
      <c r="L121" s="11"/>
      <c r="M121" s="12"/>
    </row>
    <row r="122" spans="1:13" ht="20" customHeight="1">
      <c r="A122" s="10"/>
      <c r="B122" s="10"/>
      <c r="C122" s="27"/>
      <c r="D122" s="27"/>
      <c r="E122" s="27"/>
      <c r="F122" s="27"/>
      <c r="G122" s="27"/>
      <c r="H122" s="11"/>
      <c r="I122" s="11"/>
      <c r="J122" s="11"/>
      <c r="K122" s="11"/>
      <c r="L122" s="11"/>
      <c r="M122" s="12"/>
    </row>
    <row r="123" spans="1:13" ht="20" customHeight="1">
      <c r="A123" s="10"/>
      <c r="B123" s="10"/>
      <c r="C123" s="27"/>
      <c r="D123" s="27"/>
      <c r="E123" s="27"/>
      <c r="F123" s="27"/>
      <c r="G123" s="27"/>
      <c r="H123" s="11"/>
      <c r="I123" s="11"/>
      <c r="J123" s="11"/>
      <c r="K123" s="11"/>
      <c r="L123" s="11"/>
      <c r="M123" s="12"/>
    </row>
    <row r="124" spans="1:13" ht="20" customHeight="1">
      <c r="A124" s="10"/>
      <c r="B124" s="10"/>
      <c r="C124" s="27"/>
      <c r="D124" s="27"/>
      <c r="E124" s="27"/>
      <c r="F124" s="27"/>
      <c r="G124" s="27"/>
      <c r="H124" s="11"/>
      <c r="I124" s="11"/>
      <c r="J124" s="11"/>
      <c r="K124" s="11"/>
      <c r="L124" s="11"/>
      <c r="M124" s="12"/>
    </row>
    <row r="125" spans="1:13" ht="20" customHeight="1">
      <c r="A125" s="10"/>
      <c r="B125" s="10"/>
      <c r="C125" s="27"/>
      <c r="D125" s="27"/>
      <c r="E125" s="27"/>
      <c r="F125" s="27"/>
      <c r="G125" s="27"/>
      <c r="H125" s="11"/>
      <c r="I125" s="11"/>
      <c r="J125" s="11"/>
      <c r="K125" s="11"/>
      <c r="L125" s="11"/>
      <c r="M125" s="12"/>
    </row>
    <row r="126" spans="1:13" ht="20" customHeight="1">
      <c r="A126" s="10"/>
      <c r="B126" s="10"/>
      <c r="C126" s="27"/>
      <c r="D126" s="27"/>
      <c r="E126" s="27"/>
      <c r="F126" s="27"/>
      <c r="G126" s="27"/>
      <c r="H126" s="11"/>
      <c r="I126" s="11"/>
      <c r="J126" s="11"/>
      <c r="K126" s="11"/>
      <c r="L126" s="11"/>
      <c r="M126" s="12"/>
    </row>
    <row r="127" spans="1:13" ht="20" customHeight="1">
      <c r="A127" s="10"/>
      <c r="B127" s="10"/>
      <c r="C127" s="27"/>
      <c r="D127" s="27"/>
      <c r="E127" s="27"/>
      <c r="F127" s="27"/>
      <c r="G127" s="27"/>
      <c r="H127" s="11"/>
      <c r="I127" s="11"/>
      <c r="J127" s="11"/>
      <c r="K127" s="11"/>
      <c r="L127" s="11"/>
      <c r="M127" s="12"/>
    </row>
    <row r="128" spans="1:13" ht="20" customHeight="1">
      <c r="A128" s="10"/>
      <c r="B128" s="10"/>
      <c r="C128" s="27"/>
      <c r="D128" s="27"/>
      <c r="E128" s="27"/>
      <c r="F128" s="27"/>
      <c r="G128" s="27"/>
      <c r="H128" s="11"/>
      <c r="I128" s="11"/>
      <c r="J128" s="11"/>
      <c r="K128" s="11"/>
      <c r="L128" s="11"/>
      <c r="M128" s="12"/>
    </row>
    <row r="129" spans="1:13" ht="20" customHeight="1">
      <c r="A129" s="10"/>
      <c r="B129" s="10"/>
      <c r="C129" s="27"/>
      <c r="D129" s="27"/>
      <c r="E129" s="27"/>
      <c r="F129" s="27"/>
      <c r="G129" s="27"/>
      <c r="H129" s="11"/>
      <c r="I129" s="11"/>
      <c r="J129" s="11"/>
      <c r="K129" s="11"/>
      <c r="L129" s="11"/>
      <c r="M129" s="12"/>
    </row>
    <row r="130" spans="1:13" ht="20" customHeight="1">
      <c r="A130" s="10"/>
      <c r="B130" s="10"/>
      <c r="C130" s="27"/>
      <c r="D130" s="27"/>
      <c r="E130" s="27"/>
      <c r="F130" s="27"/>
      <c r="G130" s="27"/>
      <c r="H130" s="11"/>
      <c r="I130" s="11"/>
      <c r="J130" s="11"/>
      <c r="K130" s="11"/>
      <c r="L130" s="11"/>
      <c r="M130" s="12"/>
    </row>
    <row r="131" spans="1:13" ht="20" customHeight="1">
      <c r="A131" s="10"/>
      <c r="B131" s="10"/>
      <c r="C131" s="27"/>
      <c r="D131" s="27"/>
      <c r="E131" s="27"/>
      <c r="F131" s="27"/>
      <c r="G131" s="27"/>
      <c r="H131" s="11"/>
      <c r="I131" s="11"/>
      <c r="J131" s="11"/>
      <c r="K131" s="11"/>
      <c r="L131" s="11"/>
      <c r="M131" s="12"/>
    </row>
    <row r="132" spans="1:13" ht="20" customHeight="1">
      <c r="A132" s="10"/>
      <c r="B132" s="10"/>
      <c r="C132" s="27"/>
      <c r="D132" s="27"/>
      <c r="E132" s="27"/>
      <c r="F132" s="27"/>
      <c r="G132" s="27"/>
      <c r="H132" s="11"/>
      <c r="I132" s="11"/>
      <c r="J132" s="11"/>
      <c r="K132" s="11"/>
      <c r="L132" s="11"/>
      <c r="M132" s="12"/>
    </row>
    <row r="133" spans="1:13" ht="20" customHeight="1">
      <c r="A133" s="10"/>
      <c r="B133" s="10"/>
      <c r="C133" s="27"/>
      <c r="D133" s="27"/>
      <c r="E133" s="27"/>
      <c r="F133" s="27"/>
      <c r="G133" s="27"/>
      <c r="H133" s="11"/>
      <c r="I133" s="11"/>
      <c r="J133" s="11"/>
      <c r="K133" s="11"/>
      <c r="L133" s="11"/>
      <c r="M133" s="12"/>
    </row>
    <row r="134" spans="1:13" ht="20" customHeight="1">
      <c r="A134" s="10"/>
      <c r="B134" s="10"/>
      <c r="C134" s="27"/>
      <c r="D134" s="27"/>
      <c r="E134" s="27"/>
      <c r="F134" s="27"/>
      <c r="G134" s="27"/>
      <c r="H134" s="11"/>
      <c r="I134" s="11"/>
      <c r="J134" s="11"/>
      <c r="K134" s="11"/>
      <c r="L134" s="11"/>
      <c r="M134" s="12"/>
    </row>
    <row r="135" spans="1:13" ht="20" customHeight="1">
      <c r="A135" s="10"/>
      <c r="B135" s="10"/>
      <c r="C135" s="27"/>
      <c r="D135" s="27"/>
      <c r="E135" s="27"/>
      <c r="F135" s="27"/>
      <c r="G135" s="27"/>
      <c r="H135" s="11"/>
      <c r="I135" s="11"/>
      <c r="J135" s="11"/>
      <c r="K135" s="11"/>
      <c r="L135" s="11"/>
      <c r="M135" s="12"/>
    </row>
    <row r="136" spans="1:13" ht="20" customHeight="1">
      <c r="A136" s="10"/>
      <c r="B136" s="10"/>
      <c r="C136" s="27"/>
      <c r="D136" s="27"/>
      <c r="E136" s="27"/>
      <c r="F136" s="27"/>
      <c r="G136" s="27"/>
      <c r="H136" s="11"/>
      <c r="I136" s="11"/>
      <c r="J136" s="11"/>
      <c r="K136" s="11"/>
      <c r="L136" s="11"/>
      <c r="M136" s="12"/>
    </row>
    <row r="137" spans="1:13" ht="20" customHeight="1">
      <c r="A137" s="10"/>
      <c r="B137" s="10"/>
      <c r="C137" s="27"/>
      <c r="D137" s="27"/>
      <c r="E137" s="27"/>
      <c r="F137" s="27"/>
      <c r="G137" s="27"/>
      <c r="H137" s="11"/>
      <c r="I137" s="11"/>
      <c r="J137" s="11"/>
      <c r="K137" s="11"/>
      <c r="L137" s="11"/>
      <c r="M137" s="12"/>
    </row>
    <row r="138" spans="1:13" ht="20" customHeight="1">
      <c r="A138" s="10"/>
      <c r="B138" s="10"/>
      <c r="C138" s="27"/>
      <c r="D138" s="27"/>
      <c r="E138" s="27"/>
      <c r="F138" s="27"/>
      <c r="G138" s="27"/>
      <c r="H138" s="11"/>
      <c r="I138" s="11"/>
      <c r="J138" s="11"/>
      <c r="K138" s="11"/>
      <c r="L138" s="11"/>
      <c r="M138" s="12"/>
    </row>
    <row r="139" spans="1:13" ht="20" customHeight="1">
      <c r="A139" s="10"/>
      <c r="B139" s="10"/>
      <c r="C139" s="27"/>
      <c r="D139" s="27"/>
      <c r="E139" s="27"/>
      <c r="F139" s="27"/>
      <c r="G139" s="27"/>
      <c r="H139" s="11"/>
      <c r="I139" s="11"/>
      <c r="J139" s="11"/>
      <c r="K139" s="11"/>
      <c r="L139" s="11"/>
      <c r="M139" s="12"/>
    </row>
    <row r="140" spans="1:13" ht="20" customHeight="1">
      <c r="A140" s="10"/>
      <c r="B140" s="10"/>
      <c r="C140" s="27"/>
      <c r="D140" s="27"/>
      <c r="E140" s="27"/>
      <c r="F140" s="27"/>
      <c r="G140" s="27"/>
      <c r="H140" s="11"/>
      <c r="I140" s="11"/>
      <c r="J140" s="11"/>
      <c r="K140" s="11"/>
      <c r="L140" s="11"/>
      <c r="M140" s="12"/>
    </row>
    <row r="141" spans="1:13" ht="20" customHeight="1">
      <c r="A141" s="10"/>
      <c r="B141" s="10"/>
      <c r="C141" s="27"/>
      <c r="D141" s="27"/>
      <c r="E141" s="27"/>
      <c r="F141" s="27"/>
      <c r="G141" s="27"/>
      <c r="H141" s="11"/>
      <c r="I141" s="11"/>
      <c r="J141" s="11"/>
      <c r="K141" s="11"/>
      <c r="L141" s="11"/>
      <c r="M141" s="12"/>
    </row>
    <row r="142" spans="1:13" ht="20" customHeight="1">
      <c r="A142" s="10"/>
      <c r="B142" s="10"/>
      <c r="C142" s="27"/>
      <c r="D142" s="27"/>
      <c r="E142" s="27"/>
      <c r="F142" s="27"/>
      <c r="G142" s="27"/>
      <c r="H142" s="11"/>
      <c r="I142" s="11"/>
      <c r="J142" s="11"/>
      <c r="K142" s="11"/>
      <c r="L142" s="11"/>
      <c r="M142" s="12"/>
    </row>
    <row r="143" spans="1:13" ht="20" customHeight="1">
      <c r="A143" s="10"/>
      <c r="B143" s="10"/>
      <c r="C143" s="27"/>
      <c r="D143" s="27"/>
      <c r="E143" s="27"/>
      <c r="F143" s="27"/>
      <c r="G143" s="27"/>
      <c r="H143" s="11"/>
      <c r="I143" s="11"/>
      <c r="J143" s="11"/>
      <c r="K143" s="11"/>
      <c r="L143" s="11"/>
      <c r="M143" s="12"/>
    </row>
    <row r="144" spans="1:13" ht="20" customHeight="1">
      <c r="A144" s="10"/>
      <c r="B144" s="10"/>
      <c r="C144" s="27"/>
      <c r="D144" s="27"/>
      <c r="E144" s="27"/>
      <c r="F144" s="27"/>
      <c r="G144" s="27"/>
      <c r="H144" s="11"/>
      <c r="I144" s="11"/>
      <c r="J144" s="11"/>
      <c r="K144" s="11"/>
      <c r="L144" s="11"/>
      <c r="M144" s="12"/>
    </row>
    <row r="145" spans="1:13" ht="20" customHeight="1">
      <c r="A145" s="10"/>
      <c r="B145" s="10"/>
      <c r="C145" s="27"/>
      <c r="D145" s="27"/>
      <c r="E145" s="27"/>
      <c r="F145" s="27"/>
      <c r="G145" s="27"/>
      <c r="H145" s="11"/>
      <c r="I145" s="11"/>
      <c r="J145" s="11"/>
      <c r="K145" s="11"/>
      <c r="L145" s="11"/>
      <c r="M145" s="12"/>
    </row>
    <row r="146" spans="1:13" ht="20" customHeight="1">
      <c r="A146" s="10"/>
      <c r="B146" s="10"/>
      <c r="C146" s="27"/>
      <c r="D146" s="27"/>
      <c r="E146" s="27"/>
      <c r="F146" s="27"/>
      <c r="G146" s="27"/>
      <c r="H146" s="11"/>
      <c r="I146" s="11"/>
      <c r="J146" s="11"/>
      <c r="K146" s="11"/>
      <c r="L146" s="11"/>
      <c r="M146" s="12"/>
    </row>
    <row r="147" spans="1:13" ht="20" customHeight="1">
      <c r="A147" s="10"/>
      <c r="B147" s="10"/>
      <c r="C147" s="27"/>
      <c r="D147" s="27"/>
      <c r="E147" s="27"/>
      <c r="F147" s="27"/>
      <c r="G147" s="27"/>
      <c r="H147" s="11"/>
      <c r="I147" s="11"/>
      <c r="J147" s="11"/>
      <c r="K147" s="11"/>
      <c r="L147" s="11"/>
      <c r="M147" s="12"/>
    </row>
    <row r="148" spans="1:13" ht="20" customHeight="1">
      <c r="A148" s="10"/>
      <c r="B148" s="10"/>
      <c r="C148" s="27"/>
      <c r="D148" s="27"/>
      <c r="E148" s="27"/>
      <c r="F148" s="27"/>
      <c r="G148" s="27"/>
      <c r="H148" s="11"/>
      <c r="I148" s="11"/>
      <c r="J148" s="11"/>
      <c r="K148" s="11"/>
      <c r="L148" s="11"/>
      <c r="M148" s="12"/>
    </row>
    <row r="149" spans="1:13" ht="20" customHeight="1">
      <c r="A149" s="10"/>
      <c r="B149" s="10"/>
      <c r="C149" s="27"/>
      <c r="D149" s="27"/>
      <c r="E149" s="27"/>
      <c r="F149" s="27"/>
      <c r="G149" s="27"/>
      <c r="H149" s="11"/>
      <c r="I149" s="11"/>
      <c r="J149" s="11"/>
      <c r="K149" s="11"/>
      <c r="L149" s="11"/>
      <c r="M149" s="12"/>
    </row>
    <row r="150" spans="1:13" ht="20" customHeight="1">
      <c r="A150" s="10"/>
      <c r="B150" s="10"/>
      <c r="C150" s="27"/>
      <c r="D150" s="27"/>
      <c r="E150" s="27"/>
      <c r="F150" s="27"/>
      <c r="G150" s="27"/>
      <c r="H150" s="11"/>
      <c r="I150" s="11"/>
      <c r="J150" s="11"/>
      <c r="K150" s="11"/>
      <c r="L150" s="11"/>
      <c r="M150" s="12"/>
    </row>
    <row r="151" spans="1:13" ht="20" customHeight="1">
      <c r="A151" s="10"/>
      <c r="B151" s="10"/>
      <c r="C151" s="27"/>
      <c r="D151" s="27"/>
      <c r="E151" s="27"/>
      <c r="F151" s="27"/>
      <c r="G151" s="27"/>
      <c r="H151" s="11"/>
      <c r="I151" s="11"/>
      <c r="J151" s="11"/>
      <c r="K151" s="11"/>
      <c r="L151" s="11"/>
      <c r="M151" s="12"/>
    </row>
    <row r="152" spans="1:13" ht="20" customHeight="1">
      <c r="A152" s="10"/>
      <c r="B152" s="10"/>
      <c r="C152" s="27"/>
      <c r="D152" s="27"/>
      <c r="E152" s="27"/>
      <c r="F152" s="27"/>
      <c r="G152" s="27"/>
      <c r="H152" s="11"/>
      <c r="I152" s="11"/>
      <c r="J152" s="11"/>
      <c r="K152" s="11"/>
      <c r="L152" s="11"/>
      <c r="M152" s="12"/>
    </row>
    <row r="153" spans="1:13" ht="20" customHeight="1">
      <c r="A153" s="10"/>
      <c r="B153" s="10"/>
      <c r="C153" s="27"/>
      <c r="D153" s="27"/>
      <c r="E153" s="27"/>
      <c r="F153" s="27"/>
      <c r="G153" s="27"/>
      <c r="H153" s="11"/>
      <c r="I153" s="11"/>
      <c r="J153" s="11"/>
      <c r="K153" s="11"/>
      <c r="L153" s="11"/>
      <c r="M153" s="12"/>
    </row>
    <row r="154" spans="1:13" ht="20" customHeight="1">
      <c r="A154" s="10"/>
      <c r="B154" s="10"/>
      <c r="C154" s="27"/>
      <c r="D154" s="27"/>
      <c r="E154" s="27"/>
      <c r="F154" s="27"/>
      <c r="G154" s="27"/>
      <c r="H154" s="11"/>
      <c r="I154" s="11"/>
      <c r="J154" s="11"/>
      <c r="K154" s="11"/>
      <c r="L154" s="11"/>
      <c r="M154" s="12"/>
    </row>
    <row r="155" spans="1:13" ht="20" customHeight="1">
      <c r="A155" s="10"/>
      <c r="B155" s="10"/>
      <c r="C155" s="27"/>
      <c r="D155" s="27"/>
      <c r="E155" s="27"/>
      <c r="F155" s="27"/>
      <c r="G155" s="27"/>
      <c r="H155" s="11"/>
      <c r="I155" s="11"/>
      <c r="J155" s="11"/>
      <c r="K155" s="11"/>
      <c r="L155" s="11"/>
      <c r="M155" s="12"/>
    </row>
    <row r="156" spans="1:13" ht="20" customHeight="1">
      <c r="A156" s="10"/>
      <c r="B156" s="10"/>
      <c r="C156" s="27"/>
      <c r="D156" s="27"/>
      <c r="E156" s="27"/>
      <c r="F156" s="27"/>
      <c r="G156" s="27"/>
      <c r="H156" s="11"/>
      <c r="I156" s="11"/>
      <c r="J156" s="11"/>
      <c r="K156" s="11"/>
      <c r="L156" s="11"/>
      <c r="M156" s="12"/>
    </row>
    <row r="157" spans="1:13" ht="20" customHeight="1">
      <c r="A157" s="10"/>
      <c r="B157" s="10"/>
      <c r="C157" s="27"/>
      <c r="D157" s="27"/>
      <c r="E157" s="27"/>
      <c r="F157" s="27"/>
      <c r="G157" s="27"/>
      <c r="H157" s="11"/>
      <c r="I157" s="11"/>
      <c r="J157" s="11"/>
      <c r="K157" s="11"/>
      <c r="L157" s="11"/>
      <c r="M157" s="12"/>
    </row>
    <row r="158" spans="1:13" ht="20" customHeight="1">
      <c r="A158" s="10"/>
      <c r="B158" s="10"/>
      <c r="C158" s="27"/>
      <c r="D158" s="27"/>
      <c r="E158" s="27"/>
      <c r="F158" s="27"/>
      <c r="G158" s="27"/>
      <c r="H158" s="11"/>
      <c r="I158" s="11"/>
      <c r="J158" s="11"/>
      <c r="K158" s="11"/>
      <c r="L158" s="11"/>
      <c r="M158" s="12"/>
    </row>
    <row r="159" spans="1:13" ht="20" customHeight="1">
      <c r="A159" s="10"/>
      <c r="B159" s="10"/>
      <c r="C159" s="27"/>
      <c r="D159" s="27"/>
      <c r="E159" s="27"/>
      <c r="F159" s="27"/>
      <c r="G159" s="27"/>
      <c r="H159" s="11"/>
      <c r="I159" s="11"/>
      <c r="J159" s="11"/>
      <c r="K159" s="11"/>
      <c r="L159" s="11"/>
      <c r="M159" s="12"/>
    </row>
    <row r="160" spans="1:13" ht="20" customHeight="1">
      <c r="A160" s="10"/>
      <c r="B160" s="10"/>
      <c r="C160" s="27"/>
      <c r="D160" s="27"/>
      <c r="E160" s="27"/>
      <c r="F160" s="27"/>
      <c r="G160" s="27"/>
      <c r="H160" s="11"/>
      <c r="I160" s="11"/>
      <c r="J160" s="11"/>
      <c r="K160" s="11"/>
      <c r="L160" s="11"/>
      <c r="M160" s="12"/>
    </row>
    <row r="161" spans="1:13" ht="20" customHeight="1">
      <c r="A161" s="10"/>
      <c r="B161" s="10"/>
      <c r="C161" s="27"/>
      <c r="D161" s="27"/>
      <c r="E161" s="27"/>
      <c r="F161" s="27"/>
      <c r="G161" s="27"/>
      <c r="H161" s="11"/>
      <c r="I161" s="11"/>
      <c r="J161" s="11"/>
      <c r="K161" s="11"/>
      <c r="L161" s="11"/>
      <c r="M161" s="12"/>
    </row>
    <row r="162" spans="1:13" ht="20" customHeight="1">
      <c r="A162" s="10"/>
      <c r="B162" s="10"/>
      <c r="C162" s="27"/>
      <c r="D162" s="27"/>
      <c r="E162" s="27"/>
      <c r="F162" s="27"/>
      <c r="G162" s="27"/>
      <c r="H162" s="11"/>
      <c r="I162" s="11"/>
      <c r="J162" s="11"/>
      <c r="K162" s="11"/>
      <c r="L162" s="11"/>
      <c r="M162" s="12"/>
    </row>
    <row r="163" spans="1:13" ht="20" customHeight="1">
      <c r="A163" s="10"/>
      <c r="B163" s="10"/>
      <c r="C163" s="27"/>
      <c r="D163" s="27"/>
      <c r="E163" s="27"/>
      <c r="F163" s="27"/>
      <c r="G163" s="27"/>
      <c r="H163" s="11"/>
      <c r="I163" s="11"/>
      <c r="J163" s="11"/>
      <c r="K163" s="11"/>
      <c r="L163" s="11"/>
      <c r="M163" s="12"/>
    </row>
    <row r="164" spans="1:13" ht="20" customHeight="1">
      <c r="A164" s="10"/>
      <c r="B164" s="10"/>
      <c r="C164" s="27"/>
      <c r="D164" s="27"/>
      <c r="E164" s="27"/>
      <c r="F164" s="27"/>
      <c r="G164" s="27"/>
      <c r="H164" s="11"/>
      <c r="I164" s="11"/>
      <c r="J164" s="11"/>
      <c r="K164" s="11"/>
      <c r="L164" s="11"/>
      <c r="M164" s="12"/>
    </row>
    <row r="165" spans="1:13" ht="20" customHeight="1">
      <c r="A165" s="10"/>
      <c r="B165" s="10"/>
      <c r="C165" s="27"/>
      <c r="D165" s="27"/>
      <c r="E165" s="27"/>
      <c r="F165" s="27"/>
      <c r="G165" s="27"/>
      <c r="H165" s="11"/>
      <c r="I165" s="11"/>
      <c r="J165" s="11"/>
      <c r="K165" s="11"/>
      <c r="L165" s="11"/>
      <c r="M165" s="12"/>
    </row>
    <row r="166" spans="1:13" ht="20" customHeight="1">
      <c r="A166" s="10"/>
      <c r="B166" s="10"/>
      <c r="C166" s="27"/>
      <c r="D166" s="27"/>
      <c r="E166" s="27"/>
      <c r="F166" s="27"/>
      <c r="G166" s="27"/>
      <c r="H166" s="11"/>
      <c r="I166" s="11"/>
      <c r="J166" s="11"/>
      <c r="K166" s="11"/>
      <c r="L166" s="11"/>
      <c r="M166" s="12"/>
    </row>
    <row r="167" spans="1:13" ht="20" customHeight="1">
      <c r="A167" s="10"/>
      <c r="B167" s="10"/>
      <c r="C167" s="27"/>
      <c r="D167" s="27"/>
      <c r="E167" s="27"/>
      <c r="F167" s="27"/>
      <c r="G167" s="27"/>
      <c r="H167" s="11"/>
      <c r="I167" s="11"/>
      <c r="J167" s="11"/>
      <c r="K167" s="11"/>
      <c r="L167" s="11"/>
      <c r="M167" s="12"/>
    </row>
    <row r="168" spans="1:13" ht="20" customHeight="1">
      <c r="A168" s="10"/>
      <c r="B168" s="10"/>
      <c r="C168" s="27"/>
      <c r="D168" s="27"/>
      <c r="E168" s="27"/>
      <c r="F168" s="27"/>
      <c r="G168" s="27"/>
      <c r="H168" s="11"/>
      <c r="I168" s="11"/>
      <c r="J168" s="11"/>
      <c r="K168" s="11"/>
      <c r="L168" s="11"/>
      <c r="M168" s="12"/>
    </row>
    <row r="169" spans="1:13" ht="20" customHeight="1">
      <c r="A169" s="10"/>
      <c r="B169" s="10"/>
      <c r="C169" s="27"/>
      <c r="D169" s="27"/>
      <c r="E169" s="27"/>
      <c r="F169" s="27"/>
      <c r="G169" s="27"/>
      <c r="H169" s="11"/>
      <c r="I169" s="11"/>
      <c r="J169" s="11"/>
      <c r="K169" s="11"/>
      <c r="L169" s="11"/>
      <c r="M169" s="12"/>
    </row>
    <row r="170" spans="1:13" ht="20" customHeight="1">
      <c r="A170" s="10"/>
      <c r="B170" s="10"/>
      <c r="C170" s="27"/>
      <c r="D170" s="27"/>
      <c r="E170" s="27"/>
      <c r="F170" s="27"/>
      <c r="G170" s="27"/>
      <c r="H170" s="11"/>
      <c r="I170" s="11"/>
      <c r="J170" s="11"/>
      <c r="K170" s="11"/>
      <c r="L170" s="11"/>
      <c r="M170" s="12"/>
    </row>
    <row r="171" spans="1:13" ht="20" customHeight="1">
      <c r="A171" s="10"/>
      <c r="B171" s="10"/>
      <c r="C171" s="27"/>
      <c r="D171" s="27"/>
      <c r="E171" s="27"/>
      <c r="F171" s="27"/>
      <c r="G171" s="27"/>
      <c r="H171" s="11"/>
      <c r="I171" s="11"/>
      <c r="J171" s="11"/>
      <c r="K171" s="11"/>
      <c r="L171" s="11"/>
      <c r="M171" s="12"/>
    </row>
    <row r="172" spans="1:13" ht="20" customHeight="1">
      <c r="A172" s="10"/>
      <c r="B172" s="10"/>
      <c r="C172" s="27"/>
      <c r="D172" s="27"/>
      <c r="E172" s="27"/>
      <c r="F172" s="27"/>
      <c r="G172" s="27"/>
      <c r="H172" s="11"/>
      <c r="I172" s="11"/>
      <c r="J172" s="11"/>
      <c r="K172" s="11"/>
      <c r="L172" s="11"/>
      <c r="M172" s="12"/>
    </row>
    <row r="173" spans="1:13" ht="20" customHeight="1">
      <c r="A173" s="10"/>
      <c r="B173" s="10"/>
      <c r="C173" s="27"/>
      <c r="D173" s="27"/>
      <c r="E173" s="27"/>
      <c r="F173" s="27"/>
      <c r="G173" s="27"/>
      <c r="H173" s="11"/>
      <c r="I173" s="11"/>
      <c r="J173" s="11"/>
      <c r="K173" s="11"/>
      <c r="L173" s="11"/>
      <c r="M173" s="12"/>
    </row>
    <row r="174" spans="1:13" ht="20" customHeight="1">
      <c r="A174" s="10"/>
      <c r="B174" s="10"/>
      <c r="C174" s="27"/>
      <c r="D174" s="27"/>
      <c r="E174" s="27"/>
      <c r="F174" s="27"/>
      <c r="G174" s="27"/>
      <c r="H174" s="11"/>
      <c r="I174" s="11"/>
      <c r="J174" s="11"/>
      <c r="K174" s="11"/>
      <c r="L174" s="11"/>
      <c r="M174" s="12"/>
    </row>
    <row r="175" spans="1:13" ht="20" customHeight="1">
      <c r="A175" s="10"/>
      <c r="B175" s="10"/>
      <c r="C175" s="27"/>
      <c r="D175" s="27"/>
      <c r="E175" s="27"/>
      <c r="F175" s="27"/>
      <c r="G175" s="27"/>
      <c r="H175" s="11"/>
      <c r="I175" s="11"/>
      <c r="J175" s="11"/>
      <c r="K175" s="11"/>
      <c r="L175" s="11"/>
      <c r="M175" s="12"/>
    </row>
    <row r="176" spans="1:13" ht="20" customHeight="1">
      <c r="A176" s="10"/>
      <c r="B176" s="10"/>
      <c r="C176" s="27"/>
      <c r="D176" s="27"/>
      <c r="E176" s="27"/>
      <c r="F176" s="27"/>
      <c r="G176" s="27"/>
      <c r="H176" s="11"/>
      <c r="I176" s="11"/>
      <c r="J176" s="11"/>
      <c r="K176" s="11"/>
      <c r="L176" s="11"/>
      <c r="M176" s="12"/>
    </row>
    <row r="177" spans="1:13" ht="20" customHeight="1">
      <c r="A177" s="10"/>
      <c r="B177" s="10"/>
      <c r="C177" s="27"/>
      <c r="D177" s="27"/>
      <c r="E177" s="27"/>
      <c r="F177" s="27"/>
      <c r="G177" s="27"/>
      <c r="H177" s="11"/>
      <c r="I177" s="11"/>
      <c r="J177" s="11"/>
      <c r="K177" s="11"/>
      <c r="L177" s="11"/>
      <c r="M177" s="12"/>
    </row>
    <row r="178" spans="1:13" ht="20" customHeight="1">
      <c r="A178" s="10"/>
      <c r="B178" s="10"/>
      <c r="C178" s="27"/>
      <c r="D178" s="27"/>
      <c r="E178" s="27"/>
      <c r="F178" s="27"/>
      <c r="G178" s="27"/>
      <c r="H178" s="11"/>
      <c r="I178" s="11"/>
      <c r="J178" s="11"/>
      <c r="K178" s="11"/>
      <c r="L178" s="11"/>
      <c r="M178" s="12"/>
    </row>
    <row r="179" spans="1:13" ht="20" customHeight="1">
      <c r="A179" s="10"/>
      <c r="B179" s="10"/>
      <c r="C179" s="27"/>
      <c r="D179" s="27"/>
      <c r="E179" s="27"/>
      <c r="F179" s="27"/>
      <c r="G179" s="27"/>
      <c r="H179" s="11"/>
      <c r="I179" s="11"/>
      <c r="J179" s="11"/>
      <c r="K179" s="11"/>
      <c r="L179" s="11"/>
      <c r="M179" s="12"/>
    </row>
    <row r="180" spans="1:13" ht="20" customHeight="1">
      <c r="A180" s="10"/>
      <c r="B180" s="10"/>
      <c r="C180" s="27"/>
      <c r="D180" s="27"/>
      <c r="E180" s="27"/>
      <c r="F180" s="27"/>
      <c r="G180" s="27"/>
      <c r="H180" s="11"/>
      <c r="I180" s="11"/>
      <c r="J180" s="11"/>
      <c r="K180" s="11"/>
      <c r="L180" s="11"/>
      <c r="M180" s="12"/>
    </row>
    <row r="181" spans="1:13" ht="20" customHeight="1">
      <c r="A181" s="10"/>
      <c r="B181" s="10"/>
      <c r="C181" s="27"/>
      <c r="D181" s="27"/>
      <c r="E181" s="27"/>
      <c r="F181" s="27"/>
      <c r="G181" s="27"/>
      <c r="H181" s="11"/>
      <c r="I181" s="11"/>
      <c r="J181" s="11"/>
      <c r="K181" s="11"/>
      <c r="L181" s="11"/>
      <c r="M181" s="12"/>
    </row>
    <row r="182" spans="1:13" ht="20" customHeight="1">
      <c r="A182" s="10"/>
      <c r="B182" s="10"/>
      <c r="C182" s="27"/>
      <c r="D182" s="27"/>
      <c r="E182" s="27"/>
      <c r="F182" s="27"/>
      <c r="G182" s="27"/>
      <c r="H182" s="11"/>
      <c r="I182" s="11"/>
      <c r="J182" s="11"/>
      <c r="K182" s="11"/>
      <c r="L182" s="11"/>
      <c r="M182" s="12"/>
    </row>
    <row r="183" spans="1:13" ht="20" customHeight="1">
      <c r="A183" s="10"/>
      <c r="B183" s="10"/>
      <c r="C183" s="27"/>
      <c r="D183" s="27"/>
      <c r="E183" s="27"/>
      <c r="F183" s="27"/>
      <c r="G183" s="27"/>
      <c r="H183" s="11"/>
      <c r="I183" s="11"/>
      <c r="J183" s="11"/>
      <c r="K183" s="11"/>
      <c r="L183" s="11"/>
      <c r="M183" s="12"/>
    </row>
    <row r="184" spans="1:13" ht="14">
      <c r="M184" s="20"/>
    </row>
    <row r="185" spans="1:13" ht="14">
      <c r="M185" s="20"/>
    </row>
    <row r="186" spans="1:13" ht="14">
      <c r="M186" s="20"/>
    </row>
    <row r="187" spans="1:13" ht="14">
      <c r="M187" s="20"/>
    </row>
    <row r="188" spans="1:13" ht="14">
      <c r="M188" s="20"/>
    </row>
    <row r="189" spans="1:13" ht="14">
      <c r="M189" s="20"/>
    </row>
    <row r="190" spans="1:13" ht="14">
      <c r="M190" s="20"/>
    </row>
    <row r="191" spans="1:13" ht="14">
      <c r="M191" s="20"/>
    </row>
    <row r="192" spans="1:13" ht="14">
      <c r="M192" s="20"/>
    </row>
    <row r="193" spans="13:13" ht="14">
      <c r="M193" s="20"/>
    </row>
    <row r="194" spans="13:13" ht="14">
      <c r="M194" s="20"/>
    </row>
    <row r="195" spans="13:13" ht="14">
      <c r="M195" s="20"/>
    </row>
    <row r="196" spans="13:13" ht="14">
      <c r="M196" s="20"/>
    </row>
    <row r="197" spans="13:13" ht="14">
      <c r="M197" s="20"/>
    </row>
    <row r="198" spans="13:13" ht="14">
      <c r="M198" s="20"/>
    </row>
    <row r="199" spans="13:13" ht="14">
      <c r="M199" s="20"/>
    </row>
    <row r="200" spans="13:13" ht="14">
      <c r="M200" s="20"/>
    </row>
    <row r="201" spans="13:13" ht="14">
      <c r="M201" s="20"/>
    </row>
    <row r="202" spans="13:13" ht="14">
      <c r="M202" s="20"/>
    </row>
    <row r="203" spans="13:13" ht="14">
      <c r="M203" s="20"/>
    </row>
    <row r="204" spans="13:13" ht="14">
      <c r="M204" s="20"/>
    </row>
    <row r="205" spans="13:13" ht="14">
      <c r="M205" s="20"/>
    </row>
    <row r="206" spans="13:13" ht="14">
      <c r="M206" s="20"/>
    </row>
    <row r="207" spans="13:13" ht="14">
      <c r="M207" s="20"/>
    </row>
    <row r="208" spans="13:13" ht="14">
      <c r="M208" s="20"/>
    </row>
    <row r="209" spans="13:13" ht="14">
      <c r="M209" s="20"/>
    </row>
    <row r="210" spans="13:13" ht="14">
      <c r="M210" s="20"/>
    </row>
    <row r="211" spans="13:13" ht="14">
      <c r="M211" s="20"/>
    </row>
    <row r="212" spans="13:13" ht="14">
      <c r="M212" s="20"/>
    </row>
    <row r="213" spans="13:13" ht="14">
      <c r="M213" s="20"/>
    </row>
    <row r="214" spans="13:13" ht="14">
      <c r="M214" s="20"/>
    </row>
    <row r="215" spans="13:13" ht="14">
      <c r="M215" s="20"/>
    </row>
    <row r="216" spans="13:13" ht="14">
      <c r="M216" s="20"/>
    </row>
    <row r="217" spans="13:13" ht="14">
      <c r="M217" s="20"/>
    </row>
    <row r="218" spans="13:13" ht="14">
      <c r="M218" s="20"/>
    </row>
    <row r="219" spans="13:13" ht="14">
      <c r="M219" s="20"/>
    </row>
    <row r="220" spans="13:13" ht="14">
      <c r="M220" s="20"/>
    </row>
    <row r="221" spans="13:13" ht="14">
      <c r="M221" s="20"/>
    </row>
    <row r="222" spans="13:13" ht="14">
      <c r="M222" s="20"/>
    </row>
    <row r="223" spans="13:13" ht="14">
      <c r="M223" s="20"/>
    </row>
    <row r="224" spans="13:13" ht="14">
      <c r="M224" s="20"/>
    </row>
    <row r="225" spans="13:13" ht="14">
      <c r="M225" s="20"/>
    </row>
    <row r="226" spans="13:13" ht="14">
      <c r="M226" s="20"/>
    </row>
    <row r="227" spans="13:13" ht="14">
      <c r="M227" s="20"/>
    </row>
    <row r="228" spans="13:13" ht="14">
      <c r="M228" s="20"/>
    </row>
    <row r="229" spans="13:13" ht="14">
      <c r="M229" s="20"/>
    </row>
    <row r="230" spans="13:13" ht="14">
      <c r="M230" s="20"/>
    </row>
    <row r="231" spans="13:13" ht="14">
      <c r="M231" s="20"/>
    </row>
    <row r="232" spans="13:13" ht="14">
      <c r="M232" s="20"/>
    </row>
    <row r="233" spans="13:13" ht="14">
      <c r="M233" s="20"/>
    </row>
    <row r="234" spans="13:13" ht="14">
      <c r="M234" s="20"/>
    </row>
    <row r="235" spans="13:13" ht="14">
      <c r="M235" s="20"/>
    </row>
    <row r="236" spans="13:13" ht="14">
      <c r="M236" s="20"/>
    </row>
    <row r="237" spans="13:13" ht="14">
      <c r="M237" s="20"/>
    </row>
    <row r="238" spans="13:13" ht="14">
      <c r="M238" s="20"/>
    </row>
    <row r="239" spans="13:13" ht="14">
      <c r="M239" s="20"/>
    </row>
    <row r="240" spans="13:13" ht="14">
      <c r="M240" s="20"/>
    </row>
    <row r="241" spans="13:13" ht="14">
      <c r="M241" s="20"/>
    </row>
    <row r="242" spans="13:13" ht="14">
      <c r="M242" s="20"/>
    </row>
    <row r="243" spans="13:13" ht="14">
      <c r="M243" s="20"/>
    </row>
    <row r="244" spans="13:13" ht="14">
      <c r="M244" s="20"/>
    </row>
    <row r="245" spans="13:13" ht="14">
      <c r="M245" s="20"/>
    </row>
    <row r="246" spans="13:13" ht="14">
      <c r="M246" s="20"/>
    </row>
    <row r="247" spans="13:13" ht="14">
      <c r="M247" s="20"/>
    </row>
    <row r="248" spans="13:13" ht="14">
      <c r="M248" s="20"/>
    </row>
    <row r="249" spans="13:13" ht="14">
      <c r="M249" s="20"/>
    </row>
    <row r="250" spans="13:13" ht="14">
      <c r="M250" s="20"/>
    </row>
    <row r="251" spans="13:13" ht="14">
      <c r="M251" s="20"/>
    </row>
    <row r="252" spans="13:13" ht="14">
      <c r="M252" s="20"/>
    </row>
    <row r="253" spans="13:13" ht="14">
      <c r="M253" s="20"/>
    </row>
    <row r="254" spans="13:13" ht="14">
      <c r="M254" s="20"/>
    </row>
    <row r="255" spans="13:13" ht="14">
      <c r="M255" s="20"/>
    </row>
    <row r="256" spans="13:13" ht="14">
      <c r="M256" s="20"/>
    </row>
    <row r="257" spans="13:13" ht="14">
      <c r="M257" s="20"/>
    </row>
    <row r="258" spans="13:13" ht="14">
      <c r="M258" s="20"/>
    </row>
    <row r="259" spans="13:13" ht="14">
      <c r="M259" s="20"/>
    </row>
    <row r="260" spans="13:13" ht="14">
      <c r="M260" s="20"/>
    </row>
    <row r="261" spans="13:13" ht="14">
      <c r="M261" s="20"/>
    </row>
    <row r="262" spans="13:13" ht="14">
      <c r="M262" s="20"/>
    </row>
    <row r="263" spans="13:13" ht="14">
      <c r="M263" s="20"/>
    </row>
    <row r="264" spans="13:13" ht="14">
      <c r="M264" s="20"/>
    </row>
    <row r="265" spans="13:13" ht="14">
      <c r="M265" s="20"/>
    </row>
    <row r="266" spans="13:13" ht="14">
      <c r="M266" s="20"/>
    </row>
    <row r="267" spans="13:13" ht="14">
      <c r="M267" s="20"/>
    </row>
    <row r="268" spans="13:13" ht="14">
      <c r="M268" s="20"/>
    </row>
    <row r="269" spans="13:13" ht="14">
      <c r="M269" s="20"/>
    </row>
    <row r="270" spans="13:13" ht="14">
      <c r="M270" s="20"/>
    </row>
    <row r="271" spans="13:13" ht="14">
      <c r="M271" s="20"/>
    </row>
    <row r="272" spans="13:13" ht="14">
      <c r="M272" s="20"/>
    </row>
    <row r="273" spans="13:13" ht="14">
      <c r="M273" s="20"/>
    </row>
    <row r="274" spans="13:13" ht="14">
      <c r="M274" s="20"/>
    </row>
    <row r="275" spans="13:13" ht="14">
      <c r="M275" s="20"/>
    </row>
    <row r="276" spans="13:13" ht="14">
      <c r="M276" s="20"/>
    </row>
    <row r="277" spans="13:13" ht="14">
      <c r="M277" s="20"/>
    </row>
    <row r="278" spans="13:13" ht="14">
      <c r="M278" s="20"/>
    </row>
    <row r="279" spans="13:13" ht="14">
      <c r="M279" s="20"/>
    </row>
    <row r="280" spans="13:13" ht="14">
      <c r="M280" s="20"/>
    </row>
    <row r="281" spans="13:13" ht="14">
      <c r="M281" s="20"/>
    </row>
    <row r="282" spans="13:13" ht="14">
      <c r="M282" s="20"/>
    </row>
    <row r="283" spans="13:13" ht="14">
      <c r="M283" s="20"/>
    </row>
    <row r="284" spans="13:13" ht="14">
      <c r="M284" s="20"/>
    </row>
    <row r="285" spans="13:13" ht="14">
      <c r="M285" s="20"/>
    </row>
    <row r="286" spans="13:13" ht="14">
      <c r="M286" s="20"/>
    </row>
    <row r="287" spans="13:13" ht="14">
      <c r="M287" s="20"/>
    </row>
    <row r="288" spans="13:13" ht="14">
      <c r="M288" s="20"/>
    </row>
    <row r="289" spans="13:13" ht="14">
      <c r="M289" s="20"/>
    </row>
    <row r="290" spans="13:13" ht="14">
      <c r="M290" s="20"/>
    </row>
    <row r="291" spans="13:13" ht="14">
      <c r="M291" s="20"/>
    </row>
    <row r="292" spans="13:13" ht="14">
      <c r="M292" s="20"/>
    </row>
    <row r="293" spans="13:13" ht="14">
      <c r="M293" s="20"/>
    </row>
    <row r="294" spans="13:13" ht="14">
      <c r="M294" s="20"/>
    </row>
    <row r="295" spans="13:13" ht="14">
      <c r="M295" s="20"/>
    </row>
    <row r="296" spans="13:13" ht="14">
      <c r="M296" s="20"/>
    </row>
    <row r="297" spans="13:13" ht="14">
      <c r="M297" s="20"/>
    </row>
    <row r="298" spans="13:13" ht="14">
      <c r="M298" s="20"/>
    </row>
    <row r="299" spans="13:13" ht="14">
      <c r="M299" s="20"/>
    </row>
    <row r="300" spans="13:13" ht="14">
      <c r="M300" s="20"/>
    </row>
    <row r="301" spans="13:13" ht="14">
      <c r="M301" s="20"/>
    </row>
    <row r="302" spans="13:13" ht="14">
      <c r="M302" s="20"/>
    </row>
    <row r="303" spans="13:13" ht="14">
      <c r="M303" s="20"/>
    </row>
    <row r="304" spans="13:13" ht="14">
      <c r="M304" s="20"/>
    </row>
    <row r="305" spans="13:13" ht="14">
      <c r="M305" s="20"/>
    </row>
    <row r="306" spans="13:13" ht="14">
      <c r="M306" s="20"/>
    </row>
    <row r="307" spans="13:13" ht="14">
      <c r="M307" s="20"/>
    </row>
    <row r="308" spans="13:13" ht="14">
      <c r="M308" s="20"/>
    </row>
    <row r="309" spans="13:13" ht="14">
      <c r="M309" s="20"/>
    </row>
    <row r="310" spans="13:13" ht="14">
      <c r="M310" s="20"/>
    </row>
    <row r="311" spans="13:13" ht="14">
      <c r="M311" s="20"/>
    </row>
    <row r="312" spans="13:13" ht="14">
      <c r="M312" s="20"/>
    </row>
    <row r="313" spans="13:13" ht="14">
      <c r="M313" s="20"/>
    </row>
    <row r="314" spans="13:13" ht="14">
      <c r="M314" s="20"/>
    </row>
    <row r="315" spans="13:13" ht="14">
      <c r="M315" s="20"/>
    </row>
    <row r="316" spans="13:13" ht="14">
      <c r="M316" s="20"/>
    </row>
    <row r="317" spans="13:13" ht="14">
      <c r="M317" s="20"/>
    </row>
    <row r="318" spans="13:13" ht="14">
      <c r="M318" s="20"/>
    </row>
    <row r="319" spans="13:13" ht="14">
      <c r="M319" s="20"/>
    </row>
    <row r="320" spans="13:13" ht="14">
      <c r="M320" s="20"/>
    </row>
    <row r="321" spans="13:13" ht="14">
      <c r="M321" s="20"/>
    </row>
    <row r="322" spans="13:13" ht="14">
      <c r="M322" s="20"/>
    </row>
    <row r="323" spans="13:13" ht="14">
      <c r="M323" s="20"/>
    </row>
    <row r="324" spans="13:13" ht="14">
      <c r="M324" s="20"/>
    </row>
    <row r="325" spans="13:13" ht="14">
      <c r="M325" s="20"/>
    </row>
    <row r="326" spans="13:13" ht="14">
      <c r="M326" s="20"/>
    </row>
    <row r="327" spans="13:13" ht="14">
      <c r="M327" s="20"/>
    </row>
    <row r="328" spans="13:13" ht="14">
      <c r="M328" s="20"/>
    </row>
    <row r="329" spans="13:13" ht="14">
      <c r="M329" s="20"/>
    </row>
    <row r="330" spans="13:13" ht="14">
      <c r="M330" s="20"/>
    </row>
    <row r="331" spans="13:13" ht="14">
      <c r="M331" s="20"/>
    </row>
    <row r="332" spans="13:13" ht="14">
      <c r="M332" s="20"/>
    </row>
    <row r="333" spans="13:13" ht="14">
      <c r="M333" s="20"/>
    </row>
    <row r="334" spans="13:13" ht="14">
      <c r="M334" s="20"/>
    </row>
    <row r="335" spans="13:13" ht="14">
      <c r="M335" s="20"/>
    </row>
    <row r="336" spans="13:13" ht="14">
      <c r="M336" s="20"/>
    </row>
    <row r="337" spans="13:13" ht="14">
      <c r="M337" s="20"/>
    </row>
    <row r="338" spans="13:13" ht="14">
      <c r="M338" s="20"/>
    </row>
    <row r="339" spans="13:13" ht="14">
      <c r="M339" s="20"/>
    </row>
    <row r="340" spans="13:13" ht="14">
      <c r="M340" s="20"/>
    </row>
    <row r="341" spans="13:13" ht="14">
      <c r="M341" s="20"/>
    </row>
    <row r="342" spans="13:13" ht="14">
      <c r="M342" s="20"/>
    </row>
    <row r="343" spans="13:13" ht="14">
      <c r="M343" s="20"/>
    </row>
    <row r="344" spans="13:13" ht="14">
      <c r="M344" s="20"/>
    </row>
    <row r="345" spans="13:13" ht="14">
      <c r="M345" s="20"/>
    </row>
    <row r="346" spans="13:13" ht="14">
      <c r="M346" s="20"/>
    </row>
    <row r="347" spans="13:13" ht="14">
      <c r="M347" s="20"/>
    </row>
    <row r="348" spans="13:13" ht="14">
      <c r="M348" s="20"/>
    </row>
    <row r="349" spans="13:13" ht="14">
      <c r="M349" s="20"/>
    </row>
    <row r="350" spans="13:13" ht="14">
      <c r="M350" s="20"/>
    </row>
    <row r="351" spans="13:13" ht="14">
      <c r="M351" s="20"/>
    </row>
    <row r="352" spans="13:13" ht="14">
      <c r="M352" s="20"/>
    </row>
    <row r="353" spans="13:13" ht="14">
      <c r="M353" s="20"/>
    </row>
    <row r="354" spans="13:13" ht="14">
      <c r="M354" s="20"/>
    </row>
    <row r="355" spans="13:13" ht="14">
      <c r="M355" s="20"/>
    </row>
    <row r="356" spans="13:13" ht="14">
      <c r="M356" s="20"/>
    </row>
    <row r="357" spans="13:13" ht="14">
      <c r="M357" s="20"/>
    </row>
    <row r="358" spans="13:13" ht="14">
      <c r="M358" s="20"/>
    </row>
    <row r="359" spans="13:13" ht="14">
      <c r="M359" s="20"/>
    </row>
    <row r="360" spans="13:13" ht="14">
      <c r="M360" s="20"/>
    </row>
    <row r="361" spans="13:13" ht="14">
      <c r="M361" s="20"/>
    </row>
    <row r="362" spans="13:13" ht="14">
      <c r="M362" s="20"/>
    </row>
    <row r="363" spans="13:13" ht="14">
      <c r="M363" s="20"/>
    </row>
    <row r="364" spans="13:13" ht="14">
      <c r="M364" s="20"/>
    </row>
    <row r="365" spans="13:13" ht="14">
      <c r="M365" s="20"/>
    </row>
    <row r="366" spans="13:13" ht="14">
      <c r="M366" s="20"/>
    </row>
    <row r="367" spans="13:13" ht="14">
      <c r="M367" s="20"/>
    </row>
    <row r="368" spans="13:13" ht="14">
      <c r="M368" s="20"/>
    </row>
    <row r="369" spans="13:13" ht="14">
      <c r="M369" s="20"/>
    </row>
    <row r="370" spans="13:13" ht="14">
      <c r="M370" s="20"/>
    </row>
    <row r="371" spans="13:13" ht="14">
      <c r="M371" s="20"/>
    </row>
    <row r="372" spans="13:13" ht="14">
      <c r="M372" s="20"/>
    </row>
    <row r="373" spans="13:13" ht="14">
      <c r="M373" s="20"/>
    </row>
    <row r="374" spans="13:13" ht="14">
      <c r="M374" s="20"/>
    </row>
    <row r="375" spans="13:13" ht="14">
      <c r="M375" s="20"/>
    </row>
    <row r="376" spans="13:13" ht="14">
      <c r="M376" s="20"/>
    </row>
    <row r="377" spans="13:13" ht="14">
      <c r="M377" s="20"/>
    </row>
    <row r="378" spans="13:13" ht="14">
      <c r="M378" s="20"/>
    </row>
    <row r="379" spans="13:13" ht="14">
      <c r="M379" s="20"/>
    </row>
    <row r="380" spans="13:13" ht="14">
      <c r="M380" s="20"/>
    </row>
    <row r="381" spans="13:13" ht="14">
      <c r="M381" s="20"/>
    </row>
    <row r="382" spans="13:13" ht="14">
      <c r="M382" s="20"/>
    </row>
    <row r="383" spans="13:13" ht="14">
      <c r="M383" s="20"/>
    </row>
    <row r="384" spans="13:13" ht="14">
      <c r="M384" s="20"/>
    </row>
    <row r="385" spans="13:13" ht="14">
      <c r="M385" s="20"/>
    </row>
    <row r="386" spans="13:13" ht="14">
      <c r="M386" s="20"/>
    </row>
    <row r="387" spans="13:13" ht="14">
      <c r="M387" s="20"/>
    </row>
    <row r="388" spans="13:13" ht="14">
      <c r="M388" s="20"/>
    </row>
    <row r="389" spans="13:13" ht="14">
      <c r="M389" s="20"/>
    </row>
    <row r="390" spans="13:13" ht="14">
      <c r="M390" s="20"/>
    </row>
    <row r="391" spans="13:13" ht="14">
      <c r="M391" s="20"/>
    </row>
    <row r="392" spans="13:13" ht="14">
      <c r="M392" s="20"/>
    </row>
    <row r="393" spans="13:13" ht="14">
      <c r="M393" s="20"/>
    </row>
    <row r="394" spans="13:13" ht="14">
      <c r="M394" s="20"/>
    </row>
    <row r="395" spans="13:13" ht="14">
      <c r="M395" s="20"/>
    </row>
    <row r="396" spans="13:13" ht="14">
      <c r="M396" s="20"/>
    </row>
    <row r="397" spans="13:13" ht="14">
      <c r="M397" s="20"/>
    </row>
    <row r="398" spans="13:13" ht="14">
      <c r="M398" s="20"/>
    </row>
    <row r="399" spans="13:13" ht="14">
      <c r="M399" s="20"/>
    </row>
    <row r="400" spans="13:13" ht="14">
      <c r="M400" s="20"/>
    </row>
    <row r="401" spans="13:13" ht="14">
      <c r="M401" s="20"/>
    </row>
    <row r="402" spans="13:13" ht="14">
      <c r="M402" s="20"/>
    </row>
    <row r="403" spans="13:13" ht="14">
      <c r="M403" s="20"/>
    </row>
    <row r="404" spans="13:13" ht="14">
      <c r="M404" s="20"/>
    </row>
    <row r="405" spans="13:13" ht="14">
      <c r="M405" s="20"/>
    </row>
    <row r="406" spans="13:13" ht="14">
      <c r="M406" s="20"/>
    </row>
    <row r="407" spans="13:13" ht="14">
      <c r="M407" s="20"/>
    </row>
    <row r="408" spans="13:13" ht="14">
      <c r="M408" s="20"/>
    </row>
    <row r="409" spans="13:13" ht="14">
      <c r="M409" s="20"/>
    </row>
    <row r="410" spans="13:13" ht="14">
      <c r="M410" s="20"/>
    </row>
    <row r="411" spans="13:13" ht="14">
      <c r="M411" s="20"/>
    </row>
    <row r="412" spans="13:13" ht="14">
      <c r="M412" s="20"/>
    </row>
    <row r="413" spans="13:13" ht="14">
      <c r="M413" s="20"/>
    </row>
    <row r="414" spans="13:13" ht="14">
      <c r="M414" s="20"/>
    </row>
    <row r="415" spans="13:13" ht="14">
      <c r="M415" s="20"/>
    </row>
    <row r="416" spans="13:13" ht="14">
      <c r="M416" s="20"/>
    </row>
    <row r="417" spans="13:13" ht="14">
      <c r="M417" s="20"/>
    </row>
    <row r="418" spans="13:13" ht="14">
      <c r="M418" s="20"/>
    </row>
    <row r="419" spans="13:13" ht="14">
      <c r="M419" s="20"/>
    </row>
    <row r="420" spans="13:13" ht="14">
      <c r="M420" s="20"/>
    </row>
    <row r="421" spans="13:13" ht="14">
      <c r="M421" s="20"/>
    </row>
    <row r="422" spans="13:13" ht="14">
      <c r="M422" s="20"/>
    </row>
    <row r="423" spans="13:13" ht="14">
      <c r="M423" s="20"/>
    </row>
    <row r="424" spans="13:13" ht="14">
      <c r="M424" s="20"/>
    </row>
    <row r="425" spans="13:13" ht="14">
      <c r="M425" s="20"/>
    </row>
    <row r="426" spans="13:13" ht="14">
      <c r="M426" s="20"/>
    </row>
    <row r="427" spans="13:13" ht="14">
      <c r="M427" s="20"/>
    </row>
    <row r="428" spans="13:13" ht="14">
      <c r="M428" s="20"/>
    </row>
    <row r="429" spans="13:13" ht="14">
      <c r="M429" s="20"/>
    </row>
    <row r="430" spans="13:13" ht="14">
      <c r="M430" s="20"/>
    </row>
    <row r="431" spans="13:13" ht="14">
      <c r="M431" s="20"/>
    </row>
    <row r="432" spans="13:13" ht="14">
      <c r="M432" s="20"/>
    </row>
    <row r="433" spans="13:13" ht="14">
      <c r="M433" s="20"/>
    </row>
    <row r="434" spans="13:13" ht="14">
      <c r="M434" s="20"/>
    </row>
    <row r="435" spans="13:13" ht="14">
      <c r="M435" s="20"/>
    </row>
    <row r="436" spans="13:13" ht="14">
      <c r="M436" s="20"/>
    </row>
    <row r="437" spans="13:13" ht="14">
      <c r="M437" s="20"/>
    </row>
    <row r="438" spans="13:13" ht="14">
      <c r="M438" s="20"/>
    </row>
    <row r="439" spans="13:13" ht="14">
      <c r="M439" s="20"/>
    </row>
    <row r="440" spans="13:13" ht="14">
      <c r="M440" s="20"/>
    </row>
    <row r="441" spans="13:13" ht="14">
      <c r="M441" s="20"/>
    </row>
    <row r="442" spans="13:13" ht="14">
      <c r="M442" s="20"/>
    </row>
    <row r="443" spans="13:13" ht="14">
      <c r="M443" s="20"/>
    </row>
    <row r="444" spans="13:13" ht="14">
      <c r="M444" s="20"/>
    </row>
    <row r="445" spans="13:13" ht="14">
      <c r="M445" s="20"/>
    </row>
    <row r="446" spans="13:13" ht="14">
      <c r="M446" s="20"/>
    </row>
    <row r="447" spans="13:13" ht="14">
      <c r="M447" s="20"/>
    </row>
    <row r="448" spans="13:13" ht="14">
      <c r="M448" s="20"/>
    </row>
    <row r="449" spans="13:13" ht="14">
      <c r="M449" s="20"/>
    </row>
    <row r="450" spans="13:13" ht="14">
      <c r="M450" s="20"/>
    </row>
    <row r="451" spans="13:13" ht="14">
      <c r="M451" s="20"/>
    </row>
    <row r="452" spans="13:13" ht="14">
      <c r="M452" s="20"/>
    </row>
    <row r="453" spans="13:13" ht="14">
      <c r="M453" s="20"/>
    </row>
    <row r="454" spans="13:13" ht="14">
      <c r="M454" s="20"/>
    </row>
    <row r="455" spans="13:13" ht="14">
      <c r="M455" s="20"/>
    </row>
    <row r="456" spans="13:13" ht="14">
      <c r="M456" s="20"/>
    </row>
    <row r="457" spans="13:13" ht="14">
      <c r="M457" s="20"/>
    </row>
    <row r="458" spans="13:13" ht="14">
      <c r="M458" s="20"/>
    </row>
    <row r="459" spans="13:13" ht="14">
      <c r="M459" s="20"/>
    </row>
    <row r="460" spans="13:13" ht="14">
      <c r="M460" s="20"/>
    </row>
    <row r="461" spans="13:13" ht="14">
      <c r="M461" s="20"/>
    </row>
    <row r="462" spans="13:13" ht="14">
      <c r="M462" s="20"/>
    </row>
    <row r="463" spans="13:13" ht="14">
      <c r="M463" s="20"/>
    </row>
    <row r="464" spans="13:13" ht="14">
      <c r="M464" s="20"/>
    </row>
    <row r="465" spans="13:13" ht="14">
      <c r="M465" s="20"/>
    </row>
    <row r="466" spans="13:13" ht="14">
      <c r="M466" s="20"/>
    </row>
    <row r="467" spans="13:13" ht="14">
      <c r="M467" s="20"/>
    </row>
    <row r="468" spans="13:13" ht="14">
      <c r="M468" s="20"/>
    </row>
    <row r="469" spans="13:13" ht="14">
      <c r="M469" s="20"/>
    </row>
    <row r="470" spans="13:13" ht="14">
      <c r="M470" s="20"/>
    </row>
    <row r="471" spans="13:13" ht="14">
      <c r="M471" s="20"/>
    </row>
    <row r="472" spans="13:13" ht="14">
      <c r="M472" s="20"/>
    </row>
    <row r="473" spans="13:13" ht="14">
      <c r="M473" s="20"/>
    </row>
    <row r="474" spans="13:13" ht="14">
      <c r="M474" s="20"/>
    </row>
    <row r="475" spans="13:13" ht="14">
      <c r="M475" s="20"/>
    </row>
    <row r="476" spans="13:13" ht="14">
      <c r="M476" s="20"/>
    </row>
    <row r="477" spans="13:13" ht="14">
      <c r="M477" s="20"/>
    </row>
    <row r="478" spans="13:13" ht="14">
      <c r="M478" s="20"/>
    </row>
    <row r="479" spans="13:13" ht="14">
      <c r="M479" s="20"/>
    </row>
    <row r="480" spans="13:13" ht="14">
      <c r="M480" s="20"/>
    </row>
    <row r="481" spans="13:13" ht="14">
      <c r="M481" s="20"/>
    </row>
    <row r="482" spans="13:13" ht="14">
      <c r="M482" s="20"/>
    </row>
    <row r="483" spans="13:13" ht="14">
      <c r="M483" s="20"/>
    </row>
    <row r="484" spans="13:13" ht="14">
      <c r="M484" s="20"/>
    </row>
    <row r="485" spans="13:13" ht="14">
      <c r="M485" s="20"/>
    </row>
    <row r="486" spans="13:13" ht="14">
      <c r="M486" s="20"/>
    </row>
    <row r="487" spans="13:13" ht="14">
      <c r="M487" s="20"/>
    </row>
    <row r="488" spans="13:13" ht="14">
      <c r="M488" s="20"/>
    </row>
    <row r="489" spans="13:13" ht="14">
      <c r="M489" s="20"/>
    </row>
    <row r="490" spans="13:13" ht="14">
      <c r="M490" s="20"/>
    </row>
    <row r="491" spans="13:13" ht="14">
      <c r="M491" s="20"/>
    </row>
    <row r="492" spans="13:13" ht="14">
      <c r="M492" s="20"/>
    </row>
    <row r="493" spans="13:13" ht="14">
      <c r="M493" s="20"/>
    </row>
    <row r="494" spans="13:13" ht="14">
      <c r="M494" s="20"/>
    </row>
    <row r="495" spans="13:13" ht="14">
      <c r="M495" s="20"/>
    </row>
    <row r="496" spans="13:13" ht="14">
      <c r="M496" s="20"/>
    </row>
    <row r="497" spans="13:13" ht="14">
      <c r="M497" s="20"/>
    </row>
    <row r="498" spans="13:13" ht="14">
      <c r="M498" s="20"/>
    </row>
    <row r="499" spans="13:13" ht="14">
      <c r="M499" s="20"/>
    </row>
    <row r="500" spans="13:13" ht="14">
      <c r="M500" s="20"/>
    </row>
    <row r="501" spans="13:13" ht="14">
      <c r="M501" s="20"/>
    </row>
    <row r="502" spans="13:13" ht="14">
      <c r="M502" s="20"/>
    </row>
    <row r="503" spans="13:13" ht="14">
      <c r="M503" s="20"/>
    </row>
    <row r="504" spans="13:13" ht="14">
      <c r="M504" s="20"/>
    </row>
    <row r="505" spans="13:13" ht="14">
      <c r="M505" s="20"/>
    </row>
    <row r="506" spans="13:13" ht="14">
      <c r="M506" s="20"/>
    </row>
    <row r="507" spans="13:13" ht="14">
      <c r="M507" s="20"/>
    </row>
    <row r="508" spans="13:13" ht="14">
      <c r="M508" s="20"/>
    </row>
    <row r="509" spans="13:13" ht="14">
      <c r="M509" s="20"/>
    </row>
    <row r="510" spans="13:13" ht="14">
      <c r="M510" s="20"/>
    </row>
    <row r="511" spans="13:13" ht="14">
      <c r="M511" s="20"/>
    </row>
    <row r="512" spans="13:13" ht="14">
      <c r="M512" s="20"/>
    </row>
    <row r="513" spans="13:13" ht="14">
      <c r="M513" s="20"/>
    </row>
    <row r="514" spans="13:13" ht="14">
      <c r="M514" s="20"/>
    </row>
    <row r="515" spans="13:13" ht="14">
      <c r="M515" s="20"/>
    </row>
    <row r="516" spans="13:13" ht="14">
      <c r="M516" s="20"/>
    </row>
    <row r="517" spans="13:13" ht="14">
      <c r="M517" s="20"/>
    </row>
    <row r="518" spans="13:13" ht="14">
      <c r="M518" s="20"/>
    </row>
    <row r="519" spans="13:13" ht="14">
      <c r="M519" s="20"/>
    </row>
    <row r="520" spans="13:13" ht="14">
      <c r="M520" s="20"/>
    </row>
    <row r="521" spans="13:13" ht="14">
      <c r="M521" s="20"/>
    </row>
    <row r="522" spans="13:13" ht="14">
      <c r="M522" s="20"/>
    </row>
    <row r="523" spans="13:13" ht="14">
      <c r="M523" s="20"/>
    </row>
    <row r="524" spans="13:13" ht="14">
      <c r="M524" s="20"/>
    </row>
    <row r="525" spans="13:13" ht="14">
      <c r="M525" s="20"/>
    </row>
    <row r="526" spans="13:13" ht="14">
      <c r="M526" s="20"/>
    </row>
    <row r="527" spans="13:13" ht="14">
      <c r="M527" s="20"/>
    </row>
    <row r="528" spans="13:13" ht="14">
      <c r="M528" s="20"/>
    </row>
    <row r="529" spans="13:13" ht="14">
      <c r="M529" s="20"/>
    </row>
    <row r="530" spans="13:13" ht="14">
      <c r="M530" s="20"/>
    </row>
    <row r="531" spans="13:13" ht="14">
      <c r="M531" s="20"/>
    </row>
    <row r="532" spans="13:13" ht="14">
      <c r="M532" s="20"/>
    </row>
    <row r="533" spans="13:13" ht="14">
      <c r="M533" s="20"/>
    </row>
    <row r="534" spans="13:13" ht="14">
      <c r="M534" s="20"/>
    </row>
    <row r="535" spans="13:13" ht="14">
      <c r="M535" s="20"/>
    </row>
    <row r="536" spans="13:13" ht="14">
      <c r="M536" s="20"/>
    </row>
    <row r="537" spans="13:13" ht="14">
      <c r="M537" s="20"/>
    </row>
    <row r="538" spans="13:13" ht="14">
      <c r="M538" s="20"/>
    </row>
    <row r="539" spans="13:13" ht="14">
      <c r="M539" s="20"/>
    </row>
    <row r="540" spans="13:13" ht="14">
      <c r="M540" s="20"/>
    </row>
    <row r="541" spans="13:13" ht="14">
      <c r="M541" s="20"/>
    </row>
    <row r="542" spans="13:13" ht="14">
      <c r="M542" s="20"/>
    </row>
    <row r="543" spans="13:13" ht="14">
      <c r="M543" s="20"/>
    </row>
    <row r="544" spans="13:13" ht="14">
      <c r="M544" s="20"/>
    </row>
    <row r="545" spans="13:13" ht="14">
      <c r="M545" s="20"/>
    </row>
    <row r="546" spans="13:13" ht="14">
      <c r="M546" s="20"/>
    </row>
    <row r="547" spans="13:13" ht="14">
      <c r="M547" s="20"/>
    </row>
    <row r="548" spans="13:13" ht="14">
      <c r="M548" s="20"/>
    </row>
    <row r="549" spans="13:13" ht="14">
      <c r="M549" s="20"/>
    </row>
    <row r="550" spans="13:13" ht="14">
      <c r="M550" s="20"/>
    </row>
    <row r="551" spans="13:13" ht="14">
      <c r="M551" s="20"/>
    </row>
    <row r="552" spans="13:13" ht="14">
      <c r="M552" s="20"/>
    </row>
    <row r="553" spans="13:13" ht="14">
      <c r="M553" s="20"/>
    </row>
    <row r="554" spans="13:13" ht="14">
      <c r="M554" s="20"/>
    </row>
    <row r="555" spans="13:13" ht="14">
      <c r="M555" s="20"/>
    </row>
    <row r="556" spans="13:13" ht="14">
      <c r="M556" s="20"/>
    </row>
    <row r="557" spans="13:13" ht="14">
      <c r="M557" s="20"/>
    </row>
    <row r="558" spans="13:13" ht="14">
      <c r="M558" s="20"/>
    </row>
    <row r="559" spans="13:13" ht="14">
      <c r="M559" s="20"/>
    </row>
    <row r="560" spans="13:13" ht="14">
      <c r="M560" s="20"/>
    </row>
    <row r="561" spans="13:13" ht="14">
      <c r="M561" s="20"/>
    </row>
    <row r="562" spans="13:13" ht="14">
      <c r="M562" s="20"/>
    </row>
    <row r="563" spans="13:13" ht="14">
      <c r="M563" s="20"/>
    </row>
    <row r="564" spans="13:13" ht="14">
      <c r="M564" s="20"/>
    </row>
    <row r="565" spans="13:13" ht="14">
      <c r="M565" s="20"/>
    </row>
    <row r="566" spans="13:13" ht="14">
      <c r="M566" s="20"/>
    </row>
    <row r="567" spans="13:13" ht="14">
      <c r="M567" s="20"/>
    </row>
    <row r="568" spans="13:13" ht="14">
      <c r="M568" s="20"/>
    </row>
    <row r="569" spans="13:13" ht="14">
      <c r="M569" s="20"/>
    </row>
    <row r="570" spans="13:13" ht="14">
      <c r="M570" s="20"/>
    </row>
    <row r="571" spans="13:13" ht="14">
      <c r="M571" s="20"/>
    </row>
    <row r="572" spans="13:13" ht="14">
      <c r="M572" s="20"/>
    </row>
    <row r="573" spans="13:13" ht="14">
      <c r="M573" s="20"/>
    </row>
    <row r="574" spans="13:13" ht="14">
      <c r="M574" s="20"/>
    </row>
    <row r="575" spans="13:13" ht="14">
      <c r="M575" s="20"/>
    </row>
    <row r="576" spans="13:13" ht="14">
      <c r="M576" s="20"/>
    </row>
    <row r="577" spans="13:13" ht="14">
      <c r="M577" s="20"/>
    </row>
    <row r="578" spans="13:13" ht="14">
      <c r="M578" s="20"/>
    </row>
    <row r="579" spans="13:13" ht="14">
      <c r="M579" s="20"/>
    </row>
    <row r="580" spans="13:13" ht="14">
      <c r="M580" s="20"/>
    </row>
    <row r="581" spans="13:13" ht="14">
      <c r="M581" s="20"/>
    </row>
    <row r="582" spans="13:13" ht="14">
      <c r="M582" s="20"/>
    </row>
    <row r="583" spans="13:13" ht="14">
      <c r="M583" s="20"/>
    </row>
    <row r="584" spans="13:13" ht="14">
      <c r="M584" s="20"/>
    </row>
    <row r="585" spans="13:13" ht="14">
      <c r="M585" s="20"/>
    </row>
    <row r="586" spans="13:13" ht="14">
      <c r="M586" s="20"/>
    </row>
    <row r="587" spans="13:13" ht="14">
      <c r="M587" s="20"/>
    </row>
    <row r="588" spans="13:13" ht="14">
      <c r="M588" s="20"/>
    </row>
    <row r="589" spans="13:13" ht="14">
      <c r="M589" s="20"/>
    </row>
    <row r="590" spans="13:13" ht="14">
      <c r="M590" s="20"/>
    </row>
    <row r="591" spans="13:13" ht="14">
      <c r="M591" s="20"/>
    </row>
    <row r="592" spans="13:13" ht="14">
      <c r="M592" s="20"/>
    </row>
    <row r="593" spans="13:13" ht="14">
      <c r="M593" s="20"/>
    </row>
    <row r="594" spans="13:13" ht="14">
      <c r="M594" s="20"/>
    </row>
    <row r="595" spans="13:13" ht="14">
      <c r="M595" s="20"/>
    </row>
    <row r="596" spans="13:13" ht="14">
      <c r="M596" s="20"/>
    </row>
    <row r="597" spans="13:13" ht="14">
      <c r="M597" s="20"/>
    </row>
    <row r="598" spans="13:13" ht="14">
      <c r="M598" s="20"/>
    </row>
    <row r="599" spans="13:13" ht="14">
      <c r="M599" s="20"/>
    </row>
    <row r="600" spans="13:13" ht="14">
      <c r="M600" s="20"/>
    </row>
    <row r="601" spans="13:13" ht="14">
      <c r="M601" s="20"/>
    </row>
    <row r="602" spans="13:13" ht="14">
      <c r="M602" s="20"/>
    </row>
    <row r="603" spans="13:13" ht="14">
      <c r="M603" s="20"/>
    </row>
    <row r="604" spans="13:13" ht="14">
      <c r="M604" s="20"/>
    </row>
    <row r="605" spans="13:13" ht="14">
      <c r="M605" s="20"/>
    </row>
    <row r="606" spans="13:13" ht="14">
      <c r="M606" s="20"/>
    </row>
    <row r="607" spans="13:13" ht="14">
      <c r="M607" s="20"/>
    </row>
    <row r="608" spans="13:13" ht="14">
      <c r="M608" s="20"/>
    </row>
    <row r="609" spans="13:13" ht="14">
      <c r="M609" s="20"/>
    </row>
    <row r="610" spans="13:13" ht="14">
      <c r="M610" s="20"/>
    </row>
    <row r="611" spans="13:13" ht="14">
      <c r="M611" s="20"/>
    </row>
    <row r="612" spans="13:13" ht="14">
      <c r="M612" s="20"/>
    </row>
    <row r="613" spans="13:13" ht="14">
      <c r="M613" s="20"/>
    </row>
    <row r="614" spans="13:13" ht="14">
      <c r="M614" s="20"/>
    </row>
    <row r="615" spans="13:13" ht="14">
      <c r="M615" s="20"/>
    </row>
    <row r="616" spans="13:13" ht="14">
      <c r="M616" s="20"/>
    </row>
    <row r="617" spans="13:13" ht="14">
      <c r="M617" s="20"/>
    </row>
    <row r="618" spans="13:13" ht="14">
      <c r="M618" s="20"/>
    </row>
    <row r="619" spans="13:13" ht="14">
      <c r="M619" s="20"/>
    </row>
    <row r="620" spans="13:13" ht="14">
      <c r="M620" s="20"/>
    </row>
    <row r="621" spans="13:13" ht="14">
      <c r="M621" s="20"/>
    </row>
    <row r="622" spans="13:13" ht="14">
      <c r="M622" s="20"/>
    </row>
    <row r="623" spans="13:13" ht="14">
      <c r="M623" s="20"/>
    </row>
    <row r="624" spans="13:13" ht="14">
      <c r="M624" s="20"/>
    </row>
    <row r="625" spans="13:13" ht="14">
      <c r="M625" s="20"/>
    </row>
    <row r="626" spans="13:13" ht="14">
      <c r="M626" s="20"/>
    </row>
    <row r="627" spans="13:13" ht="14">
      <c r="M627" s="20"/>
    </row>
    <row r="628" spans="13:13" ht="14">
      <c r="M628" s="20"/>
    </row>
    <row r="629" spans="13:13" ht="14">
      <c r="M629" s="20"/>
    </row>
    <row r="630" spans="13:13" ht="14">
      <c r="M630" s="20"/>
    </row>
    <row r="631" spans="13:13" ht="14">
      <c r="M631" s="20"/>
    </row>
    <row r="632" spans="13:13" ht="14">
      <c r="M632" s="20"/>
    </row>
    <row r="633" spans="13:13" ht="14">
      <c r="M633" s="20"/>
    </row>
    <row r="634" spans="13:13" ht="14">
      <c r="M634" s="20"/>
    </row>
    <row r="635" spans="13:13" ht="14">
      <c r="M635" s="20"/>
    </row>
    <row r="636" spans="13:13" ht="14">
      <c r="M636" s="20"/>
    </row>
    <row r="637" spans="13:13" ht="14">
      <c r="M637" s="20"/>
    </row>
    <row r="638" spans="13:13" ht="14">
      <c r="M638" s="20"/>
    </row>
    <row r="639" spans="13:13" ht="14">
      <c r="M639" s="20"/>
    </row>
    <row r="640" spans="13:13" ht="14">
      <c r="M640" s="20"/>
    </row>
    <row r="641" spans="13:13" ht="14">
      <c r="M641" s="20"/>
    </row>
    <row r="642" spans="13:13" ht="14">
      <c r="M642" s="20"/>
    </row>
    <row r="643" spans="13:13" ht="14">
      <c r="M643" s="20"/>
    </row>
    <row r="644" spans="13:13" ht="14">
      <c r="M644" s="20"/>
    </row>
    <row r="645" spans="13:13" ht="14">
      <c r="M645" s="20"/>
    </row>
    <row r="646" spans="13:13" ht="14">
      <c r="M646" s="20"/>
    </row>
    <row r="647" spans="13:13" ht="14">
      <c r="M647" s="20"/>
    </row>
    <row r="648" spans="13:13" ht="14">
      <c r="M648" s="20"/>
    </row>
    <row r="649" spans="13:13" ht="14">
      <c r="M649" s="20"/>
    </row>
    <row r="650" spans="13:13" ht="14">
      <c r="M650" s="20"/>
    </row>
    <row r="651" spans="13:13" ht="14">
      <c r="M651" s="20"/>
    </row>
    <row r="652" spans="13:13" ht="14">
      <c r="M652" s="20"/>
    </row>
    <row r="653" spans="13:13" ht="14">
      <c r="M653" s="20"/>
    </row>
    <row r="654" spans="13:13" ht="14">
      <c r="M654" s="20"/>
    </row>
    <row r="655" spans="13:13" ht="14">
      <c r="M655" s="20"/>
    </row>
    <row r="656" spans="13:13" ht="14">
      <c r="M656" s="20"/>
    </row>
    <row r="657" spans="13:13" ht="14">
      <c r="M657" s="20"/>
    </row>
    <row r="658" spans="13:13" ht="14">
      <c r="M658" s="20"/>
    </row>
    <row r="659" spans="13:13" ht="14">
      <c r="M659" s="20"/>
    </row>
    <row r="660" spans="13:13" ht="14">
      <c r="M660" s="20"/>
    </row>
    <row r="661" spans="13:13" ht="14">
      <c r="M661" s="20"/>
    </row>
    <row r="662" spans="13:13" ht="14">
      <c r="M662" s="20"/>
    </row>
    <row r="663" spans="13:13" ht="14">
      <c r="M663" s="20"/>
    </row>
    <row r="664" spans="13:13" ht="14">
      <c r="M664" s="20"/>
    </row>
    <row r="665" spans="13:13" ht="14">
      <c r="M665" s="20"/>
    </row>
    <row r="666" spans="13:13" ht="14">
      <c r="M666" s="20"/>
    </row>
    <row r="667" spans="13:13" ht="14">
      <c r="M667" s="20"/>
    </row>
    <row r="668" spans="13:13" ht="14">
      <c r="M668" s="20"/>
    </row>
    <row r="669" spans="13:13" ht="14">
      <c r="M669" s="20"/>
    </row>
    <row r="670" spans="13:13" ht="14">
      <c r="M670" s="20"/>
    </row>
    <row r="671" spans="13:13" ht="14">
      <c r="M671" s="20"/>
    </row>
    <row r="672" spans="13:13" ht="14">
      <c r="M672" s="20"/>
    </row>
    <row r="673" spans="13:13" ht="14">
      <c r="M673" s="20"/>
    </row>
    <row r="674" spans="13:13" ht="14">
      <c r="M674" s="20"/>
    </row>
    <row r="675" spans="13:13" ht="14">
      <c r="M675" s="20"/>
    </row>
    <row r="676" spans="13:13" ht="14">
      <c r="M676" s="20"/>
    </row>
    <row r="677" spans="13:13" ht="14">
      <c r="M677" s="20"/>
    </row>
    <row r="678" spans="13:13" ht="14">
      <c r="M678" s="20"/>
    </row>
    <row r="679" spans="13:13" ht="14">
      <c r="M679" s="20"/>
    </row>
    <row r="680" spans="13:13" ht="14">
      <c r="M680" s="20"/>
    </row>
    <row r="681" spans="13:13" ht="14">
      <c r="M681" s="20"/>
    </row>
    <row r="682" spans="13:13" ht="14">
      <c r="M682" s="20"/>
    </row>
    <row r="683" spans="13:13" ht="14">
      <c r="M683" s="20"/>
    </row>
    <row r="684" spans="13:13" ht="14">
      <c r="M684" s="20"/>
    </row>
    <row r="685" spans="13:13" ht="14">
      <c r="M685" s="20"/>
    </row>
    <row r="686" spans="13:13" ht="14">
      <c r="M686" s="20"/>
    </row>
    <row r="687" spans="13:13" ht="14">
      <c r="M687" s="20"/>
    </row>
    <row r="688" spans="13:13" ht="14">
      <c r="M688" s="20"/>
    </row>
    <row r="689" spans="13:13" ht="14">
      <c r="M689" s="20"/>
    </row>
    <row r="690" spans="13:13" ht="14">
      <c r="M690" s="20"/>
    </row>
    <row r="691" spans="13:13" ht="14">
      <c r="M691" s="20"/>
    </row>
    <row r="692" spans="13:13" ht="14">
      <c r="M692" s="20"/>
    </row>
    <row r="693" spans="13:13" ht="14">
      <c r="M693" s="20"/>
    </row>
    <row r="694" spans="13:13" ht="14">
      <c r="M694" s="20"/>
    </row>
    <row r="695" spans="13:13" ht="14">
      <c r="M695" s="20"/>
    </row>
    <row r="696" spans="13:13" ht="14">
      <c r="M696" s="20"/>
    </row>
    <row r="697" spans="13:13" ht="14">
      <c r="M697" s="20"/>
    </row>
    <row r="698" spans="13:13" ht="14">
      <c r="M698" s="20"/>
    </row>
    <row r="699" spans="13:13" ht="14">
      <c r="M699" s="20"/>
    </row>
    <row r="700" spans="13:13" ht="14">
      <c r="M700" s="20"/>
    </row>
    <row r="701" spans="13:13" ht="14">
      <c r="M701" s="20"/>
    </row>
    <row r="702" spans="13:13" ht="14">
      <c r="M702" s="20"/>
    </row>
    <row r="703" spans="13:13" ht="14">
      <c r="M703" s="20"/>
    </row>
    <row r="704" spans="13:13" ht="14">
      <c r="M704" s="20"/>
    </row>
    <row r="705" spans="13:13" ht="14">
      <c r="M705" s="20"/>
    </row>
    <row r="706" spans="13:13" ht="14">
      <c r="M706" s="20"/>
    </row>
    <row r="707" spans="13:13" ht="14">
      <c r="M707" s="20"/>
    </row>
    <row r="708" spans="13:13" ht="14">
      <c r="M708" s="20"/>
    </row>
    <row r="709" spans="13:13" ht="14">
      <c r="M709" s="20"/>
    </row>
    <row r="710" spans="13:13" ht="14">
      <c r="M710" s="20"/>
    </row>
    <row r="711" spans="13:13" ht="14">
      <c r="M711" s="20"/>
    </row>
    <row r="712" spans="13:13" ht="14">
      <c r="M712" s="20"/>
    </row>
    <row r="713" spans="13:13" ht="14">
      <c r="M713" s="20"/>
    </row>
    <row r="714" spans="13:13" ht="14">
      <c r="M714" s="20"/>
    </row>
    <row r="715" spans="13:13" ht="14">
      <c r="M715" s="20"/>
    </row>
    <row r="716" spans="13:13" ht="14">
      <c r="M716" s="20"/>
    </row>
    <row r="717" spans="13:13" ht="14">
      <c r="M717" s="20"/>
    </row>
    <row r="718" spans="13:13" ht="14">
      <c r="M718" s="20"/>
    </row>
    <row r="719" spans="13:13" ht="14">
      <c r="M719" s="20"/>
    </row>
    <row r="720" spans="13:13" ht="14">
      <c r="M720" s="20"/>
    </row>
    <row r="721" spans="13:13" ht="14">
      <c r="M721" s="20"/>
    </row>
    <row r="722" spans="13:13" ht="14">
      <c r="M722" s="20"/>
    </row>
    <row r="723" spans="13:13" ht="14">
      <c r="M723" s="20"/>
    </row>
    <row r="724" spans="13:13" ht="14">
      <c r="M724" s="20"/>
    </row>
    <row r="725" spans="13:13" ht="14">
      <c r="M725" s="20"/>
    </row>
    <row r="726" spans="13:13" ht="14">
      <c r="M726" s="20"/>
    </row>
    <row r="727" spans="13:13" ht="14">
      <c r="M727" s="20"/>
    </row>
    <row r="728" spans="13:13" ht="14">
      <c r="M728" s="20"/>
    </row>
    <row r="729" spans="13:13" ht="14">
      <c r="M729" s="20"/>
    </row>
    <row r="730" spans="13:13" ht="14">
      <c r="M730" s="20"/>
    </row>
    <row r="731" spans="13:13" ht="14">
      <c r="M731" s="20"/>
    </row>
    <row r="732" spans="13:13" ht="14">
      <c r="M732" s="20"/>
    </row>
    <row r="733" spans="13:13" ht="14">
      <c r="M733" s="20"/>
    </row>
    <row r="734" spans="13:13" ht="14">
      <c r="M734" s="20"/>
    </row>
    <row r="735" spans="13:13" ht="14">
      <c r="M735" s="20"/>
    </row>
    <row r="736" spans="13:13" ht="14">
      <c r="M736" s="20"/>
    </row>
    <row r="737" spans="13:13" ht="14">
      <c r="M737" s="20"/>
    </row>
    <row r="738" spans="13:13" ht="14">
      <c r="M738" s="20"/>
    </row>
    <row r="739" spans="13:13" ht="14">
      <c r="M739" s="20"/>
    </row>
    <row r="740" spans="13:13" ht="14">
      <c r="M740" s="20"/>
    </row>
    <row r="741" spans="13:13" ht="14">
      <c r="M741" s="20"/>
    </row>
    <row r="742" spans="13:13" ht="14">
      <c r="M742" s="20"/>
    </row>
    <row r="743" spans="13:13" ht="14">
      <c r="M743" s="20"/>
    </row>
    <row r="744" spans="13:13" ht="14">
      <c r="M744" s="20"/>
    </row>
    <row r="745" spans="13:13" ht="14">
      <c r="M745" s="20"/>
    </row>
    <row r="746" spans="13:13" ht="14">
      <c r="M746" s="20"/>
    </row>
    <row r="747" spans="13:13" ht="14">
      <c r="M747" s="20"/>
    </row>
    <row r="748" spans="13:13" ht="14">
      <c r="M748" s="20"/>
    </row>
    <row r="749" spans="13:13" ht="14">
      <c r="M749" s="20"/>
    </row>
    <row r="750" spans="13:13" ht="14">
      <c r="M750" s="20"/>
    </row>
    <row r="751" spans="13:13" ht="14">
      <c r="M751" s="20"/>
    </row>
    <row r="752" spans="13:13" ht="14">
      <c r="M752" s="20"/>
    </row>
    <row r="753" spans="13:13" ht="14">
      <c r="M753" s="20"/>
    </row>
    <row r="754" spans="13:13" ht="14">
      <c r="M754" s="20"/>
    </row>
    <row r="755" spans="13:13" ht="14">
      <c r="M755" s="20"/>
    </row>
    <row r="756" spans="13:13" ht="14">
      <c r="M756" s="20"/>
    </row>
    <row r="757" spans="13:13" ht="14">
      <c r="M757" s="20"/>
    </row>
    <row r="758" spans="13:13" ht="14">
      <c r="M758" s="20"/>
    </row>
    <row r="759" spans="13:13" ht="14">
      <c r="M759" s="20"/>
    </row>
    <row r="760" spans="13:13" ht="14">
      <c r="M760" s="20"/>
    </row>
    <row r="761" spans="13:13" ht="14">
      <c r="M761" s="20"/>
    </row>
    <row r="762" spans="13:13" ht="14">
      <c r="M762" s="20"/>
    </row>
    <row r="763" spans="13:13" ht="14">
      <c r="M763" s="20"/>
    </row>
    <row r="764" spans="13:13" ht="14">
      <c r="M764" s="20"/>
    </row>
    <row r="765" spans="13:13" ht="14">
      <c r="M765" s="20"/>
    </row>
    <row r="766" spans="13:13" ht="14">
      <c r="M766" s="20"/>
    </row>
    <row r="767" spans="13:13" ht="14">
      <c r="M767" s="20"/>
    </row>
    <row r="768" spans="13:13" ht="14">
      <c r="M768" s="20"/>
    </row>
    <row r="769" spans="13:13" ht="14">
      <c r="M769" s="20"/>
    </row>
    <row r="770" spans="13:13" ht="14">
      <c r="M770" s="20"/>
    </row>
    <row r="771" spans="13:13" ht="14">
      <c r="M771" s="20"/>
    </row>
    <row r="772" spans="13:13" ht="14">
      <c r="M772" s="20"/>
    </row>
    <row r="773" spans="13:13" ht="14">
      <c r="M773" s="20"/>
    </row>
    <row r="774" spans="13:13" ht="14">
      <c r="M774" s="20"/>
    </row>
    <row r="775" spans="13:13" ht="14">
      <c r="M775" s="20"/>
    </row>
    <row r="776" spans="13:13" ht="14">
      <c r="M776" s="20"/>
    </row>
    <row r="777" spans="13:13" ht="14">
      <c r="M777" s="20"/>
    </row>
    <row r="778" spans="13:13" ht="14">
      <c r="M778" s="20"/>
    </row>
    <row r="779" spans="13:13" ht="14">
      <c r="M779" s="20"/>
    </row>
    <row r="780" spans="13:13" ht="14">
      <c r="M780" s="20"/>
    </row>
    <row r="781" spans="13:13" ht="14">
      <c r="M781" s="20"/>
    </row>
    <row r="782" spans="13:13" ht="14">
      <c r="M782" s="20"/>
    </row>
    <row r="783" spans="13:13" ht="14">
      <c r="M783" s="20"/>
    </row>
    <row r="784" spans="13:13" ht="14">
      <c r="M784" s="20"/>
    </row>
    <row r="785" spans="13:13" ht="14">
      <c r="M785" s="20"/>
    </row>
    <row r="786" spans="13:13" ht="14">
      <c r="M786" s="20"/>
    </row>
    <row r="787" spans="13:13" ht="14">
      <c r="M787" s="20"/>
    </row>
    <row r="788" spans="13:13" ht="14">
      <c r="M788" s="20"/>
    </row>
    <row r="789" spans="13:13" ht="14">
      <c r="M789" s="20"/>
    </row>
    <row r="790" spans="13:13" ht="14">
      <c r="M790" s="20"/>
    </row>
    <row r="791" spans="13:13" ht="14">
      <c r="M791" s="20"/>
    </row>
    <row r="792" spans="13:13" ht="14">
      <c r="M792" s="20"/>
    </row>
    <row r="793" spans="13:13" ht="14">
      <c r="M793" s="20"/>
    </row>
    <row r="794" spans="13:13" ht="14">
      <c r="M794" s="20"/>
    </row>
    <row r="795" spans="13:13" ht="14">
      <c r="M795" s="20"/>
    </row>
    <row r="796" spans="13:13" ht="14">
      <c r="M796" s="20"/>
    </row>
    <row r="797" spans="13:13" ht="14">
      <c r="M797" s="20"/>
    </row>
    <row r="798" spans="13:13" ht="14">
      <c r="M798" s="20"/>
    </row>
    <row r="799" spans="13:13" ht="14">
      <c r="M799" s="20"/>
    </row>
    <row r="800" spans="13:13" ht="14">
      <c r="M800" s="20"/>
    </row>
    <row r="801" spans="13:13" ht="14">
      <c r="M801" s="20"/>
    </row>
    <row r="802" spans="13:13" ht="14">
      <c r="M802" s="20"/>
    </row>
    <row r="803" spans="13:13" ht="14">
      <c r="M803" s="20"/>
    </row>
    <row r="804" spans="13:13" ht="14">
      <c r="M804" s="20"/>
    </row>
    <row r="805" spans="13:13" ht="14">
      <c r="M805" s="20"/>
    </row>
    <row r="806" spans="13:13" ht="14">
      <c r="M806" s="20"/>
    </row>
    <row r="807" spans="13:13" ht="14">
      <c r="M807" s="20"/>
    </row>
    <row r="808" spans="13:13" ht="14">
      <c r="M808" s="20"/>
    </row>
    <row r="809" spans="13:13" ht="14">
      <c r="M809" s="20"/>
    </row>
    <row r="810" spans="13:13" ht="14">
      <c r="M810" s="20"/>
    </row>
    <row r="811" spans="13:13" ht="14">
      <c r="M811" s="20"/>
    </row>
    <row r="812" spans="13:13" ht="14">
      <c r="M812" s="20"/>
    </row>
    <row r="813" spans="13:13" ht="14">
      <c r="M813" s="20"/>
    </row>
    <row r="814" spans="13:13" ht="14">
      <c r="M814" s="20"/>
    </row>
    <row r="815" spans="13:13" ht="14">
      <c r="M815" s="20"/>
    </row>
    <row r="816" spans="13:13" ht="14">
      <c r="M816" s="20"/>
    </row>
    <row r="817" spans="13:13" ht="14">
      <c r="M817" s="20"/>
    </row>
    <row r="818" spans="13:13" ht="14">
      <c r="M818" s="20"/>
    </row>
    <row r="819" spans="13:13" ht="14">
      <c r="M819" s="20"/>
    </row>
    <row r="820" spans="13:13" ht="14">
      <c r="M820" s="20"/>
    </row>
    <row r="821" spans="13:13" ht="14">
      <c r="M821" s="20"/>
    </row>
    <row r="822" spans="13:13" ht="14">
      <c r="M822" s="20"/>
    </row>
    <row r="823" spans="13:13" ht="14">
      <c r="M823" s="20"/>
    </row>
    <row r="824" spans="13:13" ht="14">
      <c r="M824" s="20"/>
    </row>
    <row r="825" spans="13:13" ht="14">
      <c r="M825" s="20"/>
    </row>
    <row r="826" spans="13:13" ht="14">
      <c r="M826" s="20"/>
    </row>
    <row r="827" spans="13:13" ht="14">
      <c r="M827" s="20"/>
    </row>
    <row r="828" spans="13:13" ht="14">
      <c r="M828" s="20"/>
    </row>
    <row r="829" spans="13:13" ht="14">
      <c r="M829" s="20"/>
    </row>
    <row r="830" spans="13:13" ht="14">
      <c r="M830" s="20"/>
    </row>
    <row r="831" spans="13:13" ht="14">
      <c r="M831" s="20"/>
    </row>
    <row r="832" spans="13:13" ht="14">
      <c r="M832" s="20"/>
    </row>
    <row r="833" spans="13:13" ht="14">
      <c r="M833" s="20"/>
    </row>
    <row r="834" spans="13:13" ht="14">
      <c r="M834" s="20"/>
    </row>
    <row r="835" spans="13:13" ht="14">
      <c r="M835" s="20"/>
    </row>
    <row r="836" spans="13:13" ht="14">
      <c r="M836" s="20"/>
    </row>
    <row r="837" spans="13:13" ht="14">
      <c r="M837" s="20"/>
    </row>
    <row r="838" spans="13:13" ht="14">
      <c r="M838" s="20"/>
    </row>
    <row r="839" spans="13:13" ht="14">
      <c r="M839" s="20"/>
    </row>
    <row r="840" spans="13:13" ht="14">
      <c r="M840" s="20"/>
    </row>
    <row r="841" spans="13:13" ht="14">
      <c r="M841" s="20"/>
    </row>
    <row r="842" spans="13:13" ht="14">
      <c r="M842" s="20"/>
    </row>
    <row r="843" spans="13:13" ht="14">
      <c r="M843" s="20"/>
    </row>
    <row r="844" spans="13:13" ht="14">
      <c r="M844" s="20"/>
    </row>
    <row r="845" spans="13:13" ht="14">
      <c r="M845" s="20"/>
    </row>
    <row r="846" spans="13:13" ht="14">
      <c r="M846" s="20"/>
    </row>
    <row r="847" spans="13:13" ht="14">
      <c r="M847" s="20"/>
    </row>
    <row r="848" spans="13:13" ht="14">
      <c r="M848" s="20"/>
    </row>
    <row r="849" spans="13:13" ht="14">
      <c r="M849" s="20"/>
    </row>
    <row r="850" spans="13:13" ht="14">
      <c r="M850" s="20"/>
    </row>
    <row r="851" spans="13:13" ht="14">
      <c r="M851" s="20"/>
    </row>
    <row r="852" spans="13:13" ht="14">
      <c r="M852" s="20"/>
    </row>
    <row r="853" spans="13:13" ht="14">
      <c r="M853" s="20"/>
    </row>
    <row r="854" spans="13:13" ht="14">
      <c r="M854" s="20"/>
    </row>
    <row r="855" spans="13:13" ht="14">
      <c r="M855" s="20"/>
    </row>
    <row r="856" spans="13:13" ht="14">
      <c r="M856" s="20"/>
    </row>
    <row r="857" spans="13:13" ht="14">
      <c r="M857" s="20"/>
    </row>
    <row r="858" spans="13:13" ht="14">
      <c r="M858" s="20"/>
    </row>
    <row r="859" spans="13:13" ht="14">
      <c r="M859" s="20"/>
    </row>
    <row r="860" spans="13:13" ht="14">
      <c r="M860" s="20"/>
    </row>
    <row r="861" spans="13:13" ht="14">
      <c r="M861" s="20"/>
    </row>
    <row r="862" spans="13:13" ht="14">
      <c r="M862" s="20"/>
    </row>
    <row r="863" spans="13:13" ht="14">
      <c r="M863" s="20"/>
    </row>
    <row r="864" spans="13:13" ht="14">
      <c r="M864" s="20"/>
    </row>
    <row r="865" spans="13:13" ht="14">
      <c r="M865" s="20"/>
    </row>
    <row r="866" spans="13:13" ht="14">
      <c r="M866" s="20"/>
    </row>
    <row r="867" spans="13:13" ht="14">
      <c r="M867" s="20"/>
    </row>
    <row r="868" spans="13:13" ht="14">
      <c r="M868" s="20"/>
    </row>
    <row r="869" spans="13:13" ht="14">
      <c r="M869" s="20"/>
    </row>
    <row r="870" spans="13:13" ht="14">
      <c r="M870" s="20"/>
    </row>
    <row r="871" spans="13:13" ht="14">
      <c r="M871" s="20"/>
    </row>
    <row r="872" spans="13:13" ht="14">
      <c r="M872" s="20"/>
    </row>
    <row r="873" spans="13:13" ht="14">
      <c r="M873" s="20"/>
    </row>
    <row r="874" spans="13:13" ht="14">
      <c r="M874" s="20"/>
    </row>
    <row r="875" spans="13:13" ht="14">
      <c r="M875" s="20"/>
    </row>
    <row r="876" spans="13:13" ht="14">
      <c r="M876" s="20"/>
    </row>
    <row r="877" spans="13:13" ht="14">
      <c r="M877" s="20"/>
    </row>
    <row r="878" spans="13:13" ht="14">
      <c r="M878" s="20"/>
    </row>
    <row r="879" spans="13:13" ht="14">
      <c r="M879" s="20"/>
    </row>
    <row r="880" spans="13:13" ht="14">
      <c r="M880" s="20"/>
    </row>
    <row r="881" spans="13:13" ht="14">
      <c r="M881" s="20"/>
    </row>
    <row r="882" spans="13:13" ht="14">
      <c r="M882" s="20"/>
    </row>
    <row r="883" spans="13:13" ht="14">
      <c r="M883" s="20"/>
    </row>
    <row r="884" spans="13:13" ht="14">
      <c r="M884" s="20"/>
    </row>
    <row r="885" spans="13:13" ht="14">
      <c r="M885" s="20"/>
    </row>
    <row r="886" spans="13:13" ht="14">
      <c r="M886" s="20"/>
    </row>
    <row r="887" spans="13:13" ht="14">
      <c r="M887" s="20"/>
    </row>
    <row r="888" spans="13:13" ht="14">
      <c r="M888" s="20"/>
    </row>
    <row r="889" spans="13:13" ht="14">
      <c r="M889" s="20"/>
    </row>
    <row r="890" spans="13:13" ht="14">
      <c r="M890" s="20"/>
    </row>
    <row r="891" spans="13:13" ht="14">
      <c r="M891" s="20"/>
    </row>
    <row r="892" spans="13:13" ht="14">
      <c r="M892" s="20"/>
    </row>
    <row r="893" spans="13:13" ht="14">
      <c r="M893" s="20"/>
    </row>
    <row r="894" spans="13:13" ht="14">
      <c r="M894" s="20"/>
    </row>
    <row r="895" spans="13:13" ht="14">
      <c r="M895" s="20"/>
    </row>
    <row r="896" spans="13:13" ht="14">
      <c r="M896" s="20"/>
    </row>
    <row r="897" spans="13:13" ht="14">
      <c r="M897" s="20"/>
    </row>
    <row r="898" spans="13:13" ht="14">
      <c r="M898" s="20"/>
    </row>
    <row r="899" spans="13:13" ht="14">
      <c r="M899" s="20"/>
    </row>
    <row r="900" spans="13:13" ht="14">
      <c r="M900" s="20"/>
    </row>
    <row r="901" spans="13:13" ht="14">
      <c r="M901" s="20"/>
    </row>
    <row r="902" spans="13:13" ht="14">
      <c r="M902" s="20"/>
    </row>
    <row r="903" spans="13:13" ht="14">
      <c r="M903" s="20"/>
    </row>
    <row r="904" spans="13:13" ht="14">
      <c r="M904" s="20"/>
    </row>
    <row r="905" spans="13:13" ht="14">
      <c r="M905" s="20"/>
    </row>
    <row r="906" spans="13:13" ht="14">
      <c r="M906" s="20"/>
    </row>
    <row r="907" spans="13:13" ht="14">
      <c r="M907" s="20"/>
    </row>
    <row r="908" spans="13:13" ht="14">
      <c r="M908" s="20"/>
    </row>
    <row r="909" spans="13:13" ht="14">
      <c r="M909" s="20"/>
    </row>
    <row r="910" spans="13:13" ht="14">
      <c r="M910" s="20"/>
    </row>
    <row r="911" spans="13:13" ht="14">
      <c r="M911" s="20"/>
    </row>
    <row r="912" spans="13:13" ht="14">
      <c r="M912" s="20"/>
    </row>
    <row r="913" spans="13:13" ht="14">
      <c r="M913" s="20"/>
    </row>
    <row r="914" spans="13:13" ht="14">
      <c r="M914" s="20"/>
    </row>
    <row r="915" spans="13:13" ht="14">
      <c r="M915" s="20"/>
    </row>
    <row r="916" spans="13:13" ht="14">
      <c r="M916" s="20"/>
    </row>
    <row r="917" spans="13:13" ht="14">
      <c r="M917" s="20"/>
    </row>
    <row r="918" spans="13:13" ht="14">
      <c r="M918" s="20"/>
    </row>
    <row r="919" spans="13:13" ht="14">
      <c r="M919" s="20"/>
    </row>
    <row r="920" spans="13:13" ht="14">
      <c r="M920" s="20"/>
    </row>
    <row r="921" spans="13:13" ht="14">
      <c r="M921" s="20"/>
    </row>
    <row r="922" spans="13:13" ht="14">
      <c r="M922" s="20"/>
    </row>
    <row r="923" spans="13:13" ht="14">
      <c r="M923" s="20"/>
    </row>
    <row r="924" spans="13:13" ht="14">
      <c r="M924" s="20"/>
    </row>
    <row r="925" spans="13:13" ht="14">
      <c r="M925" s="20"/>
    </row>
    <row r="926" spans="13:13" ht="14">
      <c r="M926" s="20"/>
    </row>
    <row r="927" spans="13:13" ht="14">
      <c r="M927" s="20"/>
    </row>
    <row r="928" spans="13:13" ht="14">
      <c r="M928" s="20"/>
    </row>
    <row r="929" spans="13:13" ht="14">
      <c r="M929" s="20"/>
    </row>
    <row r="930" spans="13:13" ht="14">
      <c r="M930" s="20"/>
    </row>
    <row r="931" spans="13:13" ht="14">
      <c r="M931" s="20"/>
    </row>
    <row r="932" spans="13:13" ht="14">
      <c r="M932" s="20"/>
    </row>
    <row r="933" spans="13:13" ht="14">
      <c r="M933" s="20"/>
    </row>
    <row r="934" spans="13:13" ht="14">
      <c r="M934" s="20"/>
    </row>
    <row r="935" spans="13:13" ht="14">
      <c r="M935" s="20"/>
    </row>
    <row r="936" spans="13:13" ht="14">
      <c r="M936" s="20"/>
    </row>
    <row r="937" spans="13:13" ht="14">
      <c r="M937" s="20"/>
    </row>
    <row r="938" spans="13:13" ht="14">
      <c r="M938" s="20"/>
    </row>
    <row r="939" spans="13:13" ht="14">
      <c r="M939" s="20"/>
    </row>
    <row r="940" spans="13:13" ht="14">
      <c r="M940" s="20"/>
    </row>
    <row r="941" spans="13:13" ht="14">
      <c r="M941" s="20"/>
    </row>
    <row r="942" spans="13:13" ht="14">
      <c r="M942" s="20"/>
    </row>
    <row r="943" spans="13:13" ht="14">
      <c r="M943" s="20"/>
    </row>
    <row r="944" spans="13:13" ht="14">
      <c r="M944" s="20"/>
    </row>
    <row r="945" spans="13:13" ht="14">
      <c r="M945" s="20"/>
    </row>
    <row r="946" spans="13:13" ht="14">
      <c r="M946" s="20"/>
    </row>
    <row r="947" spans="13:13" ht="14">
      <c r="M947" s="20"/>
    </row>
    <row r="948" spans="13:13" ht="14">
      <c r="M948" s="20"/>
    </row>
    <row r="949" spans="13:13" ht="14">
      <c r="M949" s="20"/>
    </row>
    <row r="950" spans="13:13" ht="14">
      <c r="M950" s="20"/>
    </row>
    <row r="951" spans="13:13" ht="14">
      <c r="M951" s="20"/>
    </row>
    <row r="952" spans="13:13" ht="14">
      <c r="M952" s="20"/>
    </row>
    <row r="953" spans="13:13" ht="14">
      <c r="M953" s="20"/>
    </row>
    <row r="954" spans="13:13" ht="14">
      <c r="M954" s="20"/>
    </row>
    <row r="955" spans="13:13" ht="14">
      <c r="M955" s="20"/>
    </row>
    <row r="956" spans="13:13" ht="14">
      <c r="M956" s="20"/>
    </row>
    <row r="957" spans="13:13" ht="14">
      <c r="M957" s="20"/>
    </row>
    <row r="958" spans="13:13" ht="14">
      <c r="M958" s="20"/>
    </row>
    <row r="959" spans="13:13" ht="14">
      <c r="M959" s="20"/>
    </row>
    <row r="960" spans="13:13" ht="14">
      <c r="M960" s="20"/>
    </row>
    <row r="961" spans="13:13" ht="14">
      <c r="M961" s="20"/>
    </row>
    <row r="962" spans="13:13" ht="14">
      <c r="M962" s="20"/>
    </row>
    <row r="963" spans="13:13" ht="14">
      <c r="M963" s="20"/>
    </row>
    <row r="964" spans="13:13" ht="14">
      <c r="M964" s="20"/>
    </row>
    <row r="965" spans="13:13" ht="14">
      <c r="M965" s="20"/>
    </row>
    <row r="966" spans="13:13" ht="14">
      <c r="M966" s="20"/>
    </row>
    <row r="967" spans="13:13" ht="14">
      <c r="M967" s="20"/>
    </row>
  </sheetData>
  <sortState xmlns:xlrd2="http://schemas.microsoft.com/office/spreadsheetml/2017/richdata2" ref="A5:M183">
    <sortCondition ref="A5:A183"/>
  </sortState>
  <mergeCells count="3">
    <mergeCell ref="C1:G1"/>
    <mergeCell ref="H1:M1"/>
    <mergeCell ref="A1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5195-FB32-1F49-97A2-2FEA67E58295}">
  <dimension ref="A1:R18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8.83203125" defaultRowHeight="14"/>
  <cols>
    <col min="1" max="1" width="25.83203125" style="1" customWidth="1"/>
    <col min="2" max="2" width="15.83203125" style="1" customWidth="1"/>
    <col min="3" max="15" width="20.83203125" style="1" customWidth="1"/>
    <col min="16" max="17" width="20.83203125" style="1" hidden="1" customWidth="1"/>
    <col min="18" max="18" width="20.83203125" style="1" customWidth="1"/>
    <col min="19" max="16384" width="8.83203125" style="1"/>
  </cols>
  <sheetData>
    <row r="1" spans="1:18" ht="35" customHeight="1">
      <c r="A1" s="221" t="s">
        <v>608</v>
      </c>
      <c r="B1" s="221"/>
      <c r="C1" s="234" t="s">
        <v>0</v>
      </c>
      <c r="D1" s="218"/>
      <c r="E1" s="218"/>
      <c r="F1" s="218"/>
      <c r="G1" s="218"/>
      <c r="H1" s="44"/>
      <c r="I1" s="44"/>
      <c r="J1" s="44"/>
      <c r="K1" s="233" t="s">
        <v>553</v>
      </c>
      <c r="L1" s="233"/>
      <c r="M1" s="233"/>
      <c r="N1" s="233"/>
      <c r="O1" s="233"/>
      <c r="P1" s="113"/>
      <c r="Q1" s="113"/>
      <c r="R1" s="113"/>
    </row>
    <row r="2" spans="1:18" ht="35" customHeight="1">
      <c r="A2" s="221"/>
      <c r="B2" s="221"/>
      <c r="C2" s="3" t="s">
        <v>493</v>
      </c>
      <c r="D2" s="4" t="s">
        <v>494</v>
      </c>
      <c r="E2" s="3" t="s">
        <v>495</v>
      </c>
      <c r="F2" s="3">
        <v>4</v>
      </c>
      <c r="G2" s="3">
        <v>5</v>
      </c>
      <c r="H2" s="4" t="s">
        <v>766</v>
      </c>
      <c r="I2" s="3" t="s">
        <v>767</v>
      </c>
      <c r="J2" s="3" t="s">
        <v>767</v>
      </c>
      <c r="K2" s="6">
        <v>0.2</v>
      </c>
      <c r="L2" s="6">
        <v>0.2</v>
      </c>
      <c r="M2" s="6">
        <v>0.15</v>
      </c>
      <c r="N2" s="6">
        <v>0.2</v>
      </c>
      <c r="O2" s="6">
        <v>0.25</v>
      </c>
      <c r="P2" s="6"/>
      <c r="Q2" s="6"/>
      <c r="R2" s="7">
        <f>SUM(K2:O2)</f>
        <v>1</v>
      </c>
    </row>
    <row r="3" spans="1:18" ht="50" customHeight="1">
      <c r="A3" s="222"/>
      <c r="B3" s="222"/>
      <c r="C3" s="14" t="s">
        <v>445</v>
      </c>
      <c r="D3" s="14" t="s">
        <v>446</v>
      </c>
      <c r="E3" s="14" t="s">
        <v>447</v>
      </c>
      <c r="F3" s="14" t="s">
        <v>870</v>
      </c>
      <c r="G3" s="14" t="s">
        <v>871</v>
      </c>
      <c r="H3" s="160" t="s">
        <v>605</v>
      </c>
      <c r="I3" s="231" t="s">
        <v>607</v>
      </c>
      <c r="J3" s="232"/>
      <c r="K3" s="16" t="s">
        <v>445</v>
      </c>
      <c r="L3" s="16" t="s">
        <v>446</v>
      </c>
      <c r="M3" s="16" t="s">
        <v>447</v>
      </c>
      <c r="N3" s="16" t="s">
        <v>870</v>
      </c>
      <c r="O3" s="16" t="s">
        <v>771</v>
      </c>
      <c r="P3" s="161" t="s">
        <v>768</v>
      </c>
      <c r="Q3" s="161" t="s">
        <v>769</v>
      </c>
      <c r="R3" s="47" t="s">
        <v>608</v>
      </c>
    </row>
    <row r="4" spans="1:18" ht="50" customHeight="1">
      <c r="A4" s="8" t="s">
        <v>840</v>
      </c>
      <c r="B4" s="14" t="s">
        <v>3</v>
      </c>
      <c r="C4" s="14" t="s">
        <v>602</v>
      </c>
      <c r="D4" s="14" t="s">
        <v>603</v>
      </c>
      <c r="E4" s="14" t="s">
        <v>604</v>
      </c>
      <c r="F4" s="14" t="s">
        <v>772</v>
      </c>
      <c r="G4" s="14" t="s">
        <v>772</v>
      </c>
      <c r="H4" s="160" t="s">
        <v>606</v>
      </c>
      <c r="I4" s="160" t="s">
        <v>448</v>
      </c>
      <c r="J4" s="160" t="s">
        <v>449</v>
      </c>
      <c r="K4" s="16" t="s">
        <v>463</v>
      </c>
      <c r="L4" s="16" t="s">
        <v>464</v>
      </c>
      <c r="M4" s="16" t="s">
        <v>797</v>
      </c>
      <c r="N4" s="16" t="s">
        <v>465</v>
      </c>
      <c r="O4" s="16" t="s">
        <v>466</v>
      </c>
      <c r="P4" s="161" t="s">
        <v>787</v>
      </c>
      <c r="Q4" s="161" t="s">
        <v>788</v>
      </c>
      <c r="R4" s="47" t="s">
        <v>500</v>
      </c>
    </row>
    <row r="5" spans="1:18" ht="20" customHeight="1">
      <c r="A5" s="35" t="str" cm="1">
        <f t="array" ref="A5:B40">_xlfn._xlws.FILTER(Screening!$A$2:$B$216,Screening!$L$2:$L$216="Yes","")</f>
        <v>Australia</v>
      </c>
      <c r="B5" s="35" t="str">
        <v>AUS</v>
      </c>
      <c r="C5" s="58">
        <f>IF($B5="","",_xlfn.XLOOKUP($B5,[1]pillars_WIP!$B$7:$B$116,[1]pillars_WIP!$U$7:$U$116,"Missing",0))</f>
        <v>17</v>
      </c>
      <c r="D5" s="58">
        <f>IF($B5="","",_xlfn.XLOOKUP($B5,[1]pillars_WIP!$B$7:$B$116,[1]pillars_WIP!$V$7:$V$116,"Missing",0))</f>
        <v>886994</v>
      </c>
      <c r="E5" s="58">
        <f>IF($B5="","",_xlfn.XLOOKUP($B5,[1]pillars_WIP!$B$7:$B$116,[1]pillars_WIP!$W$7:$W$116,"Missing",0))</f>
        <v>889510</v>
      </c>
      <c r="F5" s="58">
        <f>IF($B5="","",_xlfn.XLOOKUP($B5,[1]pillars_WIP!$B$7:$B$116,[1]pillars_WIP!$X$7:$X$116,"Missing",0))</f>
        <v>0</v>
      </c>
      <c r="G5" s="58">
        <f>IF($B5="","",_xlfn.XLOOKUP($B5,[1]pillars_WIP!$B$7:$B$116,[1]pillars_WIP!$Y$7:$Y$116,"Missing",0))</f>
        <v>25</v>
      </c>
      <c r="H5" s="58">
        <f>_xlfn.XLOOKUP($B5,[1]pillars_WIP!$B:$B,[1]pillars_WIP!$X:$X,"Missing")</f>
        <v>0</v>
      </c>
      <c r="I5" s="58">
        <f>_xlfn.XLOOKUP($B5,[1]pillars_WIP!$B:$B,[1]pillars_WIP!$X:$X,"Missing")</f>
        <v>0</v>
      </c>
      <c r="J5" s="58">
        <f>_xlfn.XLOOKUP($B5,[1]pillars_WIP!$B:$B,[1]pillars_WIP!$X:$X,"Missing")</f>
        <v>0</v>
      </c>
      <c r="K5" s="11">
        <f>IF(ISNUMBER(C5),IF(Params!$G$69=0,0,LN(1+C5)/LN(1+Params!$G$69)*100),"")</f>
        <v>38.793495462386915</v>
      </c>
      <c r="L5" s="11">
        <f>IF(ISNUMBER(D5),IF(Params!$G$70=0,0,LN(1+D5)/LN(1+Params!$G$70)*100),"")</f>
        <v>68.347902938560651</v>
      </c>
      <c r="M5" s="11">
        <f>IF(ISNUMBER(E5),IF(Params!$G$71=0,0,LN(1+E5)/LN(1+Params!$G$71)*100),"")</f>
        <v>69.705536589196953</v>
      </c>
      <c r="N5" s="11">
        <f>IF(ISNUMBER(F5),F5,"")</f>
        <v>0</v>
      </c>
      <c r="O5" s="11">
        <f>IF(ISNUMBER(G5),G5,"")</f>
        <v>25</v>
      </c>
      <c r="P5" s="11">
        <f>IF(ISNUMBER(H5),MIN(H5/5,1)*100,"")</f>
        <v>0</v>
      </c>
      <c r="Q5" s="11">
        <f>IF(COUNT(I5:J5)=0,"",IF(IFERROR(I5,0)&gt;0,100,IF(IFERROR(J5,0)&gt;0,50,0)))</f>
        <v>0</v>
      </c>
      <c r="R5" s="12">
        <f>IF(COUNT(K5:O5)=5,SUMPRODUCT(K5:O5,$K$2:$O$2),"")</f>
        <v>38.134110168569059</v>
      </c>
    </row>
    <row r="6" spans="1:18" ht="20" customHeight="1">
      <c r="A6" s="35" t="str">
        <v>Bangladesh</v>
      </c>
      <c r="B6" s="35" t="str">
        <v>BGD</v>
      </c>
      <c r="C6" s="58">
        <f>IF($B6="","",_xlfn.XLOOKUP($B6,[1]pillars_WIP!$B$7:$B$116,[1]pillars_WIP!$U$7:$U$116,"Missing",0))</f>
        <v>150</v>
      </c>
      <c r="D6" s="58">
        <f>IF($B6="","",_xlfn.XLOOKUP($B6,[1]pillars_WIP!$B$7:$B$116,[1]pillars_WIP!$V$7:$V$116,"Missing",0))</f>
        <v>31216785</v>
      </c>
      <c r="E6" s="58">
        <f>IF($B6="","",_xlfn.XLOOKUP($B6,[1]pillars_WIP!$B$7:$B$116,[1]pillars_WIP!$W$7:$W$116,"Missing",0))</f>
        <v>5579922</v>
      </c>
      <c r="F6" s="58">
        <f>IF($B6="","",_xlfn.XLOOKUP($B6,[1]pillars_WIP!$B$7:$B$116,[1]pillars_WIP!$X$7:$X$116,"Missing",0))</f>
        <v>80</v>
      </c>
      <c r="G6" s="58">
        <f>IF($B6="","",_xlfn.XLOOKUP($B6,[1]pillars_WIP!$B$7:$B$116,[1]pillars_WIP!$Y$7:$Y$116,"Missing",0))</f>
        <v>75</v>
      </c>
      <c r="H6" s="58">
        <f>_xlfn.XLOOKUP($B6,[1]pillars_WIP!$B$7:$B$501,[1]pillars_WIP!$Y$7:$Y$501,"Missing",0)</f>
        <v>75</v>
      </c>
      <c r="I6" s="58">
        <f>_xlfn.XLOOKUP($B6,[1]pillars_WIP!$B$7:$B$501,[1]pillars_WIP!$Z$7:$Z$501,"Missing",0)</f>
        <v>1</v>
      </c>
      <c r="J6" s="58">
        <f>_xlfn.XLOOKUP($B6,[1]pillars_WIP!$B$7:$B$501,[1]pillars_WIP!$AA$7:$AA$501,"Missing",0)</f>
        <v>0</v>
      </c>
      <c r="K6" s="11">
        <f>IF(ISNUMBER(C6),IF(Params!$G$69=0,0,LN(1+C6)/LN(1+Params!$G$69)*100),"")</f>
        <v>67.34006518409852</v>
      </c>
      <c r="L6" s="11">
        <f>IF(ISNUMBER(D6),IF(Params!$G$70=0,0,LN(1+D6)/LN(1+Params!$G$70)*100),"")</f>
        <v>86.118444009881827</v>
      </c>
      <c r="M6" s="11">
        <f>IF(ISNUMBER(E6),IF(Params!$G$71=0,0,LN(1+E6)/LN(1+Params!$G$71)*100),"")</f>
        <v>79.049483484808263</v>
      </c>
      <c r="N6" s="11">
        <f t="shared" ref="N6:N40" si="0">IF(ISNUMBER(F6),F6,"")</f>
        <v>80</v>
      </c>
      <c r="O6" s="11">
        <f t="shared" ref="O6:O40" si="1">IF(ISNUMBER(G6),G6,"")</f>
        <v>75</v>
      </c>
      <c r="P6" s="11">
        <f t="shared" ref="P6:P40" si="2">IF(ISNUMBER(H6),MIN(H6/5,1)*100,"")</f>
        <v>100</v>
      </c>
      <c r="Q6" s="11">
        <f t="shared" ref="Q6:Q40" si="3">IF(COUNT(I6:J6)=0,"",IF(IFERROR(I6,0)&gt;0,100,IF(IFERROR(J6,0)&gt;0,50,0)))</f>
        <v>100</v>
      </c>
      <c r="R6" s="12">
        <f t="shared" ref="R6:R40" si="4">IF(COUNT(K6:O6)=5,SUMPRODUCT(K6:O6,$K$2:$O$2),"")</f>
        <v>77.2991243615173</v>
      </c>
    </row>
    <row r="7" spans="1:18" ht="20" customHeight="1">
      <c r="A7" s="35" t="str">
        <v>Bosnia and Herzegovina</v>
      </c>
      <c r="B7" s="35" t="str">
        <v>BIH</v>
      </c>
      <c r="C7" s="58">
        <f>IF($B7="","",_xlfn.XLOOKUP($B7,[1]pillars_WIP!$B$7:$B$116,[1]pillars_WIP!$U$7:$U$116,"Missing",0))</f>
        <v>0</v>
      </c>
      <c r="D7" s="58">
        <f>IF($B7="","",_xlfn.XLOOKUP($B7,[1]pillars_WIP!$B$7:$B$116,[1]pillars_WIP!$V$7:$V$116,"Missing",0))</f>
        <v>0</v>
      </c>
      <c r="E7" s="58">
        <f>IF($B7="","",_xlfn.XLOOKUP($B7,[1]pillars_WIP!$B$7:$B$116,[1]pillars_WIP!$W$7:$W$116,"Missing",0))</f>
        <v>0</v>
      </c>
      <c r="F7" s="58">
        <f>IF($B7="","",_xlfn.XLOOKUP($B7,[1]pillars_WIP!$B$7:$B$116,[1]pillars_WIP!$X$7:$X$116,"Missing",0))</f>
        <v>0</v>
      </c>
      <c r="G7" s="58">
        <f>IF($B7="","",_xlfn.XLOOKUP($B7,[1]pillars_WIP!$B$7:$B$116,[1]pillars_WIP!$Y$7:$Y$116,"Missing",0))</f>
        <v>0</v>
      </c>
      <c r="H7" s="58">
        <f>_xlfn.XLOOKUP($B7,[1]pillars_WIP!$B$7:$B$501,[1]pillars_WIP!$Y$7:$Y$501,"Missing",0)</f>
        <v>0</v>
      </c>
      <c r="I7" s="58">
        <f>_xlfn.XLOOKUP($B7,[1]pillars_WIP!$B$7:$B$501,[1]pillars_WIP!$Z$7:$Z$501,"Missing",0)</f>
        <v>0</v>
      </c>
      <c r="J7" s="58">
        <f>_xlfn.XLOOKUP($B7,[1]pillars_WIP!$B$7:$B$501,[1]pillars_WIP!$AA$7:$AA$501,"Missing",0)</f>
        <v>0</v>
      </c>
      <c r="K7" s="11">
        <f>IF(ISNUMBER(C7),IF(Params!$G$69=0,0,LN(1+C7)/LN(1+Params!$G$69)*100),"")</f>
        <v>0</v>
      </c>
      <c r="L7" s="11">
        <f>IF(ISNUMBER(D7),IF(Params!$G$70=0,0,LN(1+D7)/LN(1+Params!$G$70)*100),"")</f>
        <v>0</v>
      </c>
      <c r="M7" s="11">
        <f>IF(ISNUMBER(E7),IF(Params!$G$71=0,0,LN(1+E7)/LN(1+Params!$G$71)*100),"")</f>
        <v>0</v>
      </c>
      <c r="N7" s="11">
        <f t="shared" si="0"/>
        <v>0</v>
      </c>
      <c r="O7" s="11">
        <f t="shared" si="1"/>
        <v>0</v>
      </c>
      <c r="P7" s="11">
        <f t="shared" si="2"/>
        <v>0</v>
      </c>
      <c r="Q7" s="11">
        <f t="shared" si="3"/>
        <v>0</v>
      </c>
      <c r="R7" s="12">
        <f t="shared" si="4"/>
        <v>0</v>
      </c>
    </row>
    <row r="8" spans="1:18" ht="20" customHeight="1">
      <c r="A8" s="35" t="str">
        <v>Brazil</v>
      </c>
      <c r="B8" s="35" t="str">
        <v>BRA</v>
      </c>
      <c r="C8" s="58">
        <f>IF($B8="","",_xlfn.XLOOKUP($B8,[1]pillars_WIP!$B$7:$B$116,[1]pillars_WIP!$U$7:$U$116,"Missing",0))</f>
        <v>318</v>
      </c>
      <c r="D8" s="58">
        <f>IF($B8="","",_xlfn.XLOOKUP($B8,[1]pillars_WIP!$B$7:$B$116,[1]pillars_WIP!$V$7:$V$116,"Missing",0))</f>
        <v>134042540</v>
      </c>
      <c r="E8" s="58">
        <f>IF($B8="","",_xlfn.XLOOKUP($B8,[1]pillars_WIP!$B$7:$B$116,[1]pillars_WIP!$W$7:$W$116,"Missing",0))</f>
        <v>73769614</v>
      </c>
      <c r="F8" s="58">
        <f>IF($B8="","",_xlfn.XLOOKUP($B8,[1]pillars_WIP!$B$7:$B$116,[1]pillars_WIP!$X$7:$X$116,"Missing",0))</f>
        <v>60</v>
      </c>
      <c r="G8" s="58">
        <f>IF($B8="","",_xlfn.XLOOKUP($B8,[1]pillars_WIP!$B$7:$B$116,[1]pillars_WIP!$Y$7:$Y$116,"Missing",0))</f>
        <v>50</v>
      </c>
      <c r="H8" s="58">
        <f>_xlfn.XLOOKUP($B8,[1]pillars_WIP!$B$7:$B$501,[1]pillars_WIP!$Y$7:$Y$501,"Missing",0)</f>
        <v>50</v>
      </c>
      <c r="I8" s="58">
        <f>_xlfn.XLOOKUP($B8,[1]pillars_WIP!$B$7:$B$501,[1]pillars_WIP!$Z$7:$Z$501,"Missing",0)</f>
        <v>2</v>
      </c>
      <c r="J8" s="58">
        <f>_xlfn.XLOOKUP($B8,[1]pillars_WIP!$B$7:$B$501,[1]pillars_WIP!$AA$7:$AA$501,"Missing",0)</f>
        <v>0</v>
      </c>
      <c r="K8" s="11">
        <f>IF(ISNUMBER(C8),IF(Params!$G$69=0,0,LN(1+C8)/LN(1+Params!$G$69)*100),"")</f>
        <v>77.378252217793744</v>
      </c>
      <c r="L8" s="11">
        <f>IF(ISNUMBER(D8),IF(Params!$G$70=0,0,LN(1+D8)/LN(1+Params!$G$70)*100),"")</f>
        <v>93.390610921289024</v>
      </c>
      <c r="M8" s="11">
        <f>IF(ISNUMBER(E8),IF(Params!$G$71=0,0,LN(1+E8)/LN(1+Params!$G$71)*100),"")</f>
        <v>92.187035486105884</v>
      </c>
      <c r="N8" s="11">
        <f t="shared" si="0"/>
        <v>60</v>
      </c>
      <c r="O8" s="11">
        <f t="shared" si="1"/>
        <v>50</v>
      </c>
      <c r="P8" s="11">
        <f t="shared" si="2"/>
        <v>100</v>
      </c>
      <c r="Q8" s="11">
        <f t="shared" si="3"/>
        <v>100</v>
      </c>
      <c r="R8" s="12">
        <f t="shared" si="4"/>
        <v>72.481827950732423</v>
      </c>
    </row>
    <row r="9" spans="1:18" ht="20" customHeight="1">
      <c r="A9" s="35" t="str">
        <v>Bulgaria</v>
      </c>
      <c r="B9" s="35" t="str">
        <v>BGR</v>
      </c>
      <c r="C9" s="58">
        <f>IF($B9="","",_xlfn.XLOOKUP($B9,[1]pillars_WIP!$B$7:$B$116,[1]pillars_WIP!$U$7:$U$116,"Missing",0))</f>
        <v>7</v>
      </c>
      <c r="D9" s="58">
        <f>IF($B9="","",_xlfn.XLOOKUP($B9,[1]pillars_WIP!$B$7:$B$116,[1]pillars_WIP!$V$7:$V$116,"Missing",0))</f>
        <v>3294107</v>
      </c>
      <c r="E9" s="58">
        <f>IF($B9="","",_xlfn.XLOOKUP($B9,[1]pillars_WIP!$B$7:$B$116,[1]pillars_WIP!$W$7:$W$116,"Missing",0))</f>
        <v>2837625</v>
      </c>
      <c r="F9" s="58">
        <f>IF($B9="","",_xlfn.XLOOKUP($B9,[1]pillars_WIP!$B$7:$B$116,[1]pillars_WIP!$X$7:$X$116,"Missing",0))</f>
        <v>0</v>
      </c>
      <c r="G9" s="58">
        <f>IF($B9="","",_xlfn.XLOOKUP($B9,[1]pillars_WIP!$B$7:$B$116,[1]pillars_WIP!$Y$7:$Y$116,"Missing",0))</f>
        <v>0</v>
      </c>
      <c r="H9" s="58">
        <f>_xlfn.XLOOKUP($B9,[1]pillars_WIP!$B$7:$B$501,[1]pillars_WIP!$Y$7:$Y$501,"Missing",0)</f>
        <v>0</v>
      </c>
      <c r="I9" s="58">
        <f>_xlfn.XLOOKUP($B9,[1]pillars_WIP!$B$7:$B$501,[1]pillars_WIP!$Z$7:$Z$501,"Missing",0)</f>
        <v>0</v>
      </c>
      <c r="J9" s="58">
        <f>_xlfn.XLOOKUP($B9,[1]pillars_WIP!$B$7:$B$501,[1]pillars_WIP!$AA$7:$AA$501,"Missing",0)</f>
        <v>0</v>
      </c>
      <c r="K9" s="11">
        <f>IF(ISNUMBER(C9),IF(Params!$G$69=0,0,LN(1+C9)/LN(1+Params!$G$69)*100),"")</f>
        <v>27.909491500903865</v>
      </c>
      <c r="L9" s="11">
        <f>IF(ISNUMBER(D9),IF(Params!$G$70=0,0,LN(1+D9)/LN(1+Params!$G$70)*100),"")</f>
        <v>74.895698846750449</v>
      </c>
      <c r="M9" s="11">
        <f>IF(ISNUMBER(E9),IF(Params!$G$71=0,0,LN(1+E9)/LN(1+Params!$G$71)*100),"")</f>
        <v>75.608549391196163</v>
      </c>
      <c r="N9" s="11">
        <f t="shared" si="0"/>
        <v>0</v>
      </c>
      <c r="O9" s="11">
        <f t="shared" si="1"/>
        <v>0</v>
      </c>
      <c r="P9" s="11">
        <f t="shared" si="2"/>
        <v>0</v>
      </c>
      <c r="Q9" s="11">
        <f t="shared" si="3"/>
        <v>0</v>
      </c>
      <c r="R9" s="12">
        <f t="shared" si="4"/>
        <v>31.902320478210292</v>
      </c>
    </row>
    <row r="10" spans="1:18" ht="20" customHeight="1">
      <c r="A10" s="35" t="str">
        <v>Cambodia</v>
      </c>
      <c r="B10" s="35" t="str">
        <v>KHM</v>
      </c>
      <c r="C10" s="58">
        <f>IF($B10="","",_xlfn.XLOOKUP($B10,[1]pillars_WIP!$B$7:$B$116,[1]pillars_WIP!$U$7:$U$116,"Missing",0))</f>
        <v>33</v>
      </c>
      <c r="D10" s="58">
        <f>IF($B10="","",_xlfn.XLOOKUP($B10,[1]pillars_WIP!$B$7:$B$116,[1]pillars_WIP!$V$7:$V$116,"Missing",0))</f>
        <v>53027341</v>
      </c>
      <c r="E10" s="58">
        <f>IF($B10="","",_xlfn.XLOOKUP($B10,[1]pillars_WIP!$B$7:$B$116,[1]pillars_WIP!$W$7:$W$116,"Missing",0))</f>
        <v>21741690</v>
      </c>
      <c r="F10" s="58">
        <f>IF($B10="","",_xlfn.XLOOKUP($B10,[1]pillars_WIP!$B$7:$B$116,[1]pillars_WIP!$X$7:$X$116,"Missing",0))</f>
        <v>100</v>
      </c>
      <c r="G10" s="58">
        <f>IF($B10="","",_xlfn.XLOOKUP($B10,[1]pillars_WIP!$B$7:$B$116,[1]pillars_WIP!$Y$7:$Y$116,"Missing",0))</f>
        <v>75</v>
      </c>
      <c r="H10" s="58">
        <f>_xlfn.XLOOKUP($B10,[1]pillars_WIP!$B$7:$B$501,[1]pillars_WIP!$Y$7:$Y$501,"Missing",0)</f>
        <v>75</v>
      </c>
      <c r="I10" s="58">
        <f>_xlfn.XLOOKUP($B10,[1]pillars_WIP!$B$7:$B$501,[1]pillars_WIP!$Z$7:$Z$501,"Missing",0)</f>
        <v>3</v>
      </c>
      <c r="J10" s="58">
        <f>_xlfn.XLOOKUP($B10,[1]pillars_WIP!$B$7:$B$501,[1]pillars_WIP!$AA$7:$AA$501,"Missing",0)</f>
        <v>0</v>
      </c>
      <c r="K10" s="11">
        <f>IF(ISNUMBER(C10),IF(Params!$G$69=0,0,LN(1+C10)/LN(1+Params!$G$69)*100),"")</f>
        <v>47.329500309680192</v>
      </c>
      <c r="L10" s="11">
        <f>IF(ISNUMBER(D10),IF(Params!$G$70=0,0,LN(1+D10)/LN(1+Params!$G$70)*100),"")</f>
        <v>88.762670409318559</v>
      </c>
      <c r="M10" s="11">
        <f>IF(ISNUMBER(E10),IF(Params!$G$71=0,0,LN(1+E10)/LN(1+Params!$G$71)*100),"")</f>
        <v>85.970240147762297</v>
      </c>
      <c r="N10" s="11">
        <f t="shared" si="0"/>
        <v>100</v>
      </c>
      <c r="O10" s="11">
        <f t="shared" si="1"/>
        <v>75</v>
      </c>
      <c r="P10" s="11">
        <f t="shared" si="2"/>
        <v>100</v>
      </c>
      <c r="Q10" s="11">
        <f t="shared" si="3"/>
        <v>100</v>
      </c>
      <c r="R10" s="12">
        <f t="shared" si="4"/>
        <v>78.863970165964091</v>
      </c>
    </row>
    <row r="11" spans="1:18" ht="20" customHeight="1">
      <c r="A11" s="35" t="str">
        <v>Canada</v>
      </c>
      <c r="B11" s="35" t="str">
        <v>CAN</v>
      </c>
      <c r="C11" s="58">
        <f>IF($B11="","",_xlfn.XLOOKUP($B11,[1]pillars_WIP!$B$7:$B$116,[1]pillars_WIP!$U$7:$U$116,"Missing",0))</f>
        <v>56</v>
      </c>
      <c r="D11" s="58">
        <f>IF($B11="","",_xlfn.XLOOKUP($B11,[1]pillars_WIP!$B$7:$B$116,[1]pillars_WIP!$V$7:$V$116,"Missing",0))</f>
        <v>11222541</v>
      </c>
      <c r="E11" s="58">
        <f>IF($B11="","",_xlfn.XLOOKUP($B11,[1]pillars_WIP!$B$7:$B$116,[1]pillars_WIP!$W$7:$W$116,"Missing",0))</f>
        <v>5052214</v>
      </c>
      <c r="F11" s="58">
        <f>IF($B11="","",_xlfn.XLOOKUP($B11,[1]pillars_WIP!$B$7:$B$116,[1]pillars_WIP!$X$7:$X$116,"Missing",0))</f>
        <v>0</v>
      </c>
      <c r="G11" s="58">
        <f>IF($B11="","",_xlfn.XLOOKUP($B11,[1]pillars_WIP!$B$7:$B$116,[1]pillars_WIP!$Y$7:$Y$116,"Missing",0))</f>
        <v>25</v>
      </c>
      <c r="H11" s="58">
        <f>_xlfn.XLOOKUP($B11,[1]pillars_WIP!$B$7:$B$501,[1]pillars_WIP!$Y$7:$Y$501,"Missing",0)</f>
        <v>25</v>
      </c>
      <c r="I11" s="58">
        <f>_xlfn.XLOOKUP($B11,[1]pillars_WIP!$B$7:$B$501,[1]pillars_WIP!$Z$7:$Z$501,"Missing",0)</f>
        <v>0</v>
      </c>
      <c r="J11" s="58">
        <f>_xlfn.XLOOKUP($B11,[1]pillars_WIP!$B$7:$B$501,[1]pillars_WIP!$AA$7:$AA$501,"Missing",0)</f>
        <v>0</v>
      </c>
      <c r="K11" s="11">
        <f>IF(ISNUMBER(C11),IF(Params!$G$69=0,0,LN(1+C11)/LN(1+Params!$G$69)*100),"")</f>
        <v>54.264331425345972</v>
      </c>
      <c r="L11" s="11">
        <f>IF(ISNUMBER(D11),IF(Params!$G$70=0,0,LN(1+D11)/LN(1+Params!$G$70)*100),"")</f>
        <v>81.013002329374544</v>
      </c>
      <c r="M11" s="11">
        <f>IF(ISNUMBER(E11),IF(Params!$G$71=0,0,LN(1+E11)/LN(1+Params!$G$71)*100),"")</f>
        <v>78.543942182117746</v>
      </c>
      <c r="N11" s="11">
        <f t="shared" si="0"/>
        <v>0</v>
      </c>
      <c r="O11" s="11">
        <f t="shared" si="1"/>
        <v>25</v>
      </c>
      <c r="P11" s="11">
        <f t="shared" si="2"/>
        <v>100</v>
      </c>
      <c r="Q11" s="11">
        <f t="shared" si="3"/>
        <v>0</v>
      </c>
      <c r="R11" s="12">
        <f t="shared" si="4"/>
        <v>45.087058078261769</v>
      </c>
    </row>
    <row r="12" spans="1:18" ht="20" customHeight="1">
      <c r="A12" s="35" t="str">
        <v>Chile</v>
      </c>
      <c r="B12" s="35" t="str">
        <v>CHL</v>
      </c>
      <c r="C12" s="58">
        <f>IF($B12="","",_xlfn.XLOOKUP($B12,[1]pillars_WIP!$B$7:$B$116,[1]pillars_WIP!$U$7:$U$116,"Missing",0))</f>
        <v>38</v>
      </c>
      <c r="D12" s="58">
        <f>IF($B12="","",_xlfn.XLOOKUP($B12,[1]pillars_WIP!$B$7:$B$116,[1]pillars_WIP!$V$7:$V$116,"Missing",0))</f>
        <v>8441279</v>
      </c>
      <c r="E12" s="58">
        <f>IF($B12="","",_xlfn.XLOOKUP($B12,[1]pillars_WIP!$B$7:$B$116,[1]pillars_WIP!$W$7:$W$116,"Missing",0))</f>
        <v>6165234</v>
      </c>
      <c r="F12" s="58">
        <f>IF($B12="","",_xlfn.XLOOKUP($B12,[1]pillars_WIP!$B$7:$B$116,[1]pillars_WIP!$X$7:$X$116,"Missing",0))</f>
        <v>80</v>
      </c>
      <c r="G12" s="58">
        <f>IF($B12="","",_xlfn.XLOOKUP($B12,[1]pillars_WIP!$B$7:$B$116,[1]pillars_WIP!$Y$7:$Y$116,"Missing",0))</f>
        <v>50</v>
      </c>
      <c r="H12" s="58">
        <f>_xlfn.XLOOKUP($B12,[1]pillars_WIP!$B$7:$B$501,[1]pillars_WIP!$Y$7:$Y$501,"Missing",0)</f>
        <v>50</v>
      </c>
      <c r="I12" s="58">
        <f>_xlfn.XLOOKUP($B12,[1]pillars_WIP!$B$7:$B$501,[1]pillars_WIP!$Z$7:$Z$501,"Missing",0)</f>
        <v>3</v>
      </c>
      <c r="J12" s="58">
        <f>_xlfn.XLOOKUP($B12,[1]pillars_WIP!$B$7:$B$501,[1]pillars_WIP!$AA$7:$AA$501,"Missing",0)</f>
        <v>0</v>
      </c>
      <c r="K12" s="11">
        <f>IF(ISNUMBER(C12),IF(Params!$G$69=0,0,LN(1+C12)/LN(1+Params!$G$69)*100),"")</f>
        <v>49.170962768731449</v>
      </c>
      <c r="L12" s="11">
        <f>IF(ISNUMBER(D12),IF(Params!$G$70=0,0,LN(1+D12)/LN(1+Params!$G$70)*100),"")</f>
        <v>79.591754658081342</v>
      </c>
      <c r="M12" s="11">
        <f>IF(ISNUMBER(E12),IF(Params!$G$71=0,0,LN(1+E12)/LN(1+Params!$G$71)*100),"")</f>
        <v>79.557075796773731</v>
      </c>
      <c r="N12" s="11">
        <f t="shared" si="0"/>
        <v>80</v>
      </c>
      <c r="O12" s="11">
        <f t="shared" si="1"/>
        <v>50</v>
      </c>
      <c r="P12" s="11">
        <f t="shared" si="2"/>
        <v>100</v>
      </c>
      <c r="Q12" s="11">
        <f t="shared" si="3"/>
        <v>100</v>
      </c>
      <c r="R12" s="12">
        <f t="shared" si="4"/>
        <v>66.186104854878621</v>
      </c>
    </row>
    <row r="13" spans="1:18" ht="20" customHeight="1">
      <c r="A13" s="35" t="str">
        <v>China</v>
      </c>
      <c r="B13" s="35" t="str">
        <v>CHN</v>
      </c>
      <c r="C13" s="58">
        <f>IF($B13="","",_xlfn.XLOOKUP($B13,[1]pillars_WIP!$B$7:$B$116,[1]pillars_WIP!$U$7:$U$116,"Missing",0))</f>
        <v>1509</v>
      </c>
      <c r="D13" s="58">
        <f>IF($B13="","",_xlfn.XLOOKUP($B13,[1]pillars_WIP!$B$7:$B$116,[1]pillars_WIP!$V$7:$V$116,"Missing",0))</f>
        <v>248090673</v>
      </c>
      <c r="E13" s="58">
        <f>IF($B13="","",_xlfn.XLOOKUP($B13,[1]pillars_WIP!$B$7:$B$116,[1]pillars_WIP!$W$7:$W$116,"Missing",0))</f>
        <v>137779021</v>
      </c>
      <c r="F13" s="58">
        <f>IF($B13="","",_xlfn.XLOOKUP($B13,[1]pillars_WIP!$B$7:$B$116,[1]pillars_WIP!$X$7:$X$116,"Missing",0))</f>
        <v>20</v>
      </c>
      <c r="G13" s="58">
        <f>IF($B13="","",_xlfn.XLOOKUP($B13,[1]pillars_WIP!$B$7:$B$116,[1]pillars_WIP!$Y$7:$Y$116,"Missing",0))</f>
        <v>25</v>
      </c>
      <c r="H13" s="58">
        <f>_xlfn.XLOOKUP($B13,[1]pillars_WIP!$B$7:$B$501,[1]pillars_WIP!$Y$7:$Y$501,"Missing",0)</f>
        <v>25</v>
      </c>
      <c r="I13" s="58">
        <f>_xlfn.XLOOKUP($B13,[1]pillars_WIP!$B$7:$B$501,[1]pillars_WIP!$Z$7:$Z$501,"Missing",0)</f>
        <v>0</v>
      </c>
      <c r="J13" s="58">
        <f>_xlfn.XLOOKUP($B13,[1]pillars_WIP!$B$7:$B$501,[1]pillars_WIP!$AA$7:$AA$501,"Missing",0)</f>
        <v>0</v>
      </c>
      <c r="K13" s="11">
        <f>IF(ISNUMBER(C13),IF(Params!$G$69=0,0,LN(1+C13)/LN(1+Params!$G$69)*100),"")</f>
        <v>98.244506494389398</v>
      </c>
      <c r="L13" s="11">
        <f>IF(ISNUMBER(D13),IF(Params!$G$70=0,0,LN(1+D13)/LN(1+Params!$G$70)*100),"")</f>
        <v>96.462949478613481</v>
      </c>
      <c r="M13" s="11">
        <f>IF(ISNUMBER(E13),IF(Params!$G$71=0,0,LN(1+E13)/LN(1+Params!$G$71)*100),"")</f>
        <v>95.365892445627736</v>
      </c>
      <c r="N13" s="11">
        <f t="shared" si="0"/>
        <v>20</v>
      </c>
      <c r="O13" s="11">
        <f t="shared" si="1"/>
        <v>25</v>
      </c>
      <c r="P13" s="11">
        <f t="shared" si="2"/>
        <v>100</v>
      </c>
      <c r="Q13" s="11">
        <f t="shared" si="3"/>
        <v>0</v>
      </c>
      <c r="R13" s="12">
        <f t="shared" si="4"/>
        <v>63.496375061444738</v>
      </c>
    </row>
    <row r="14" spans="1:18" ht="20" customHeight="1">
      <c r="A14" s="35" t="str">
        <v>Czech Republic</v>
      </c>
      <c r="B14" s="35" t="str">
        <v>CZE</v>
      </c>
      <c r="C14" s="58">
        <f>IF($B14="","",_xlfn.XLOOKUP($B14,[1]pillars_WIP!$B$7:$B$116,[1]pillars_WIP!$U$7:$U$116,"Missing",0))</f>
        <v>0</v>
      </c>
      <c r="D14" s="58">
        <f>IF($B14="","",_xlfn.XLOOKUP($B14,[1]pillars_WIP!$B$7:$B$116,[1]pillars_WIP!$V$7:$V$116,"Missing",0))</f>
        <v>0</v>
      </c>
      <c r="E14" s="58">
        <f>IF($B14="","",_xlfn.XLOOKUP($B14,[1]pillars_WIP!$B$7:$B$116,[1]pillars_WIP!$W$7:$W$116,"Missing",0))</f>
        <v>0</v>
      </c>
      <c r="F14" s="58">
        <f>IF($B14="","",_xlfn.XLOOKUP($B14,[1]pillars_WIP!$B$7:$B$116,[1]pillars_WIP!$X$7:$X$116,"Missing",0))</f>
        <v>20</v>
      </c>
      <c r="G14" s="58">
        <f>IF($B14="","",_xlfn.XLOOKUP($B14,[1]pillars_WIP!$B$7:$B$116,[1]pillars_WIP!$Y$7:$Y$116,"Missing",0))</f>
        <v>0</v>
      </c>
      <c r="H14" s="58">
        <f>_xlfn.XLOOKUP($B14,[1]pillars_WIP!$B$7:$B$501,[1]pillars_WIP!$Y$7:$Y$501,"Missing",0)</f>
        <v>0</v>
      </c>
      <c r="I14" s="58">
        <f>_xlfn.XLOOKUP($B14,[1]pillars_WIP!$B$7:$B$501,[1]pillars_WIP!$Z$7:$Z$501,"Missing",0)</f>
        <v>0</v>
      </c>
      <c r="J14" s="58">
        <f>_xlfn.XLOOKUP($B14,[1]pillars_WIP!$B$7:$B$501,[1]pillars_WIP!$AA$7:$AA$501,"Missing",0)</f>
        <v>0</v>
      </c>
      <c r="K14" s="11">
        <f>IF(ISNUMBER(C14),IF(Params!$G$69=0,0,LN(1+C14)/LN(1+Params!$G$69)*100),"")</f>
        <v>0</v>
      </c>
      <c r="L14" s="11">
        <f>IF(ISNUMBER(D14),IF(Params!$G$70=0,0,LN(1+D14)/LN(1+Params!$G$70)*100),"")</f>
        <v>0</v>
      </c>
      <c r="M14" s="11">
        <f>IF(ISNUMBER(E14),IF(Params!$G$71=0,0,LN(1+E14)/LN(1+Params!$G$71)*100),"")</f>
        <v>0</v>
      </c>
      <c r="N14" s="11">
        <f t="shared" si="0"/>
        <v>20</v>
      </c>
      <c r="O14" s="11">
        <f t="shared" si="1"/>
        <v>0</v>
      </c>
      <c r="P14" s="11">
        <f t="shared" si="2"/>
        <v>0</v>
      </c>
      <c r="Q14" s="11">
        <f t="shared" si="3"/>
        <v>0</v>
      </c>
      <c r="R14" s="12">
        <f t="shared" si="4"/>
        <v>4</v>
      </c>
    </row>
    <row r="15" spans="1:18" ht="20" customHeight="1">
      <c r="A15" s="35" t="str">
        <v>Dominican Republic</v>
      </c>
      <c r="B15" s="35" t="str">
        <v>DOM</v>
      </c>
      <c r="C15" s="58">
        <f>IF($B15="","",_xlfn.XLOOKUP($B15,[1]pillars_WIP!$B$7:$B$116,[1]pillars_WIP!$U$7:$U$116,"Missing",0))</f>
        <v>0</v>
      </c>
      <c r="D15" s="58">
        <f>IF($B15="","",_xlfn.XLOOKUP($B15,[1]pillars_WIP!$B$7:$B$116,[1]pillars_WIP!$V$7:$V$116,"Missing",0))</f>
        <v>0</v>
      </c>
      <c r="E15" s="58">
        <f>IF($B15="","",_xlfn.XLOOKUP($B15,[1]pillars_WIP!$B$7:$B$116,[1]pillars_WIP!$W$7:$W$116,"Missing",0))</f>
        <v>0</v>
      </c>
      <c r="F15" s="58">
        <f>IF($B15="","",_xlfn.XLOOKUP($B15,[1]pillars_WIP!$B$7:$B$116,[1]pillars_WIP!$X$7:$X$116,"Missing",0))</f>
        <v>60</v>
      </c>
      <c r="G15" s="58">
        <f>IF($B15="","",_xlfn.XLOOKUP($B15,[1]pillars_WIP!$B$7:$B$116,[1]pillars_WIP!$Y$7:$Y$116,"Missing",0))</f>
        <v>75</v>
      </c>
      <c r="H15" s="58">
        <f>_xlfn.XLOOKUP($B15,[1]pillars_WIP!$B$7:$B$501,[1]pillars_WIP!$Y$7:$Y$501,"Missing",0)</f>
        <v>75</v>
      </c>
      <c r="I15" s="58">
        <f>_xlfn.XLOOKUP($B15,[1]pillars_WIP!$B$7:$B$501,[1]pillars_WIP!$Z$7:$Z$501,"Missing",0)</f>
        <v>2</v>
      </c>
      <c r="J15" s="58">
        <f>_xlfn.XLOOKUP($B15,[1]pillars_WIP!$B$7:$B$501,[1]pillars_WIP!$AA$7:$AA$501,"Missing",0)</f>
        <v>0</v>
      </c>
      <c r="K15" s="11">
        <f>IF(ISNUMBER(C15),IF(Params!$G$69=0,0,LN(1+C15)/LN(1+Params!$G$69)*100),"")</f>
        <v>0</v>
      </c>
      <c r="L15" s="11">
        <f>IF(ISNUMBER(D15),IF(Params!$G$70=0,0,LN(1+D15)/LN(1+Params!$G$70)*100),"")</f>
        <v>0</v>
      </c>
      <c r="M15" s="11">
        <f>IF(ISNUMBER(E15),IF(Params!$G$71=0,0,LN(1+E15)/LN(1+Params!$G$71)*100),"")</f>
        <v>0</v>
      </c>
      <c r="N15" s="11">
        <f t="shared" si="0"/>
        <v>60</v>
      </c>
      <c r="O15" s="11">
        <f t="shared" si="1"/>
        <v>75</v>
      </c>
      <c r="P15" s="11">
        <f t="shared" si="2"/>
        <v>100</v>
      </c>
      <c r="Q15" s="11">
        <f t="shared" si="3"/>
        <v>100</v>
      </c>
      <c r="R15" s="12">
        <f t="shared" si="4"/>
        <v>30.75</v>
      </c>
    </row>
    <row r="16" spans="1:18" ht="20" customHeight="1">
      <c r="A16" s="35" t="str">
        <v>Germany</v>
      </c>
      <c r="B16" s="35" t="str">
        <v>DEU</v>
      </c>
      <c r="C16" s="58">
        <f>IF($B16="","",_xlfn.XLOOKUP($B16,[1]pillars_WIP!$B$7:$B$116,[1]pillars_WIP!$U$7:$U$116,"Missing",0))</f>
        <v>48</v>
      </c>
      <c r="D16" s="58">
        <f>IF($B16="","",_xlfn.XLOOKUP($B16,[1]pillars_WIP!$B$7:$B$116,[1]pillars_WIP!$V$7:$V$116,"Missing",0))</f>
        <v>10018519</v>
      </c>
      <c r="E16" s="58">
        <f>IF($B16="","",_xlfn.XLOOKUP($B16,[1]pillars_WIP!$B$7:$B$116,[1]pillars_WIP!$W$7:$W$116,"Missing",0))</f>
        <v>9227433</v>
      </c>
      <c r="F16" s="58">
        <f>IF($B16="","",_xlfn.XLOOKUP($B16,[1]pillars_WIP!$B$7:$B$116,[1]pillars_WIP!$X$7:$X$116,"Missing",0))</f>
        <v>20</v>
      </c>
      <c r="G16" s="58">
        <f>IF($B16="","",_xlfn.XLOOKUP($B16,[1]pillars_WIP!$B$7:$B$116,[1]pillars_WIP!$Y$7:$Y$116,"Missing",0))</f>
        <v>25</v>
      </c>
      <c r="H16" s="58">
        <f>_xlfn.XLOOKUP($B16,[1]pillars_WIP!$B$7:$B$501,[1]pillars_WIP!$Y$7:$Y$501,"Missing",0)</f>
        <v>25</v>
      </c>
      <c r="I16" s="58">
        <f>_xlfn.XLOOKUP($B16,[1]pillars_WIP!$B$7:$B$501,[1]pillars_WIP!$Z$7:$Z$501,"Missing",0)</f>
        <v>0</v>
      </c>
      <c r="J16" s="58">
        <f>_xlfn.XLOOKUP($B16,[1]pillars_WIP!$B$7:$B$501,[1]pillars_WIP!$AA$7:$AA$501,"Missing",0)</f>
        <v>0</v>
      </c>
      <c r="K16" s="11">
        <f>IF(ISNUMBER(C16),IF(Params!$G$69=0,0,LN(1+C16)/LN(1+Params!$G$69)*100),"")</f>
        <v>52.234565558124892</v>
      </c>
      <c r="L16" s="11">
        <f>IF(ISNUMBER(D16),IF(Params!$G$70=0,0,LN(1+D16)/LN(1+Params!$G$70)*100),"")</f>
        <v>80.446634890820434</v>
      </c>
      <c r="M16" s="11">
        <f>IF(ISNUMBER(E16),IF(Params!$G$71=0,0,LN(1+E16)/LN(1+Params!$G$71)*100),"")</f>
        <v>81.609069675533149</v>
      </c>
      <c r="N16" s="11">
        <f t="shared" si="0"/>
        <v>20</v>
      </c>
      <c r="O16" s="11">
        <f t="shared" si="1"/>
        <v>25</v>
      </c>
      <c r="P16" s="11">
        <f t="shared" si="2"/>
        <v>100</v>
      </c>
      <c r="Q16" s="11">
        <f t="shared" si="3"/>
        <v>0</v>
      </c>
      <c r="R16" s="12">
        <f t="shared" si="4"/>
        <v>49.027600541119043</v>
      </c>
    </row>
    <row r="17" spans="1:18" ht="20" customHeight="1">
      <c r="A17" s="35" t="str">
        <v>Hong Kong</v>
      </c>
      <c r="B17" s="35" t="str">
        <v>HKG</v>
      </c>
      <c r="C17" s="58">
        <f>IF($B17="","",_xlfn.XLOOKUP($B17,[1]pillars_WIP!$B$7:$B$116,[1]pillars_WIP!$U$7:$U$116,"Missing",0))</f>
        <v>1</v>
      </c>
      <c r="D17" s="58">
        <f>IF($B17="","",_xlfn.XLOOKUP($B17,[1]pillars_WIP!$B$7:$B$116,[1]pillars_WIP!$V$7:$V$116,"Missing",0))</f>
        <v>0</v>
      </c>
      <c r="E17" s="58">
        <f>IF($B17="","",_xlfn.XLOOKUP($B17,[1]pillars_WIP!$B$7:$B$116,[1]pillars_WIP!$W$7:$W$116,"Missing",0))</f>
        <v>0</v>
      </c>
      <c r="F17" s="102">
        <v>0</v>
      </c>
      <c r="G17" s="102">
        <v>0</v>
      </c>
      <c r="H17" s="102" t="str">
        <f>_xlfn.XLOOKUP($B17,[1]pillars_WIP!$B$7:$B$501,[1]pillars_WIP!$Y$7:$Y$501,"Missing",0)</f>
        <v>Missing</v>
      </c>
      <c r="I17" s="58">
        <f>_xlfn.XLOOKUP($B17,[1]pillars_WIP!$B$7:$B$501,[1]pillars_WIP!$Z$7:$Z$501,"Missing",0)</f>
        <v>0</v>
      </c>
      <c r="J17" s="58">
        <f>_xlfn.XLOOKUP($B17,[1]pillars_WIP!$B$7:$B$501,[1]pillars_WIP!$AA$7:$AA$501,"Missing",0)</f>
        <v>0</v>
      </c>
      <c r="K17" s="11">
        <f>IF(ISNUMBER(C17),IF(Params!$G$69=0,0,LN(1+C17)/LN(1+Params!$G$69)*100),"")</f>
        <v>9.3031638336346223</v>
      </c>
      <c r="L17" s="11">
        <f>IF(ISNUMBER(D17),IF(Params!$G$70=0,0,LN(1+D17)/LN(1+Params!$G$70)*100),"")</f>
        <v>0</v>
      </c>
      <c r="M17" s="11">
        <f>IF(ISNUMBER(E17),IF(Params!$G$71=0,0,LN(1+E17)/LN(1+Params!$G$71)*100),"")</f>
        <v>0</v>
      </c>
      <c r="N17" s="85">
        <f t="shared" si="0"/>
        <v>0</v>
      </c>
      <c r="O17" s="85">
        <f t="shared" si="1"/>
        <v>0</v>
      </c>
      <c r="P17" s="11" t="str">
        <f t="shared" si="2"/>
        <v/>
      </c>
      <c r="Q17" s="11">
        <f t="shared" si="3"/>
        <v>0</v>
      </c>
      <c r="R17" s="86">
        <f t="shared" si="4"/>
        <v>1.8606327667269245</v>
      </c>
    </row>
    <row r="18" spans="1:18" ht="20" customHeight="1">
      <c r="A18" s="35" t="str">
        <v>India</v>
      </c>
      <c r="B18" s="35" t="str">
        <v>IND</v>
      </c>
      <c r="C18" s="58">
        <f>IF($B18="","",_xlfn.XLOOKUP($B18,[1]pillars_WIP!$B$7:$B$116,[1]pillars_WIP!$U$7:$U$116,"Missing",0))</f>
        <v>1720</v>
      </c>
      <c r="D18" s="58">
        <f>IF($B18="","",_xlfn.XLOOKUP($B18,[1]pillars_WIP!$B$7:$B$116,[1]pillars_WIP!$V$7:$V$116,"Missing",0))</f>
        <v>369859019</v>
      </c>
      <c r="E18" s="58">
        <f>IF($B18="","",_xlfn.XLOOKUP($B18,[1]pillars_WIP!$B$7:$B$116,[1]pillars_WIP!$W$7:$W$116,"Missing",0))</f>
        <v>213250504</v>
      </c>
      <c r="F18" s="58">
        <f>IF($B18="","",_xlfn.XLOOKUP($B18,[1]pillars_WIP!$B$7:$B$116,[1]pillars_WIP!$X$7:$X$116,"Missing",0))</f>
        <v>60</v>
      </c>
      <c r="G18" s="58">
        <f>IF($B18="","",_xlfn.XLOOKUP($B18,[1]pillars_WIP!$B$7:$B$116,[1]pillars_WIP!$Y$7:$Y$116,"Missing",0))</f>
        <v>25</v>
      </c>
      <c r="H18" s="58">
        <f>_xlfn.XLOOKUP($B18,[1]pillars_WIP!$B$7:$B$501,[1]pillars_WIP!$Y$7:$Y$501,"Missing",0)</f>
        <v>25</v>
      </c>
      <c r="I18" s="58">
        <f>_xlfn.XLOOKUP($B18,[1]pillars_WIP!$B$7:$B$501,[1]pillars_WIP!$Z$7:$Z$501,"Missing",0)</f>
        <v>2</v>
      </c>
      <c r="J18" s="58">
        <f>_xlfn.XLOOKUP($B18,[1]pillars_WIP!$B$7:$B$501,[1]pillars_WIP!$AA$7:$AA$501,"Missing",0)</f>
        <v>0</v>
      </c>
      <c r="K18" s="11">
        <f>IF(ISNUMBER(C18),IF(Params!$G$69=0,0,LN(1+C18)/LN(1+Params!$G$69)*100),"")</f>
        <v>100</v>
      </c>
      <c r="L18" s="11">
        <f>IF(ISNUMBER(D18),IF(Params!$G$70=0,0,LN(1+D18)/LN(1+Params!$G$70)*100),"")</f>
        <v>98.455795001810188</v>
      </c>
      <c r="M18" s="11">
        <f>IF(ISNUMBER(E18),IF(Params!$G$71=0,0,LN(1+E18)/LN(1+Params!$G$71)*100),"")</f>
        <v>97.588667672624084</v>
      </c>
      <c r="N18" s="11">
        <f t="shared" si="0"/>
        <v>60</v>
      </c>
      <c r="O18" s="11">
        <f t="shared" si="1"/>
        <v>25</v>
      </c>
      <c r="P18" s="11">
        <f t="shared" si="2"/>
        <v>100</v>
      </c>
      <c r="Q18" s="11">
        <f t="shared" si="3"/>
        <v>100</v>
      </c>
      <c r="R18" s="12">
        <f t="shared" si="4"/>
        <v>72.579459151255648</v>
      </c>
    </row>
    <row r="19" spans="1:18" ht="20" customHeight="1">
      <c r="A19" s="35" t="str">
        <v>Indonesia</v>
      </c>
      <c r="B19" s="35" t="str">
        <v>IDN</v>
      </c>
      <c r="C19" s="58">
        <f>IF($B19="","",_xlfn.XLOOKUP($B19,[1]pillars_WIP!$B$7:$B$116,[1]pillars_WIP!$U$7:$U$116,"Missing",0))</f>
        <v>62</v>
      </c>
      <c r="D19" s="58">
        <f>IF($B19="","",_xlfn.XLOOKUP($B19,[1]pillars_WIP!$B$7:$B$116,[1]pillars_WIP!$V$7:$V$116,"Missing",0))</f>
        <v>96964905</v>
      </c>
      <c r="E19" s="58">
        <f>IF($B19="","",_xlfn.XLOOKUP($B19,[1]pillars_WIP!$B$7:$B$116,[1]pillars_WIP!$W$7:$W$116,"Missing",0))</f>
        <v>71120395</v>
      </c>
      <c r="F19" s="58">
        <f>IF($B19="","",_xlfn.XLOOKUP($B19,[1]pillars_WIP!$B$7:$B$116,[1]pillars_WIP!$X$7:$X$116,"Missing",0))</f>
        <v>80</v>
      </c>
      <c r="G19" s="58">
        <f>IF($B19="","",_xlfn.XLOOKUP($B19,[1]pillars_WIP!$B$7:$B$116,[1]pillars_WIP!$Y$7:$Y$116,"Missing",0))</f>
        <v>50</v>
      </c>
      <c r="H19" s="58">
        <f>_xlfn.XLOOKUP($B19,[1]pillars_WIP!$B$7:$B$501,[1]pillars_WIP!$Y$7:$Y$501,"Missing",0)</f>
        <v>50</v>
      </c>
      <c r="I19" s="58">
        <f>_xlfn.XLOOKUP($B19,[1]pillars_WIP!$B$7:$B$501,[1]pillars_WIP!$Z$7:$Z$501,"Missing",0)</f>
        <v>4</v>
      </c>
      <c r="J19" s="58">
        <f>_xlfn.XLOOKUP($B19,[1]pillars_WIP!$B$7:$B$501,[1]pillars_WIP!$AA$7:$AA$501,"Missing",0)</f>
        <v>0</v>
      </c>
      <c r="K19" s="11">
        <f>IF(ISNUMBER(C19),IF(Params!$G$69=0,0,LN(1+C19)/LN(1+Params!$G$69)*100),"")</f>
        <v>55.607614407814744</v>
      </c>
      <c r="L19" s="11">
        <f>IF(ISNUMBER(D19),IF(Params!$G$70=0,0,LN(1+D19)/LN(1+Params!$G$70)*100),"")</f>
        <v>91.774645698147665</v>
      </c>
      <c r="M19" s="11">
        <f>IF(ISNUMBER(E19),IF(Params!$G$71=0,0,LN(1+E19)/LN(1+Params!$G$71)*100),"")</f>
        <v>92.000932052476458</v>
      </c>
      <c r="N19" s="11">
        <f t="shared" si="0"/>
        <v>80</v>
      </c>
      <c r="O19" s="11">
        <f t="shared" si="1"/>
        <v>50</v>
      </c>
      <c r="P19" s="11">
        <f t="shared" si="2"/>
        <v>100</v>
      </c>
      <c r="Q19" s="11">
        <f t="shared" si="3"/>
        <v>100</v>
      </c>
      <c r="R19" s="12">
        <f t="shared" si="4"/>
        <v>71.77659182906396</v>
      </c>
    </row>
    <row r="20" spans="1:18" ht="20" customHeight="1">
      <c r="A20" s="35" t="str">
        <v>Japan</v>
      </c>
      <c r="B20" s="35" t="str">
        <v>JPN</v>
      </c>
      <c r="C20" s="58">
        <f>IF($B20="","",_xlfn.XLOOKUP($B20,[1]pillars_WIP!$B$7:$B$116,[1]pillars_WIP!$U$7:$U$116,"Missing",0))</f>
        <v>4</v>
      </c>
      <c r="D20" s="58">
        <f>IF($B20="","",_xlfn.XLOOKUP($B20,[1]pillars_WIP!$B$7:$B$116,[1]pillars_WIP!$V$7:$V$116,"Missing",0))</f>
        <v>0</v>
      </c>
      <c r="E20" s="58">
        <f>IF($B20="","",_xlfn.XLOOKUP($B20,[1]pillars_WIP!$B$7:$B$116,[1]pillars_WIP!$W$7:$W$116,"Missing",0))</f>
        <v>0</v>
      </c>
      <c r="F20" s="58">
        <f>IF($B20="","",_xlfn.XLOOKUP($B20,[1]pillars_WIP!$B$7:$B$116,[1]pillars_WIP!$X$7:$X$116,"Missing",0))</f>
        <v>60</v>
      </c>
      <c r="G20" s="58">
        <f>IF($B20="","",_xlfn.XLOOKUP($B20,[1]pillars_WIP!$B$7:$B$116,[1]pillars_WIP!$Y$7:$Y$116,"Missing",0))</f>
        <v>100</v>
      </c>
      <c r="H20" s="58">
        <f>_xlfn.XLOOKUP($B20,[1]pillars_WIP!$B$7:$B$501,[1]pillars_WIP!$Y$7:$Y$501,"Missing",0)</f>
        <v>100</v>
      </c>
      <c r="I20" s="58">
        <f>_xlfn.XLOOKUP($B20,[1]pillars_WIP!$B$7:$B$501,[1]pillars_WIP!$Z$7:$Z$501,"Missing",0)</f>
        <v>32</v>
      </c>
      <c r="J20" s="58">
        <f>_xlfn.XLOOKUP($B20,[1]pillars_WIP!$B$7:$B$501,[1]pillars_WIP!$AA$7:$AA$501,"Missing",0)</f>
        <v>0</v>
      </c>
      <c r="K20" s="11">
        <f>IF(ISNUMBER(C20),IF(Params!$G$69=0,0,LN(1+C20)/LN(1+Params!$G$69)*100),"")</f>
        <v>21.601277476656247</v>
      </c>
      <c r="L20" s="11">
        <f>IF(ISNUMBER(D20),IF(Params!$G$70=0,0,LN(1+D20)/LN(1+Params!$G$70)*100),"")</f>
        <v>0</v>
      </c>
      <c r="M20" s="11">
        <f>IF(ISNUMBER(E20),IF(Params!$G$71=0,0,LN(1+E20)/LN(1+Params!$G$71)*100),"")</f>
        <v>0</v>
      </c>
      <c r="N20" s="11">
        <f t="shared" si="0"/>
        <v>60</v>
      </c>
      <c r="O20" s="11">
        <f t="shared" si="1"/>
        <v>100</v>
      </c>
      <c r="P20" s="11">
        <f t="shared" si="2"/>
        <v>100</v>
      </c>
      <c r="Q20" s="11">
        <f t="shared" si="3"/>
        <v>100</v>
      </c>
      <c r="R20" s="12">
        <f t="shared" si="4"/>
        <v>41.320255495331253</v>
      </c>
    </row>
    <row r="21" spans="1:18" ht="20" customHeight="1">
      <c r="A21" s="35" t="str">
        <v>Kazakhstan</v>
      </c>
      <c r="B21" s="35" t="str">
        <v>KAZ</v>
      </c>
      <c r="C21" s="58">
        <f>IF($B21="","",_xlfn.XLOOKUP($B21,[1]pillars_WIP!$B$7:$B$116,[1]pillars_WIP!$U$7:$U$116,"Missing",0))</f>
        <v>11</v>
      </c>
      <c r="D21" s="58">
        <f>IF($B21="","",_xlfn.XLOOKUP($B21,[1]pillars_WIP!$B$7:$B$116,[1]pillars_WIP!$V$7:$V$116,"Missing",0))</f>
        <v>339170</v>
      </c>
      <c r="E21" s="58">
        <f>IF($B21="","",_xlfn.XLOOKUP($B21,[1]pillars_WIP!$B$7:$B$116,[1]pillars_WIP!$W$7:$W$116,"Missing",0))</f>
        <v>28072</v>
      </c>
      <c r="F21" s="58">
        <f>IF($B21="","",_xlfn.XLOOKUP($B21,[1]pillars_WIP!$B$7:$B$116,[1]pillars_WIP!$X$7:$X$116,"Missing",0))</f>
        <v>60</v>
      </c>
      <c r="G21" s="58">
        <f>IF($B21="","",_xlfn.XLOOKUP($B21,[1]pillars_WIP!$B$7:$B$116,[1]pillars_WIP!$Y$7:$Y$116,"Missing",0))</f>
        <v>25</v>
      </c>
      <c r="H21" s="58">
        <f>_xlfn.XLOOKUP($B21,[1]pillars_WIP!$B$7:$B$501,[1]pillars_WIP!$Y$7:$Y$501,"Missing",0)</f>
        <v>25</v>
      </c>
      <c r="I21" s="58">
        <f>_xlfn.XLOOKUP($B21,[1]pillars_WIP!$B$7:$B$501,[1]pillars_WIP!$Z$7:$Z$501,"Missing",0)</f>
        <v>2</v>
      </c>
      <c r="J21" s="58">
        <f>_xlfn.XLOOKUP($B21,[1]pillars_WIP!$B$7:$B$501,[1]pillars_WIP!$AA$7:$AA$501,"Missing",0)</f>
        <v>0</v>
      </c>
      <c r="K21" s="11">
        <f>IF(ISNUMBER(C21),IF(Params!$G$69=0,0,LN(1+C21)/LN(1+Params!$G$69)*100),"")</f>
        <v>33.351493481645392</v>
      </c>
      <c r="L21" s="11">
        <f>IF(ISNUMBER(D21),IF(Params!$G$70=0,0,LN(1+D21)/LN(1+Params!$G$70)*100),"")</f>
        <v>63.550358253869277</v>
      </c>
      <c r="M21" s="11">
        <f>IF(ISNUMBER(E21),IF(Params!$G$71=0,0,LN(1+E21)/LN(1+Params!$G$71)*100),"")</f>
        <v>52.120099600337234</v>
      </c>
      <c r="N21" s="11">
        <f t="shared" si="0"/>
        <v>60</v>
      </c>
      <c r="O21" s="11">
        <f t="shared" si="1"/>
        <v>25</v>
      </c>
      <c r="P21" s="11">
        <f t="shared" si="2"/>
        <v>100</v>
      </c>
      <c r="Q21" s="11">
        <f t="shared" si="3"/>
        <v>100</v>
      </c>
      <c r="R21" s="12">
        <f t="shared" si="4"/>
        <v>45.448385287153513</v>
      </c>
    </row>
    <row r="22" spans="1:18" ht="20" customHeight="1">
      <c r="A22" s="35" t="str">
        <v>Laos</v>
      </c>
      <c r="B22" s="35" t="str">
        <v>LAO</v>
      </c>
      <c r="C22" s="58">
        <f>IF($B22="","",_xlfn.XLOOKUP($B22,[1]pillars_WIP!$B$7:$B$116,[1]pillars_WIP!$U$7:$U$116,"Missing",0))</f>
        <v>35</v>
      </c>
      <c r="D22" s="58">
        <f>IF($B22="","",_xlfn.XLOOKUP($B22,[1]pillars_WIP!$B$7:$B$116,[1]pillars_WIP!$V$7:$V$116,"Missing",0))</f>
        <v>2589769</v>
      </c>
      <c r="E22" s="58">
        <f>IF($B22="","",_xlfn.XLOOKUP($B22,[1]pillars_WIP!$B$7:$B$116,[1]pillars_WIP!$W$7:$W$116,"Missing",0))</f>
        <v>737746</v>
      </c>
      <c r="F22" s="58">
        <f>IF($B22="","",_xlfn.XLOOKUP($B22,[1]pillars_WIP!$B$7:$B$116,[1]pillars_WIP!$X$7:$X$116,"Missing",0))</f>
        <v>80</v>
      </c>
      <c r="G22" s="58">
        <f>IF($B22="","",_xlfn.XLOOKUP($B22,[1]pillars_WIP!$B$7:$B$116,[1]pillars_WIP!$Y$7:$Y$116,"Missing",0))</f>
        <v>50</v>
      </c>
      <c r="H22" s="58">
        <f>_xlfn.XLOOKUP($B22,[1]pillars_WIP!$B$7:$B$501,[1]pillars_WIP!$Y$7:$Y$501,"Missing",0)</f>
        <v>50</v>
      </c>
      <c r="I22" s="58">
        <f>_xlfn.XLOOKUP($B22,[1]pillars_WIP!$B$7:$B$501,[1]pillars_WIP!$Z$7:$Z$501,"Missing",0)</f>
        <v>3</v>
      </c>
      <c r="J22" s="58">
        <f>_xlfn.XLOOKUP($B22,[1]pillars_WIP!$B$7:$B$501,[1]pillars_WIP!$AA$7:$AA$501,"Missing",0)</f>
        <v>0</v>
      </c>
      <c r="K22" s="11">
        <f>IF(ISNUMBER(C22),IF(Params!$G$69=0,0,LN(1+C22)/LN(1+Params!$G$69)*100),"")</f>
        <v>48.096659296021542</v>
      </c>
      <c r="L22" s="11">
        <f>IF(ISNUMBER(D22),IF(Params!$G$70=0,0,LN(1+D22)/LN(1+Params!$G$70)*100),"")</f>
        <v>73.695151813069131</v>
      </c>
      <c r="M22" s="11">
        <f>IF(ISNUMBER(E22),IF(Params!$G$71=0,0,LN(1+E22)/LN(1+Params!$G$71)*100),"")</f>
        <v>68.753611295803012</v>
      </c>
      <c r="N22" s="11">
        <f t="shared" si="0"/>
        <v>80</v>
      </c>
      <c r="O22" s="11">
        <f t="shared" si="1"/>
        <v>50</v>
      </c>
      <c r="P22" s="11">
        <f t="shared" si="2"/>
        <v>100</v>
      </c>
      <c r="Q22" s="11">
        <f t="shared" si="3"/>
        <v>100</v>
      </c>
      <c r="R22" s="12">
        <f t="shared" si="4"/>
        <v>63.171403916188581</v>
      </c>
    </row>
    <row r="23" spans="1:18" ht="20" customHeight="1">
      <c r="A23" s="35" t="str">
        <v>Malaysia</v>
      </c>
      <c r="B23" s="35" t="str">
        <v>MYS</v>
      </c>
      <c r="C23" s="58">
        <f>IF($B23="","",_xlfn.XLOOKUP($B23,[1]pillars_WIP!$B$7:$B$116,[1]pillars_WIP!$U$7:$U$116,"Missing",0))</f>
        <v>19</v>
      </c>
      <c r="D23" s="58">
        <f>IF($B23="","",_xlfn.XLOOKUP($B23,[1]pillars_WIP!$B$7:$B$116,[1]pillars_WIP!$V$7:$V$116,"Missing",0))</f>
        <v>4815752</v>
      </c>
      <c r="E23" s="58">
        <f>IF($B23="","",_xlfn.XLOOKUP($B23,[1]pillars_WIP!$B$7:$B$116,[1]pillars_WIP!$W$7:$W$116,"Missing",0))</f>
        <v>1385442</v>
      </c>
      <c r="F23" s="58">
        <f>IF($B23="","",_xlfn.XLOOKUP($B23,[1]pillars_WIP!$B$7:$B$116,[1]pillars_WIP!$X$7:$X$116,"Missing",0))</f>
        <v>60</v>
      </c>
      <c r="G23" s="58">
        <f>IF($B23="","",_xlfn.XLOOKUP($B23,[1]pillars_WIP!$B$7:$B$116,[1]pillars_WIP!$Y$7:$Y$116,"Missing",0))</f>
        <v>50</v>
      </c>
      <c r="H23" s="58">
        <f>_xlfn.XLOOKUP($B23,[1]pillars_WIP!$B$7:$B$501,[1]pillars_WIP!$Y$7:$Y$501,"Missing",0)</f>
        <v>50</v>
      </c>
      <c r="I23" s="58">
        <f>_xlfn.XLOOKUP($B23,[1]pillars_WIP!$B$7:$B$501,[1]pillars_WIP!$Z$7:$Z$501,"Missing",0)</f>
        <v>2</v>
      </c>
      <c r="J23" s="58">
        <f>_xlfn.XLOOKUP($B23,[1]pillars_WIP!$B$7:$B$501,[1]pillars_WIP!$AA$7:$AA$501,"Missing",0)</f>
        <v>0</v>
      </c>
      <c r="K23" s="11">
        <f>IF(ISNUMBER(C23),IF(Params!$G$69=0,0,LN(1+C23)/LN(1+Params!$G$69)*100),"")</f>
        <v>40.207605143925491</v>
      </c>
      <c r="L23" s="11">
        <f>IF(ISNUMBER(D23),IF(Params!$G$70=0,0,LN(1+D23)/LN(1+Params!$G$70)*100),"")</f>
        <v>76.790877214038943</v>
      </c>
      <c r="M23" s="11">
        <f>IF(ISNUMBER(E23),IF(Params!$G$71=0,0,LN(1+E23)/LN(1+Params!$G$71)*100),"")</f>
        <v>71.96030324238663</v>
      </c>
      <c r="N23" s="11">
        <f t="shared" si="0"/>
        <v>60</v>
      </c>
      <c r="O23" s="11">
        <f t="shared" si="1"/>
        <v>50</v>
      </c>
      <c r="P23" s="11">
        <f t="shared" si="2"/>
        <v>100</v>
      </c>
      <c r="Q23" s="11">
        <f t="shared" si="3"/>
        <v>100</v>
      </c>
      <c r="R23" s="12">
        <f t="shared" si="4"/>
        <v>58.693741957950884</v>
      </c>
    </row>
    <row r="24" spans="1:18" ht="20" customHeight="1">
      <c r="A24" s="35" t="str">
        <v>Mexico</v>
      </c>
      <c r="B24" s="35" t="str">
        <v>MEX</v>
      </c>
      <c r="C24" s="58">
        <f>IF($B24="","",_xlfn.XLOOKUP($B24,[1]pillars_WIP!$B$7:$B$116,[1]pillars_WIP!$U$7:$U$116,"Missing",0))</f>
        <v>396</v>
      </c>
      <c r="D24" s="58">
        <f>IF($B24="","",_xlfn.XLOOKUP($B24,[1]pillars_WIP!$B$7:$B$116,[1]pillars_WIP!$V$7:$V$116,"Missing",0))</f>
        <v>17609212</v>
      </c>
      <c r="E24" s="58">
        <f>IF($B24="","",_xlfn.XLOOKUP($B24,[1]pillars_WIP!$B$7:$B$116,[1]pillars_WIP!$W$7:$W$116,"Missing",0))</f>
        <v>6015946</v>
      </c>
      <c r="F24" s="58">
        <f>IF($B24="","",_xlfn.XLOOKUP($B24,[1]pillars_WIP!$B$7:$B$116,[1]pillars_WIP!$X$7:$X$116,"Missing",0))</f>
        <v>60</v>
      </c>
      <c r="G24" s="58">
        <f>IF($B24="","",_xlfn.XLOOKUP($B24,[1]pillars_WIP!$B$7:$B$116,[1]pillars_WIP!$Y$7:$Y$116,"Missing",0))</f>
        <v>50</v>
      </c>
      <c r="H24" s="58">
        <f>_xlfn.XLOOKUP($B24,[1]pillars_WIP!$B$7:$B$501,[1]pillars_WIP!$Y$7:$Y$501,"Missing",0)</f>
        <v>50</v>
      </c>
      <c r="I24" s="58">
        <f>_xlfn.XLOOKUP($B24,[1]pillars_WIP!$B$7:$B$501,[1]pillars_WIP!$Z$7:$Z$501,"Missing",0)</f>
        <v>1</v>
      </c>
      <c r="J24" s="58">
        <f>_xlfn.XLOOKUP($B24,[1]pillars_WIP!$B$7:$B$501,[1]pillars_WIP!$AA$7:$AA$501,"Missing",0)</f>
        <v>0</v>
      </c>
      <c r="K24" s="11">
        <f>IF(ISNUMBER(C24),IF(Params!$G$69=0,0,LN(1+C24)/LN(1+Params!$G$69)*100),"")</f>
        <v>80.314168694001765</v>
      </c>
      <c r="L24" s="11">
        <f>IF(ISNUMBER(D24),IF(Params!$G$70=0,0,LN(1+D24)/LN(1+Params!$G$70)*100),"")</f>
        <v>83.261212833364908</v>
      </c>
      <c r="M24" s="11">
        <f>IF(ISNUMBER(E24),IF(Params!$G$71=0,0,LN(1+E24)/LN(1+Params!$G$71)*100),"")</f>
        <v>79.43234210432361</v>
      </c>
      <c r="N24" s="11">
        <f t="shared" si="0"/>
        <v>60</v>
      </c>
      <c r="O24" s="11">
        <f t="shared" si="1"/>
        <v>50</v>
      </c>
      <c r="P24" s="11">
        <f t="shared" si="2"/>
        <v>100</v>
      </c>
      <c r="Q24" s="11">
        <f t="shared" si="3"/>
        <v>100</v>
      </c>
      <c r="R24" s="12">
        <f t="shared" si="4"/>
        <v>69.12992762112188</v>
      </c>
    </row>
    <row r="25" spans="1:18" ht="20" customHeight="1">
      <c r="A25" s="35" t="str">
        <v>Mongolia</v>
      </c>
      <c r="B25" s="35" t="str">
        <v>MNG</v>
      </c>
      <c r="C25" s="58">
        <f>IF($B25="","",_xlfn.XLOOKUP($B25,[1]pillars_WIP!$B$7:$B$116,[1]pillars_WIP!$U$7:$U$116,"Missing",0))</f>
        <v>21</v>
      </c>
      <c r="D25" s="58">
        <f>IF($B25="","",_xlfn.XLOOKUP($B25,[1]pillars_WIP!$B$7:$B$116,[1]pillars_WIP!$V$7:$V$116,"Missing",0))</f>
        <v>2433522</v>
      </c>
      <c r="E25" s="58">
        <f>IF($B25="","",_xlfn.XLOOKUP($B25,[1]pillars_WIP!$B$7:$B$116,[1]pillars_WIP!$W$7:$W$116,"Missing",0))</f>
        <v>421051</v>
      </c>
      <c r="F25" s="58">
        <f>IF($B25="","",_xlfn.XLOOKUP($B25,[1]pillars_WIP!$B$7:$B$116,[1]pillars_WIP!$X$7:$X$116,"Missing",0))</f>
        <v>100</v>
      </c>
      <c r="G25" s="58">
        <f>IF($B25="","",_xlfn.XLOOKUP($B25,[1]pillars_WIP!$B$7:$B$116,[1]pillars_WIP!$Y$7:$Y$116,"Missing",0))</f>
        <v>50</v>
      </c>
      <c r="H25" s="58">
        <f>_xlfn.XLOOKUP($B25,[1]pillars_WIP!$B$7:$B$501,[1]pillars_WIP!$Y$7:$Y$501,"Missing",0)</f>
        <v>50</v>
      </c>
      <c r="I25" s="58">
        <f>_xlfn.XLOOKUP($B25,[1]pillars_WIP!$B$7:$B$501,[1]pillars_WIP!$Z$7:$Z$501,"Missing",0)</f>
        <v>4</v>
      </c>
      <c r="J25" s="58">
        <f>_xlfn.XLOOKUP($B25,[1]pillars_WIP!$B$7:$B$501,[1]pillars_WIP!$AA$7:$AA$501,"Missing",0)</f>
        <v>0</v>
      </c>
      <c r="K25" s="11">
        <f>IF(ISNUMBER(C25),IF(Params!$G$69=0,0,LN(1+C25)/LN(1+Params!$G$69)*100),"")</f>
        <v>41.486822953073208</v>
      </c>
      <c r="L25" s="11">
        <f>IF(ISNUMBER(D25),IF(Params!$G$70=0,0,LN(1+D25)/LN(1+Params!$G$70)*100),"")</f>
        <v>73.384597481572285</v>
      </c>
      <c r="M25" s="11">
        <f>IF(ISNUMBER(E25),IF(Params!$G$71=0,0,LN(1+E25)/LN(1+Params!$G$71)*100),"")</f>
        <v>65.899708890634685</v>
      </c>
      <c r="N25" s="11">
        <f t="shared" si="0"/>
        <v>100</v>
      </c>
      <c r="O25" s="11">
        <f t="shared" si="1"/>
        <v>50</v>
      </c>
      <c r="P25" s="11">
        <f t="shared" si="2"/>
        <v>100</v>
      </c>
      <c r="Q25" s="11">
        <f t="shared" si="3"/>
        <v>100</v>
      </c>
      <c r="R25" s="12">
        <f t="shared" si="4"/>
        <v>65.359240420524301</v>
      </c>
    </row>
    <row r="26" spans="1:18" ht="20" customHeight="1">
      <c r="A26" s="35" t="str">
        <v>Morocco</v>
      </c>
      <c r="B26" s="35" t="str">
        <v>MAR</v>
      </c>
      <c r="C26" s="58">
        <f>IF($B26="","",_xlfn.XLOOKUP($B26,[1]pillars_WIP!$B$7:$B$116,[1]pillars_WIP!$U$7:$U$116,"Missing",0))</f>
        <v>14</v>
      </c>
      <c r="D26" s="58">
        <f>IF($B26="","",_xlfn.XLOOKUP($B26,[1]pillars_WIP!$B$7:$B$116,[1]pillars_WIP!$V$7:$V$116,"Missing",0))</f>
        <v>1223982</v>
      </c>
      <c r="E26" s="58">
        <f>IF($B26="","",_xlfn.XLOOKUP($B26,[1]pillars_WIP!$B$7:$B$116,[1]pillars_WIP!$W$7:$W$116,"Missing",0))</f>
        <v>359748</v>
      </c>
      <c r="F26" s="58">
        <f>IF($B26="","",_xlfn.XLOOKUP($B26,[1]pillars_WIP!$B$7:$B$116,[1]pillars_WIP!$X$7:$X$116,"Missing",0))</f>
        <v>60</v>
      </c>
      <c r="G26" s="58">
        <f>IF($B26="","",_xlfn.XLOOKUP($B26,[1]pillars_WIP!$B$7:$B$116,[1]pillars_WIP!$Y$7:$Y$116,"Missing",0))</f>
        <v>50</v>
      </c>
      <c r="H26" s="58">
        <f>_xlfn.XLOOKUP($B26,[1]pillars_WIP!$B$7:$B$501,[1]pillars_WIP!$Y$7:$Y$501,"Missing",0)</f>
        <v>50</v>
      </c>
      <c r="I26" s="58">
        <f>_xlfn.XLOOKUP($B26,[1]pillars_WIP!$B$7:$B$501,[1]pillars_WIP!$Z$7:$Z$501,"Missing",0)</f>
        <v>3</v>
      </c>
      <c r="J26" s="58">
        <f>_xlfn.XLOOKUP($B26,[1]pillars_WIP!$B$7:$B$501,[1]pillars_WIP!$AA$7:$AA$501,"Missing",0)</f>
        <v>0</v>
      </c>
      <c r="K26" s="11">
        <f>IF(ISNUMBER(C26),IF(Params!$G$69=0,0,LN(1+C26)/LN(1+Params!$G$69)*100),"")</f>
        <v>36.346443291032401</v>
      </c>
      <c r="L26" s="11">
        <f>IF(ISNUMBER(D26),IF(Params!$G$70=0,0,LN(1+D26)/LN(1+Params!$G$70)*100),"")</f>
        <v>69.954975725945843</v>
      </c>
      <c r="M26" s="11">
        <f>IF(ISNUMBER(E26),IF(Params!$G$71=0,0,LN(1+E26)/LN(1+Params!$G$71)*100),"")</f>
        <v>65.099022037534866</v>
      </c>
      <c r="N26" s="11">
        <f t="shared" si="0"/>
        <v>60</v>
      </c>
      <c r="O26" s="11">
        <f t="shared" si="1"/>
        <v>50</v>
      </c>
      <c r="P26" s="11">
        <f t="shared" si="2"/>
        <v>100</v>
      </c>
      <c r="Q26" s="11">
        <f t="shared" si="3"/>
        <v>100</v>
      </c>
      <c r="R26" s="12">
        <f t="shared" si="4"/>
        <v>55.525137109025877</v>
      </c>
    </row>
    <row r="27" spans="1:18" ht="20" customHeight="1">
      <c r="A27" s="35" t="str">
        <v>North Korea</v>
      </c>
      <c r="B27" s="35" t="str">
        <v>PRK</v>
      </c>
      <c r="C27" s="58">
        <f>IF($B27="","",_xlfn.XLOOKUP($B27,[1]pillars_WIP!$B$7:$B$116,[1]pillars_WIP!$U$7:$U$116,"Missing",0))</f>
        <v>0</v>
      </c>
      <c r="D27" s="58">
        <f>IF($B27="","",_xlfn.XLOOKUP($B27,[1]pillars_WIP!$B$7:$B$116,[1]pillars_WIP!$V$7:$V$116,"Missing",0))</f>
        <v>0</v>
      </c>
      <c r="E27" s="58">
        <f>IF($B27="","",_xlfn.XLOOKUP($B27,[1]pillars_WIP!$B$7:$B$116,[1]pillars_WIP!$W$7:$W$116,"Missing",0))</f>
        <v>0</v>
      </c>
      <c r="F27" s="58">
        <f>IF($B27="","",_xlfn.XLOOKUP($B27,[1]pillars_WIP!$B$7:$B$116,[1]pillars_WIP!$X$7:$X$116,"Missing",0))</f>
        <v>0</v>
      </c>
      <c r="G27" s="58">
        <f>IF($B27="","",_xlfn.XLOOKUP($B27,[1]pillars_WIP!$B$7:$B$116,[1]pillars_WIP!$Y$7:$Y$116,"Missing",0))</f>
        <v>25</v>
      </c>
      <c r="H27" s="58">
        <f>_xlfn.XLOOKUP($B27,[1]pillars_WIP!$B$7:$B$501,[1]pillars_WIP!$Y$7:$Y$501,"Missing",0)</f>
        <v>25</v>
      </c>
      <c r="I27" s="58">
        <f>_xlfn.XLOOKUP($B27,[1]pillars_WIP!$B$7:$B$501,[1]pillars_WIP!$Z$7:$Z$501,"Missing",0)</f>
        <v>0</v>
      </c>
      <c r="J27" s="58">
        <f>_xlfn.XLOOKUP($B27,[1]pillars_WIP!$B$7:$B$501,[1]pillars_WIP!$AA$7:$AA$501,"Missing",0)</f>
        <v>0</v>
      </c>
      <c r="K27" s="11">
        <f>IF(ISNUMBER(C27),IF(Params!$G$69=0,0,LN(1+C27)/LN(1+Params!$G$69)*100),"")</f>
        <v>0</v>
      </c>
      <c r="L27" s="11">
        <f>IF(ISNUMBER(D27),IF(Params!$G$70=0,0,LN(1+D27)/LN(1+Params!$G$70)*100),"")</f>
        <v>0</v>
      </c>
      <c r="M27" s="11">
        <f>IF(ISNUMBER(E27),IF(Params!$G$71=0,0,LN(1+E27)/LN(1+Params!$G$71)*100),"")</f>
        <v>0</v>
      </c>
      <c r="N27" s="11">
        <f t="shared" si="0"/>
        <v>0</v>
      </c>
      <c r="O27" s="11">
        <f t="shared" si="1"/>
        <v>25</v>
      </c>
      <c r="P27" s="11">
        <f t="shared" si="2"/>
        <v>100</v>
      </c>
      <c r="Q27" s="11">
        <f t="shared" si="3"/>
        <v>0</v>
      </c>
      <c r="R27" s="12">
        <f t="shared" si="4"/>
        <v>6.25</v>
      </c>
    </row>
    <row r="28" spans="1:18" ht="20" customHeight="1">
      <c r="A28" s="35" t="str">
        <v>Pakistan</v>
      </c>
      <c r="B28" s="35" t="str">
        <v>PAK</v>
      </c>
      <c r="C28" s="58">
        <f>IF($B28="","",_xlfn.XLOOKUP($B28,[1]pillars_WIP!$B$7:$B$116,[1]pillars_WIP!$U$7:$U$116,"Missing",0))</f>
        <v>27</v>
      </c>
      <c r="D28" s="58">
        <f>IF($B28="","",_xlfn.XLOOKUP($B28,[1]pillars_WIP!$B$7:$B$116,[1]pillars_WIP!$V$7:$V$116,"Missing",0))</f>
        <v>7176027</v>
      </c>
      <c r="E28" s="58">
        <f>IF($B28="","",_xlfn.XLOOKUP($B28,[1]pillars_WIP!$B$7:$B$116,[1]pillars_WIP!$W$7:$W$116,"Missing",0))</f>
        <v>3375348</v>
      </c>
      <c r="F28" s="58">
        <f>IF($B28="","",_xlfn.XLOOKUP($B28,[1]pillars_WIP!$B$7:$B$116,[1]pillars_WIP!$X$7:$X$116,"Missing",0))</f>
        <v>60</v>
      </c>
      <c r="G28" s="58">
        <f>IF($B28="","",_xlfn.XLOOKUP($B28,[1]pillars_WIP!$B$7:$B$116,[1]pillars_WIP!$Y$7:$Y$116,"Missing",0))</f>
        <v>50</v>
      </c>
      <c r="H28" s="58">
        <f>_xlfn.XLOOKUP($B28,[1]pillars_WIP!$B$7:$B$501,[1]pillars_WIP!$Y$7:$Y$501,"Missing",0)</f>
        <v>50</v>
      </c>
      <c r="I28" s="58">
        <f>_xlfn.XLOOKUP($B28,[1]pillars_WIP!$B$7:$B$501,[1]pillars_WIP!$Z$7:$Z$501,"Missing",0)</f>
        <v>1</v>
      </c>
      <c r="J28" s="58">
        <f>_xlfn.XLOOKUP($B28,[1]pillars_WIP!$B$7:$B$501,[1]pillars_WIP!$AA$7:$AA$501,"Missing",0)</f>
        <v>0</v>
      </c>
      <c r="K28" s="11">
        <f>IF(ISNUMBER(C28),IF(Params!$G$69=0,0,LN(1+C28)/LN(1+Params!$G$69)*100),"")</f>
        <v>44.723610446331691</v>
      </c>
      <c r="L28" s="11">
        <f>IF(ISNUMBER(D28),IF(Params!$G$70=0,0,LN(1+D28)/LN(1+Params!$G$70)*100),"")</f>
        <v>78.781357247085566</v>
      </c>
      <c r="M28" s="11">
        <f>IF(ISNUMBER(E28),IF(Params!$G$71=0,0,LN(1+E28)/LN(1+Params!$G$71)*100),"")</f>
        <v>76.491575384072036</v>
      </c>
      <c r="N28" s="11">
        <f t="shared" si="0"/>
        <v>60</v>
      </c>
      <c r="O28" s="11">
        <f t="shared" si="1"/>
        <v>50</v>
      </c>
      <c r="P28" s="11">
        <f t="shared" si="2"/>
        <v>100</v>
      </c>
      <c r="Q28" s="11">
        <f t="shared" si="3"/>
        <v>100</v>
      </c>
      <c r="R28" s="12">
        <f t="shared" si="4"/>
        <v>60.674729846294255</v>
      </c>
    </row>
    <row r="29" spans="1:18" ht="20" customHeight="1">
      <c r="A29" s="35" t="str">
        <v>Philippines</v>
      </c>
      <c r="B29" s="35" t="str">
        <v>PHL</v>
      </c>
      <c r="C29" s="58">
        <f>IF($B29="","",_xlfn.XLOOKUP($B29,[1]pillars_WIP!$B$7:$B$116,[1]pillars_WIP!$U$7:$U$116,"Missing",0))</f>
        <v>24</v>
      </c>
      <c r="D29" s="58">
        <f>IF($B29="","",_xlfn.XLOOKUP($B29,[1]pillars_WIP!$B$7:$B$116,[1]pillars_WIP!$V$7:$V$116,"Missing",0))</f>
        <v>999160</v>
      </c>
      <c r="E29" s="58">
        <f>IF($B29="","",_xlfn.XLOOKUP($B29,[1]pillars_WIP!$B$7:$B$116,[1]pillars_WIP!$W$7:$W$116,"Missing",0))</f>
        <v>622510</v>
      </c>
      <c r="F29" s="58">
        <f>IF($B29="","",_xlfn.XLOOKUP($B29,[1]pillars_WIP!$B$7:$B$116,[1]pillars_WIP!$X$7:$X$116,"Missing",0))</f>
        <v>80</v>
      </c>
      <c r="G29" s="58">
        <f>IF($B29="","",_xlfn.XLOOKUP($B29,[1]pillars_WIP!$B$7:$B$116,[1]pillars_WIP!$Y$7:$Y$116,"Missing",0))</f>
        <v>50</v>
      </c>
      <c r="H29" s="58">
        <f>_xlfn.XLOOKUP($B29,[1]pillars_WIP!$B$7:$B$501,[1]pillars_WIP!$Y$7:$Y$501,"Missing",0)</f>
        <v>50</v>
      </c>
      <c r="I29" s="58">
        <f>_xlfn.XLOOKUP($B29,[1]pillars_WIP!$B$7:$B$501,[1]pillars_WIP!$Z$7:$Z$501,"Missing",0)</f>
        <v>2</v>
      </c>
      <c r="J29" s="58">
        <f>_xlfn.XLOOKUP($B29,[1]pillars_WIP!$B$7:$B$501,[1]pillars_WIP!$AA$7:$AA$501,"Missing",0)</f>
        <v>0</v>
      </c>
      <c r="K29" s="11">
        <f>IF(ISNUMBER(C29),IF(Params!$G$69=0,0,LN(1+C29)/LN(1+Params!$G$69)*100),"")</f>
        <v>43.202554953312493</v>
      </c>
      <c r="L29" s="11">
        <f>IF(ISNUMBER(D29),IF(Params!$G$70=0,0,LN(1+D29)/LN(1+Params!$G$70)*100),"")</f>
        <v>68.942154948680084</v>
      </c>
      <c r="M29" s="11">
        <f>IF(ISNUMBER(E29),IF(Params!$G$71=0,0,LN(1+E29)/LN(1+Params!$G$71)*100),"")</f>
        <v>67.889368729617914</v>
      </c>
      <c r="N29" s="11">
        <f t="shared" si="0"/>
        <v>80</v>
      </c>
      <c r="O29" s="11">
        <f t="shared" si="1"/>
        <v>50</v>
      </c>
      <c r="P29" s="11">
        <f t="shared" si="2"/>
        <v>100</v>
      </c>
      <c r="Q29" s="11">
        <f t="shared" si="3"/>
        <v>100</v>
      </c>
      <c r="R29" s="12">
        <f t="shared" si="4"/>
        <v>61.112347289841203</v>
      </c>
    </row>
    <row r="30" spans="1:18" ht="20" customHeight="1">
      <c r="A30" s="35" t="str">
        <v>Poland</v>
      </c>
      <c r="B30" s="35" t="str">
        <v>POL</v>
      </c>
      <c r="C30" s="58">
        <f>IF($B30="","",_xlfn.XLOOKUP($B30,[1]pillars_WIP!$B$7:$B$116,[1]pillars_WIP!$U$7:$U$116,"Missing",0))</f>
        <v>3</v>
      </c>
      <c r="D30" s="58">
        <f>IF($B30="","",_xlfn.XLOOKUP($B30,[1]pillars_WIP!$B$7:$B$116,[1]pillars_WIP!$V$7:$V$116,"Missing",0))</f>
        <v>0</v>
      </c>
      <c r="E30" s="58">
        <f>IF($B30="","",_xlfn.XLOOKUP($B30,[1]pillars_WIP!$B$7:$B$116,[1]pillars_WIP!$W$7:$W$116,"Missing",0))</f>
        <v>0</v>
      </c>
      <c r="F30" s="58">
        <f>IF($B30="","",_xlfn.XLOOKUP($B30,[1]pillars_WIP!$B$7:$B$116,[1]pillars_WIP!$X$7:$X$116,"Missing",0))</f>
        <v>0</v>
      </c>
      <c r="G30" s="58">
        <f>IF($B30="","",_xlfn.XLOOKUP($B30,[1]pillars_WIP!$B$7:$B$116,[1]pillars_WIP!$Y$7:$Y$116,"Missing",0))</f>
        <v>25</v>
      </c>
      <c r="H30" s="58">
        <f>_xlfn.XLOOKUP($B30,[1]pillars_WIP!$B$7:$B$501,[1]pillars_WIP!$Y$7:$Y$501,"Missing",0)</f>
        <v>25</v>
      </c>
      <c r="I30" s="58">
        <f>_xlfn.XLOOKUP($B30,[1]pillars_WIP!$B$7:$B$501,[1]pillars_WIP!$Z$7:$Z$501,"Missing",0)</f>
        <v>0</v>
      </c>
      <c r="J30" s="58">
        <f>_xlfn.XLOOKUP($B30,[1]pillars_WIP!$B$7:$B$501,[1]pillars_WIP!$AA$7:$AA$501,"Missing",0)</f>
        <v>0</v>
      </c>
      <c r="K30" s="11">
        <f>IF(ISNUMBER(C30),IF(Params!$G$69=0,0,LN(1+C30)/LN(1+Params!$G$69)*100),"")</f>
        <v>18.606327667269245</v>
      </c>
      <c r="L30" s="11">
        <f>IF(ISNUMBER(D30),IF(Params!$G$70=0,0,LN(1+D30)/LN(1+Params!$G$70)*100),"")</f>
        <v>0</v>
      </c>
      <c r="M30" s="11">
        <f>IF(ISNUMBER(E30),IF(Params!$G$71=0,0,LN(1+E30)/LN(1+Params!$G$71)*100),"")</f>
        <v>0</v>
      </c>
      <c r="N30" s="11">
        <f t="shared" si="0"/>
        <v>0</v>
      </c>
      <c r="O30" s="11">
        <f t="shared" si="1"/>
        <v>25</v>
      </c>
      <c r="P30" s="11">
        <f t="shared" si="2"/>
        <v>100</v>
      </c>
      <c r="Q30" s="11">
        <f t="shared" si="3"/>
        <v>0</v>
      </c>
      <c r="R30" s="12">
        <f t="shared" si="4"/>
        <v>9.9712655334538489</v>
      </c>
    </row>
    <row r="31" spans="1:18" ht="20" customHeight="1">
      <c r="A31" s="35" t="str">
        <v>Russia</v>
      </c>
      <c r="B31" s="35" t="str">
        <v>RUS</v>
      </c>
      <c r="C31" s="58">
        <f>IF($B31="","",_xlfn.XLOOKUP($B31,[1]pillars_WIP!$B$7:$B$116,[1]pillars_WIP!$U$7:$U$116,"Missing",0))</f>
        <v>7</v>
      </c>
      <c r="D31" s="58">
        <f>IF($B31="","",_xlfn.XLOOKUP($B31,[1]pillars_WIP!$B$7:$B$116,[1]pillars_WIP!$V$7:$V$116,"Missing",0))</f>
        <v>1329474</v>
      </c>
      <c r="E31" s="58">
        <f>IF($B31="","",_xlfn.XLOOKUP($B31,[1]pillars_WIP!$B$7:$B$116,[1]pillars_WIP!$W$7:$W$116,"Missing",0))</f>
        <v>635933</v>
      </c>
      <c r="F31" s="58">
        <f>IF($B31="","",_xlfn.XLOOKUP($B31,[1]pillars_WIP!$B$7:$B$116,[1]pillars_WIP!$X$7:$X$116,"Missing",0))</f>
        <v>0</v>
      </c>
      <c r="G31" s="58">
        <f>IF($B31="","",_xlfn.XLOOKUP($B31,[1]pillars_WIP!$B$7:$B$116,[1]pillars_WIP!$Y$7:$Y$116,"Missing",0))</f>
        <v>25</v>
      </c>
      <c r="H31" s="58">
        <f>_xlfn.XLOOKUP($B31,[1]pillars_WIP!$B$7:$B$501,[1]pillars_WIP!$Y$7:$Y$501,"Missing",0)</f>
        <v>25</v>
      </c>
      <c r="I31" s="58">
        <f>_xlfn.XLOOKUP($B31,[1]pillars_WIP!$B$7:$B$501,[1]pillars_WIP!$Z$7:$Z$501,"Missing",0)</f>
        <v>0</v>
      </c>
      <c r="J31" s="58">
        <f>_xlfn.XLOOKUP($B31,[1]pillars_WIP!$B$7:$B$501,[1]pillars_WIP!$AA$7:$AA$501,"Missing",0)</f>
        <v>0</v>
      </c>
      <c r="K31" s="11">
        <f>IF(ISNUMBER(C31),IF(Params!$G$69=0,0,LN(1+C31)/LN(1+Params!$G$69)*100),"")</f>
        <v>27.909491500903865</v>
      </c>
      <c r="L31" s="11">
        <f>IF(ISNUMBER(D31),IF(Params!$G$70=0,0,LN(1+D31)/LN(1+Params!$G$70)*100),"")</f>
        <v>70.367559715509614</v>
      </c>
      <c r="M31" s="11">
        <f>IF(ISNUMBER(E31),IF(Params!$G$71=0,0,LN(1+E31)/LN(1+Params!$G$71)*100),"")</f>
        <v>67.997925868177006</v>
      </c>
      <c r="N31" s="11">
        <f t="shared" si="0"/>
        <v>0</v>
      </c>
      <c r="O31" s="11">
        <f t="shared" si="1"/>
        <v>25</v>
      </c>
      <c r="P31" s="11">
        <f t="shared" si="2"/>
        <v>100</v>
      </c>
      <c r="Q31" s="11">
        <f t="shared" si="3"/>
        <v>0</v>
      </c>
      <c r="R31" s="12">
        <f t="shared" si="4"/>
        <v>36.105099123509248</v>
      </c>
    </row>
    <row r="32" spans="1:18" ht="20" customHeight="1">
      <c r="A32" s="35" t="str">
        <v>Serbia</v>
      </c>
      <c r="B32" s="35" t="str">
        <v>SRB</v>
      </c>
      <c r="C32" s="58">
        <f>IF($B32="","",_xlfn.XLOOKUP($B32,[1]pillars_WIP!$B$7:$B$116,[1]pillars_WIP!$U$7:$U$116,"Missing",0))</f>
        <v>3</v>
      </c>
      <c r="D32" s="58">
        <f>IF($B32="","",_xlfn.XLOOKUP($B32,[1]pillars_WIP!$B$7:$B$116,[1]pillars_WIP!$V$7:$V$116,"Missing",0))</f>
        <v>0</v>
      </c>
      <c r="E32" s="58">
        <f>IF($B32="","",_xlfn.XLOOKUP($B32,[1]pillars_WIP!$B$7:$B$116,[1]pillars_WIP!$W$7:$W$116,"Missing",0))</f>
        <v>0</v>
      </c>
      <c r="F32" s="58">
        <f>IF($B32="","",_xlfn.XLOOKUP($B32,[1]pillars_WIP!$B$7:$B$116,[1]pillars_WIP!$X$7:$X$116,"Missing",0))</f>
        <v>0</v>
      </c>
      <c r="G32" s="58">
        <f>IF($B32="","",_xlfn.XLOOKUP($B32,[1]pillars_WIP!$B$7:$B$116,[1]pillars_WIP!$Y$7:$Y$116,"Missing",0))</f>
        <v>0</v>
      </c>
      <c r="H32" s="58">
        <f>_xlfn.XLOOKUP($B32,[1]pillars_WIP!$B$7:$B$501,[1]pillars_WIP!$Y$7:$Y$501,"Missing",0)</f>
        <v>0</v>
      </c>
      <c r="I32" s="58">
        <f>_xlfn.XLOOKUP($B32,[1]pillars_WIP!$B$7:$B$501,[1]pillars_WIP!$Z$7:$Z$501,"Missing",0)</f>
        <v>0</v>
      </c>
      <c r="J32" s="58">
        <f>_xlfn.XLOOKUP($B32,[1]pillars_WIP!$B$7:$B$501,[1]pillars_WIP!$AA$7:$AA$501,"Missing",0)</f>
        <v>0</v>
      </c>
      <c r="K32" s="11">
        <f>IF(ISNUMBER(C32),IF(Params!$G$69=0,0,LN(1+C32)/LN(1+Params!$G$69)*100),"")</f>
        <v>18.606327667269245</v>
      </c>
      <c r="L32" s="11">
        <f>IF(ISNUMBER(D32),IF(Params!$G$70=0,0,LN(1+D32)/LN(1+Params!$G$70)*100),"")</f>
        <v>0</v>
      </c>
      <c r="M32" s="11">
        <f>IF(ISNUMBER(E32),IF(Params!$G$71=0,0,LN(1+E32)/LN(1+Params!$G$71)*100),"")</f>
        <v>0</v>
      </c>
      <c r="N32" s="11">
        <f t="shared" si="0"/>
        <v>0</v>
      </c>
      <c r="O32" s="11">
        <f t="shared" si="1"/>
        <v>0</v>
      </c>
      <c r="P32" s="11">
        <f t="shared" si="2"/>
        <v>0</v>
      </c>
      <c r="Q32" s="11">
        <f t="shared" si="3"/>
        <v>0</v>
      </c>
      <c r="R32" s="12">
        <f t="shared" si="4"/>
        <v>3.7212655334538489</v>
      </c>
    </row>
    <row r="33" spans="1:18" ht="20" customHeight="1">
      <c r="A33" s="35" t="str">
        <v>South Africa</v>
      </c>
      <c r="B33" s="35" t="str">
        <v>ZAF</v>
      </c>
      <c r="C33" s="58">
        <f>IF($B33="","",_xlfn.XLOOKUP($B33,[1]pillars_WIP!$B$7:$B$116,[1]pillars_WIP!$U$7:$U$116,"Missing",0))</f>
        <v>113</v>
      </c>
      <c r="D33" s="58">
        <f>IF($B33="","",_xlfn.XLOOKUP($B33,[1]pillars_WIP!$B$7:$B$116,[1]pillars_WIP!$V$7:$V$116,"Missing",0))</f>
        <v>13364742</v>
      </c>
      <c r="E33" s="58">
        <f>IF($B33="","",_xlfn.XLOOKUP($B33,[1]pillars_WIP!$B$7:$B$116,[1]pillars_WIP!$W$7:$W$116,"Missing",0))</f>
        <v>10280585</v>
      </c>
      <c r="F33" s="58">
        <f>IF($B33="","",_xlfn.XLOOKUP($B33,[1]pillars_WIP!$B$7:$B$116,[1]pillars_WIP!$X$7:$X$116,"Missing",0))</f>
        <v>40</v>
      </c>
      <c r="G33" s="58">
        <f>IF($B33="","",_xlfn.XLOOKUP($B33,[1]pillars_WIP!$B$7:$B$116,[1]pillars_WIP!$Y$7:$Y$116,"Missing",0))</f>
        <v>50</v>
      </c>
      <c r="H33" s="58">
        <f>_xlfn.XLOOKUP($B33,[1]pillars_WIP!$B$7:$B$501,[1]pillars_WIP!$Y$7:$Y$501,"Missing",0)</f>
        <v>50</v>
      </c>
      <c r="I33" s="58">
        <f>_xlfn.XLOOKUP($B33,[1]pillars_WIP!$B$7:$B$501,[1]pillars_WIP!$Z$7:$Z$501,"Missing",0)</f>
        <v>0</v>
      </c>
      <c r="J33" s="58">
        <f>_xlfn.XLOOKUP($B33,[1]pillars_WIP!$B$7:$B$501,[1]pillars_WIP!$AA$7:$AA$501,"Missing",0)</f>
        <v>0</v>
      </c>
      <c r="K33" s="11">
        <f>IF(ISNUMBER(C33),IF(Params!$G$69=0,0,LN(1+C33)/LN(1+Params!$G$69)*100),"")</f>
        <v>63.567495258980586</v>
      </c>
      <c r="L33" s="11">
        <f>IF(ISNUMBER(D33),IF(Params!$G$70=0,0,LN(1+D33)/LN(1+Params!$G$70)*100),"")</f>
        <v>81.884821634273308</v>
      </c>
      <c r="M33" s="11">
        <f>IF(ISNUMBER(E33),IF(Params!$G$71=0,0,LN(1+E33)/LN(1+Params!$G$71)*100),"")</f>
        <v>82.159024319041237</v>
      </c>
      <c r="N33" s="11">
        <f t="shared" si="0"/>
        <v>40</v>
      </c>
      <c r="O33" s="11">
        <f t="shared" si="1"/>
        <v>50</v>
      </c>
      <c r="P33" s="11">
        <f t="shared" si="2"/>
        <v>100</v>
      </c>
      <c r="Q33" s="11">
        <f t="shared" si="3"/>
        <v>0</v>
      </c>
      <c r="R33" s="12">
        <f t="shared" si="4"/>
        <v>61.914317026506964</v>
      </c>
    </row>
    <row r="34" spans="1:18" ht="20" customHeight="1">
      <c r="A34" s="35" t="str">
        <v>South Korea</v>
      </c>
      <c r="B34" s="35" t="str">
        <v>KOR</v>
      </c>
      <c r="C34" s="58">
        <f>IF($B34="","",_xlfn.XLOOKUP($B34,[1]pillars_WIP!$B$7:$B$116,[1]pillars_WIP!$U$7:$U$116,"Missing",0))</f>
        <v>15</v>
      </c>
      <c r="D34" s="58">
        <f>IF($B34="","",_xlfn.XLOOKUP($B34,[1]pillars_WIP!$B$7:$B$116,[1]pillars_WIP!$V$7:$V$116,"Missing",0))</f>
        <v>22688337</v>
      </c>
      <c r="E34" s="58">
        <f>IF($B34="","",_xlfn.XLOOKUP($B34,[1]pillars_WIP!$B$7:$B$116,[1]pillars_WIP!$W$7:$W$116,"Missing",0))</f>
        <v>16522926</v>
      </c>
      <c r="F34" s="58">
        <f>IF($B34="","",_xlfn.XLOOKUP($B34,[1]pillars_WIP!$B$7:$B$116,[1]pillars_WIP!$X$7:$X$116,"Missing",0))</f>
        <v>60</v>
      </c>
      <c r="G34" s="58">
        <f>IF($B34="","",_xlfn.XLOOKUP($B34,[1]pillars_WIP!$B$7:$B$116,[1]pillars_WIP!$Y$7:$Y$116,"Missing",0))</f>
        <v>50</v>
      </c>
      <c r="H34" s="58">
        <f>_xlfn.XLOOKUP($B34,[1]pillars_WIP!$B$7:$B$501,[1]pillars_WIP!$Y$7:$Y$501,"Missing",0)</f>
        <v>50</v>
      </c>
      <c r="I34" s="58">
        <f>_xlfn.XLOOKUP($B34,[1]pillars_WIP!$B$7:$B$501,[1]pillars_WIP!$Z$7:$Z$501,"Missing",0)</f>
        <v>14</v>
      </c>
      <c r="J34" s="58">
        <f>_xlfn.XLOOKUP($B34,[1]pillars_WIP!$B$7:$B$501,[1]pillars_WIP!$AA$7:$AA$501,"Missing",0)</f>
        <v>0</v>
      </c>
      <c r="K34" s="11">
        <f>IF(ISNUMBER(C34),IF(Params!$G$69=0,0,LN(1+C34)/LN(1+Params!$G$69)*100),"")</f>
        <v>37.212655334538489</v>
      </c>
      <c r="L34" s="11">
        <f>IF(ISNUMBER(D34),IF(Params!$G$70=0,0,LN(1+D34)/LN(1+Params!$G$70)*100),"")</f>
        <v>84.525950047088486</v>
      </c>
      <c r="M34" s="11">
        <f>IF(ISNUMBER(E34),IF(Params!$G$71=0,0,LN(1+E34)/LN(1+Params!$G$71)*100),"")</f>
        <v>84.573512934862521</v>
      </c>
      <c r="N34" s="11">
        <f t="shared" si="0"/>
        <v>60</v>
      </c>
      <c r="O34" s="11">
        <f t="shared" si="1"/>
        <v>50</v>
      </c>
      <c r="P34" s="11">
        <f t="shared" si="2"/>
        <v>100</v>
      </c>
      <c r="Q34" s="11">
        <f t="shared" si="3"/>
        <v>100</v>
      </c>
      <c r="R34" s="12">
        <f t="shared" si="4"/>
        <v>61.533748016554775</v>
      </c>
    </row>
    <row r="35" spans="1:18" ht="20" customHeight="1">
      <c r="A35" s="35" t="str">
        <v>Sri Lanka</v>
      </c>
      <c r="B35" s="35" t="str">
        <v>LKA</v>
      </c>
      <c r="C35" s="58">
        <f>IF($B35="","",_xlfn.XLOOKUP($B35,[1]pillars_WIP!$B$7:$B$116,[1]pillars_WIP!$U$7:$U$116,"Missing",0))</f>
        <v>19</v>
      </c>
      <c r="D35" s="58">
        <f>IF($B35="","",_xlfn.XLOOKUP($B35,[1]pillars_WIP!$B$7:$B$116,[1]pillars_WIP!$V$7:$V$116,"Missing",0))</f>
        <v>414283</v>
      </c>
      <c r="E35" s="58">
        <f>IF($B35="","",_xlfn.XLOOKUP($B35,[1]pillars_WIP!$B$7:$B$116,[1]pillars_WIP!$W$7:$W$116,"Missing",0))</f>
        <v>185215</v>
      </c>
      <c r="F35" s="58">
        <f>IF($B35="","",_xlfn.XLOOKUP($B35,[1]pillars_WIP!$B$7:$B$116,[1]pillars_WIP!$X$7:$X$116,"Missing",0))</f>
        <v>100</v>
      </c>
      <c r="G35" s="58">
        <f>IF($B35="","",_xlfn.XLOOKUP($B35,[1]pillars_WIP!$B$7:$B$116,[1]pillars_WIP!$Y$7:$Y$116,"Missing",0))</f>
        <v>50</v>
      </c>
      <c r="H35" s="58">
        <f>_xlfn.XLOOKUP($B35,[1]pillars_WIP!$B$7:$B$501,[1]pillars_WIP!$Y$7:$Y$501,"Missing",0)</f>
        <v>50</v>
      </c>
      <c r="I35" s="58">
        <f>_xlfn.XLOOKUP($B35,[1]pillars_WIP!$B$7:$B$501,[1]pillars_WIP!$Z$7:$Z$501,"Missing",0)</f>
        <v>2</v>
      </c>
      <c r="J35" s="58">
        <f>_xlfn.XLOOKUP($B35,[1]pillars_WIP!$B$7:$B$501,[1]pillars_WIP!$AA$7:$AA$501,"Missing",0)</f>
        <v>0</v>
      </c>
      <c r="K35" s="11">
        <f>IF(ISNUMBER(C35),IF(Params!$G$69=0,0,LN(1+C35)/LN(1+Params!$G$69)*100),"")</f>
        <v>40.207605143925491</v>
      </c>
      <c r="L35" s="11">
        <f>IF(ISNUMBER(D35),IF(Params!$G$70=0,0,LN(1+D35)/LN(1+Params!$G$70)*100),"")</f>
        <v>64.548694978848289</v>
      </c>
      <c r="M35" s="11">
        <f>IF(ISNUMBER(E35),IF(Params!$G$71=0,0,LN(1+E35)/LN(1+Params!$G$71)*100),"")</f>
        <v>61.720796216812879</v>
      </c>
      <c r="N35" s="11">
        <f t="shared" si="0"/>
        <v>100</v>
      </c>
      <c r="O35" s="11">
        <f t="shared" si="1"/>
        <v>50</v>
      </c>
      <c r="P35" s="11">
        <f t="shared" si="2"/>
        <v>100</v>
      </c>
      <c r="Q35" s="11">
        <f t="shared" si="3"/>
        <v>100</v>
      </c>
      <c r="R35" s="12">
        <f t="shared" si="4"/>
        <v>62.709379457076686</v>
      </c>
    </row>
    <row r="36" spans="1:18" ht="20" customHeight="1">
      <c r="A36" s="35" t="str">
        <v>Taiwan, China</v>
      </c>
      <c r="B36" s="35" t="str">
        <v>TWN</v>
      </c>
      <c r="C36" s="58">
        <f>IF($B36="","",_xlfn.XLOOKUP($B36,[1]pillars_WIP!$B$7:$B$116,[1]pillars_WIP!$U$7:$U$116,"Missing",0))</f>
        <v>11</v>
      </c>
      <c r="D36" s="58">
        <f>IF($B36="","",_xlfn.XLOOKUP($B36,[1]pillars_WIP!$B$7:$B$116,[1]pillars_WIP!$V$7:$V$116,"Missing",0))</f>
        <v>5822790</v>
      </c>
      <c r="E36" s="58">
        <f>IF($B36="","",_xlfn.XLOOKUP($B36,[1]pillars_WIP!$B$7:$B$116,[1]pillars_WIP!$W$7:$W$116,"Missing",0))</f>
        <v>5154118</v>
      </c>
      <c r="F36" s="102">
        <v>0</v>
      </c>
      <c r="G36" s="102">
        <v>0</v>
      </c>
      <c r="H36" s="58" t="str">
        <f>_xlfn.XLOOKUP($B36,[1]pillars_WIP!$B$7:$B$501,[1]pillars_WIP!$Y$7:$Y$501,"Missing",0)</f>
        <v>Missing</v>
      </c>
      <c r="I36" s="58">
        <f>_xlfn.XLOOKUP($B36,[1]pillars_WIP!$B$7:$B$501,[1]pillars_WIP!$Z$7:$Z$501,"Missing",0)</f>
        <v>0</v>
      </c>
      <c r="J36" s="58">
        <f>_xlfn.XLOOKUP($B36,[1]pillars_WIP!$B$7:$B$501,[1]pillars_WIP!$AA$7:$AA$501,"Missing",0)</f>
        <v>0</v>
      </c>
      <c r="K36" s="11">
        <f>IF(ISNUMBER(C36),IF(Params!$G$69=0,0,LN(1+C36)/LN(1+Params!$G$69)*100),"")</f>
        <v>33.351493481645392</v>
      </c>
      <c r="L36" s="11">
        <f>IF(ISNUMBER(D36),IF(Params!$G$70=0,0,LN(1+D36)/LN(1+Params!$G$70)*100),"")</f>
        <v>77.738510214980465</v>
      </c>
      <c r="M36" s="11">
        <f>IF(ISNUMBER(E36),IF(Params!$G$71=0,0,LN(1+E36)/LN(1+Params!$G$71)*100),"")</f>
        <v>78.645558265774696</v>
      </c>
      <c r="N36" s="85">
        <f t="shared" si="0"/>
        <v>0</v>
      </c>
      <c r="O36" s="85">
        <f t="shared" si="1"/>
        <v>0</v>
      </c>
      <c r="P36" s="11" t="str">
        <f t="shared" si="2"/>
        <v/>
      </c>
      <c r="Q36" s="11">
        <f t="shared" si="3"/>
        <v>0</v>
      </c>
      <c r="R36" s="86">
        <f t="shared" si="4"/>
        <v>34.014834479191371</v>
      </c>
    </row>
    <row r="37" spans="1:18" ht="20" customHeight="1">
      <c r="A37" s="35" t="str">
        <v>Thailand</v>
      </c>
      <c r="B37" s="35" t="str">
        <v>THA</v>
      </c>
      <c r="C37" s="58">
        <f>IF($B37="","",_xlfn.XLOOKUP($B37,[1]pillars_WIP!$B$7:$B$116,[1]pillars_WIP!$U$7:$U$116,"Missing",0))</f>
        <v>98</v>
      </c>
      <c r="D37" s="58">
        <f>IF($B37="","",_xlfn.XLOOKUP($B37,[1]pillars_WIP!$B$7:$B$116,[1]pillars_WIP!$V$7:$V$116,"Missing",0))</f>
        <v>19437335</v>
      </c>
      <c r="E37" s="58">
        <f>IF($B37="","",_xlfn.XLOOKUP($B37,[1]pillars_WIP!$B$7:$B$116,[1]pillars_WIP!$W$7:$W$116,"Missing",0))</f>
        <v>12084223</v>
      </c>
      <c r="F37" s="58">
        <f>IF($B37="","",_xlfn.XLOOKUP($B37,[1]pillars_WIP!$B$7:$B$116,[1]pillars_WIP!$X$7:$X$116,"Missing",0))</f>
        <v>100</v>
      </c>
      <c r="G37" s="58">
        <f>IF($B37="","",_xlfn.XLOOKUP($B37,[1]pillars_WIP!$B$7:$B$116,[1]pillars_WIP!$Y$7:$Y$116,"Missing",0))</f>
        <v>100</v>
      </c>
      <c r="H37" s="58">
        <f>_xlfn.XLOOKUP($B37,[1]pillars_WIP!$B$7:$B$501,[1]pillars_WIP!$Y$7:$Y$501,"Missing",0)</f>
        <v>100</v>
      </c>
      <c r="I37" s="58">
        <f>_xlfn.XLOOKUP($B37,[1]pillars_WIP!$B$7:$B$501,[1]pillars_WIP!$Z$7:$Z$501,"Missing",0)</f>
        <v>3</v>
      </c>
      <c r="J37" s="58">
        <f>_xlfn.XLOOKUP($B37,[1]pillars_WIP!$B$7:$B$501,[1]pillars_WIP!$AA$7:$AA$501,"Missing",0)</f>
        <v>1910</v>
      </c>
      <c r="K37" s="11">
        <f>IF(ISNUMBER(C37),IF(Params!$G$69=0,0,LN(1+C37)/LN(1+Params!$G$69)*100),"")</f>
        <v>61.673990748190874</v>
      </c>
      <c r="L37" s="11">
        <f>IF(ISNUMBER(D37),IF(Params!$G$70=0,0,LN(1+D37)/LN(1+Params!$G$70)*100),"")</f>
        <v>83.754142366783441</v>
      </c>
      <c r="M37" s="11">
        <f>IF(ISNUMBER(E37),IF(Params!$G$71=0,0,LN(1+E37)/LN(1+Params!$G$71)*100),"")</f>
        <v>82.981560324434952</v>
      </c>
      <c r="N37" s="11">
        <f t="shared" si="0"/>
        <v>100</v>
      </c>
      <c r="O37" s="11">
        <f t="shared" si="1"/>
        <v>100</v>
      </c>
      <c r="P37" s="11">
        <f t="shared" si="2"/>
        <v>100</v>
      </c>
      <c r="Q37" s="11">
        <f t="shared" si="3"/>
        <v>100</v>
      </c>
      <c r="R37" s="12">
        <f t="shared" si="4"/>
        <v>86.532860671660103</v>
      </c>
    </row>
    <row r="38" spans="1:18" ht="20" customHeight="1">
      <c r="A38" s="35" t="str">
        <v>Türkiye</v>
      </c>
      <c r="B38" s="35" t="str">
        <v>TUR</v>
      </c>
      <c r="C38" s="58">
        <f>IF($B38="","",_xlfn.XLOOKUP($B38,[1]pillars_WIP!$B$7:$B$116,[1]pillars_WIP!$U$7:$U$116,"Missing",0))</f>
        <v>551</v>
      </c>
      <c r="D38" s="58">
        <f>IF($B38="","",_xlfn.XLOOKUP($B38,[1]pillars_WIP!$B$7:$B$116,[1]pillars_WIP!$V$7:$V$116,"Missing",0))</f>
        <v>126737282</v>
      </c>
      <c r="E38" s="58">
        <f>IF($B38="","",_xlfn.XLOOKUP($B38,[1]pillars_WIP!$B$7:$B$116,[1]pillars_WIP!$W$7:$W$116,"Missing",0))</f>
        <v>67651087</v>
      </c>
      <c r="F38" s="58">
        <f>IF($B38="","",_xlfn.XLOOKUP($B38,[1]pillars_WIP!$B$7:$B$116,[1]pillars_WIP!$X$7:$X$116,"Missing",0))</f>
        <v>20</v>
      </c>
      <c r="G38" s="58">
        <f>IF($B38="","",_xlfn.XLOOKUP($B38,[1]pillars_WIP!$B$7:$B$116,[1]pillars_WIP!$Y$7:$Y$116,"Missing",0))</f>
        <v>25</v>
      </c>
      <c r="H38" s="58">
        <f>_xlfn.XLOOKUP($B38,[1]pillars_WIP!$B$7:$B$501,[1]pillars_WIP!$Y$7:$Y$501,"Missing",0)</f>
        <v>25</v>
      </c>
      <c r="I38" s="58">
        <f>_xlfn.XLOOKUP($B38,[1]pillars_WIP!$B$7:$B$501,[1]pillars_WIP!$Z$7:$Z$501,"Missing",0)</f>
        <v>0</v>
      </c>
      <c r="J38" s="58">
        <f>_xlfn.XLOOKUP($B38,[1]pillars_WIP!$B$7:$B$501,[1]pillars_WIP!$AA$7:$AA$501,"Missing",0)</f>
        <v>0</v>
      </c>
      <c r="K38" s="11">
        <f>IF(ISNUMBER(C38),IF(Params!$G$69=0,0,LN(1+C38)/LN(1+Params!$G$69)*100),"")</f>
        <v>84.738095304075102</v>
      </c>
      <c r="L38" s="11">
        <f>IF(ISNUMBER(D38),IF(Params!$G$70=0,0,LN(1+D38)/LN(1+Params!$G$70)*100),"")</f>
        <v>93.110938586413951</v>
      </c>
      <c r="M38" s="11">
        <f>IF(ISNUMBER(E38),IF(Params!$G$71=0,0,LN(1+E38)/LN(1+Params!$G$71)*100),"")</f>
        <v>91.746448514194682</v>
      </c>
      <c r="N38" s="11">
        <f t="shared" si="0"/>
        <v>20</v>
      </c>
      <c r="O38" s="11">
        <f t="shared" si="1"/>
        <v>25</v>
      </c>
      <c r="P38" s="11">
        <f t="shared" si="2"/>
        <v>100</v>
      </c>
      <c r="Q38" s="11">
        <f t="shared" si="3"/>
        <v>0</v>
      </c>
      <c r="R38" s="12">
        <f t="shared" si="4"/>
        <v>59.581774055227015</v>
      </c>
    </row>
    <row r="39" spans="1:18" ht="20" customHeight="1">
      <c r="A39" s="35" t="str">
        <v>United States</v>
      </c>
      <c r="B39" s="35" t="str">
        <v>USA</v>
      </c>
      <c r="C39" s="58">
        <f>IF($B39="","",_xlfn.XLOOKUP($B39,[1]pillars_WIP!$B$7:$B$116,[1]pillars_WIP!$U$7:$U$116,"Missing",0))</f>
        <v>1640</v>
      </c>
      <c r="D39" s="58">
        <f>IF($B39="","",_xlfn.XLOOKUP($B39,[1]pillars_WIP!$B$7:$B$116,[1]pillars_WIP!$V$7:$V$116,"Missing",0))</f>
        <v>503987087</v>
      </c>
      <c r="E39" s="58">
        <f>IF($B39="","",_xlfn.XLOOKUP($B39,[1]pillars_WIP!$B$7:$B$116,[1]pillars_WIP!$W$7:$W$116,"Missing",0))</f>
        <v>342523049</v>
      </c>
      <c r="F39" s="58">
        <f>IF($B39="","",_xlfn.XLOOKUP($B39,[1]pillars_WIP!$B$7:$B$116,[1]pillars_WIP!$X$7:$X$116,"Missing",0))</f>
        <v>0</v>
      </c>
      <c r="G39" s="58">
        <f>IF($B39="","",_xlfn.XLOOKUP($B39,[1]pillars_WIP!$B$7:$B$116,[1]pillars_WIP!$Y$7:$Y$116,"Missing",0))</f>
        <v>25</v>
      </c>
      <c r="H39" s="58">
        <f>_xlfn.XLOOKUP($B39,[1]pillars_WIP!$B$7:$B$501,[1]pillars_WIP!$Y$7:$Y$501,"Missing",0)</f>
        <v>25</v>
      </c>
      <c r="I39" s="58">
        <f>_xlfn.XLOOKUP($B39,[1]pillars_WIP!$B$7:$B$501,[1]pillars_WIP!$Z$7:$Z$501,"Missing",0)</f>
        <v>0</v>
      </c>
      <c r="J39" s="58">
        <f>_xlfn.XLOOKUP($B39,[1]pillars_WIP!$B$7:$B$501,[1]pillars_WIP!$AA$7:$AA$501,"Missing",0)</f>
        <v>0</v>
      </c>
      <c r="K39" s="11">
        <f>IF(ISNUMBER(C39),IF(Params!$G$69=0,0,LN(1+C39)/LN(1+Params!$G$69)*100),"")</f>
        <v>99.361134449367881</v>
      </c>
      <c r="L39" s="11">
        <f>IF(ISNUMBER(D39),IF(Params!$G$70=0,0,LN(1+D39)/LN(1+Params!$G$70)*100),"")</f>
        <v>100</v>
      </c>
      <c r="M39" s="11">
        <f>IF(ISNUMBER(E39),IF(Params!$G$71=0,0,LN(1+E39)/LN(1+Params!$G$71)*100),"")</f>
        <v>100</v>
      </c>
      <c r="N39" s="11">
        <f t="shared" si="0"/>
        <v>0</v>
      </c>
      <c r="O39" s="11">
        <f t="shared" si="1"/>
        <v>25</v>
      </c>
      <c r="P39" s="11">
        <f t="shared" si="2"/>
        <v>100</v>
      </c>
      <c r="Q39" s="11">
        <f t="shared" si="3"/>
        <v>0</v>
      </c>
      <c r="R39" s="12">
        <f t="shared" si="4"/>
        <v>61.122226889873573</v>
      </c>
    </row>
    <row r="40" spans="1:18" ht="20" customHeight="1">
      <c r="A40" s="35" t="str">
        <v>Vietnam</v>
      </c>
      <c r="B40" s="35" t="str">
        <v>VNM</v>
      </c>
      <c r="C40" s="58">
        <f>IF($B40="","",_xlfn.XLOOKUP($B40,[1]pillars_WIP!$B$7:$B$116,[1]pillars_WIP!$U$7:$U$116,"Missing",0))</f>
        <v>130</v>
      </c>
      <c r="D40" s="58">
        <f>IF($B40="","",_xlfn.XLOOKUP($B40,[1]pillars_WIP!$B$7:$B$116,[1]pillars_WIP!$V$7:$V$116,"Missing",0))</f>
        <v>25677059</v>
      </c>
      <c r="E40" s="58">
        <f>IF($B40="","",_xlfn.XLOOKUP($B40,[1]pillars_WIP!$B$7:$B$116,[1]pillars_WIP!$W$7:$W$116,"Missing",0))</f>
        <v>7036976</v>
      </c>
      <c r="F40" s="58">
        <f>IF($B40="","",_xlfn.XLOOKUP($B40,[1]pillars_WIP!$B$7:$B$116,[1]pillars_WIP!$X$7:$X$116,"Missing",0))</f>
        <v>80</v>
      </c>
      <c r="G40" s="58">
        <f>IF($B40="","",_xlfn.XLOOKUP($B40,[1]pillars_WIP!$B$7:$B$116,[1]pillars_WIP!$Y$7:$Y$116,"Missing",0))</f>
        <v>50</v>
      </c>
      <c r="H40" s="58">
        <f>_xlfn.XLOOKUP($B40,[1]pillars_WIP!$B$7:$B$501,[1]pillars_WIP!$Y$7:$Y$501,"Missing",0)</f>
        <v>50</v>
      </c>
      <c r="I40" s="58">
        <f>_xlfn.XLOOKUP($B40,[1]pillars_WIP!$B$7:$B$501,[1]pillars_WIP!$Z$7:$Z$501,"Missing",0)</f>
        <v>3</v>
      </c>
      <c r="J40" s="58">
        <f>_xlfn.XLOOKUP($B40,[1]pillars_WIP!$B$7:$B$501,[1]pillars_WIP!$AA$7:$AA$501,"Missing",0)</f>
        <v>0</v>
      </c>
      <c r="K40" s="11">
        <f>IF(ISNUMBER(C40),IF(Params!$G$69=0,0,LN(1+C40)/LN(1+Params!$G$69)*100),"")</f>
        <v>65.433086494557074</v>
      </c>
      <c r="L40" s="11">
        <f>IF(ISNUMBER(D40),IF(Params!$G$70=0,0,LN(1+D40)/LN(1+Params!$G$70)*100),"")</f>
        <v>85.143509485739457</v>
      </c>
      <c r="M40" s="11">
        <f>IF(ISNUMBER(E40),IF(Params!$G$71=0,0,LN(1+E40)/LN(1+Params!$G$71)*100),"")</f>
        <v>80.230052760877442</v>
      </c>
      <c r="N40" s="11">
        <f t="shared" si="0"/>
        <v>80</v>
      </c>
      <c r="O40" s="11">
        <f t="shared" si="1"/>
        <v>50</v>
      </c>
      <c r="P40" s="11">
        <f t="shared" si="2"/>
        <v>100</v>
      </c>
      <c r="Q40" s="11">
        <f t="shared" si="3"/>
        <v>100</v>
      </c>
      <c r="R40" s="12">
        <f t="shared" si="4"/>
        <v>70.649827110190927</v>
      </c>
    </row>
    <row r="41" spans="1:18" s="52" customFormat="1" ht="20" customHeight="1">
      <c r="A41" s="45"/>
      <c r="B41" s="45"/>
      <c r="C41" s="51"/>
      <c r="D41" s="51"/>
      <c r="E41" s="51"/>
      <c r="F41" s="51"/>
      <c r="G41" s="51"/>
      <c r="H41" s="51"/>
      <c r="I41" s="51"/>
      <c r="J41" s="51"/>
      <c r="K41" s="49"/>
      <c r="L41" s="49"/>
      <c r="M41" s="49"/>
      <c r="N41" s="49"/>
      <c r="O41" s="49"/>
      <c r="P41" s="49"/>
      <c r="Q41" s="49"/>
      <c r="R41" s="50"/>
    </row>
    <row r="42" spans="1:18" ht="20" customHeight="1">
      <c r="A42" s="10"/>
      <c r="B42" s="10"/>
      <c r="C42" s="24"/>
      <c r="D42" s="24"/>
      <c r="E42" s="24"/>
      <c r="F42" s="24"/>
      <c r="G42" s="24"/>
      <c r="H42" s="24"/>
      <c r="I42" s="24"/>
      <c r="J42" s="24"/>
      <c r="K42" s="11"/>
      <c r="L42" s="11"/>
      <c r="M42" s="11"/>
      <c r="N42" s="11"/>
      <c r="O42" s="11"/>
      <c r="P42" s="11"/>
      <c r="Q42" s="11"/>
      <c r="R42" s="12"/>
    </row>
    <row r="43" spans="1:18" ht="20" customHeight="1">
      <c r="A43" s="78" t="s">
        <v>706</v>
      </c>
      <c r="B43" s="78"/>
      <c r="C43" s="24"/>
      <c r="D43" s="24"/>
      <c r="E43" s="24"/>
      <c r="F43" s="24"/>
      <c r="G43" s="24"/>
      <c r="H43" s="24"/>
      <c r="I43" s="24"/>
      <c r="J43" s="24"/>
      <c r="K43" s="11"/>
      <c r="L43" s="11"/>
      <c r="M43" s="11"/>
      <c r="N43" s="11"/>
      <c r="O43" s="11"/>
      <c r="P43" s="11"/>
      <c r="Q43" s="11"/>
      <c r="R43" s="12"/>
    </row>
    <row r="44" spans="1:18" ht="20" customHeight="1">
      <c r="A44" s="77" t="s">
        <v>711</v>
      </c>
      <c r="B44" s="77"/>
      <c r="C44" s="24"/>
      <c r="D44" s="24"/>
      <c r="E44" s="24"/>
      <c r="F44" s="24"/>
      <c r="G44" s="24"/>
      <c r="H44" s="24"/>
      <c r="I44" s="24"/>
      <c r="J44" s="24"/>
      <c r="K44" s="11"/>
      <c r="L44" s="11"/>
      <c r="M44" s="11"/>
      <c r="N44" s="11"/>
      <c r="O44" s="11"/>
      <c r="P44" s="11"/>
      <c r="Q44" s="11"/>
      <c r="R44" s="12"/>
    </row>
    <row r="45" spans="1:18" ht="20" customHeight="1">
      <c r="A45" s="10"/>
      <c r="B45" s="10"/>
      <c r="C45" s="24"/>
      <c r="D45" s="24"/>
      <c r="E45" s="24"/>
      <c r="F45" s="24"/>
      <c r="G45" s="24"/>
      <c r="H45" s="24"/>
      <c r="I45" s="24"/>
      <c r="J45" s="24"/>
      <c r="K45" s="11"/>
      <c r="L45" s="11"/>
      <c r="M45" s="11"/>
      <c r="N45" s="11"/>
      <c r="O45" s="11"/>
      <c r="P45" s="11"/>
      <c r="Q45" s="11"/>
      <c r="R45" s="12"/>
    </row>
    <row r="46" spans="1:18" ht="20" customHeight="1">
      <c r="A46" s="10"/>
      <c r="B46" s="10"/>
      <c r="C46" s="24"/>
      <c r="D46" s="24"/>
      <c r="E46" s="24"/>
      <c r="F46" s="24"/>
      <c r="G46" s="24"/>
      <c r="H46" s="24"/>
      <c r="I46" s="24"/>
      <c r="J46" s="24"/>
      <c r="K46" s="11"/>
      <c r="L46" s="11"/>
      <c r="M46" s="11"/>
      <c r="N46" s="11"/>
      <c r="O46" s="11"/>
      <c r="P46" s="11"/>
      <c r="Q46" s="11"/>
      <c r="R46" s="12"/>
    </row>
    <row r="47" spans="1:18" ht="20" customHeight="1">
      <c r="A47" s="107" t="s">
        <v>759</v>
      </c>
      <c r="B47" s="106"/>
      <c r="C47" s="24"/>
      <c r="D47" s="24"/>
      <c r="E47" s="24"/>
      <c r="F47" s="24"/>
      <c r="G47" s="24"/>
      <c r="H47" s="24"/>
      <c r="I47" s="24"/>
      <c r="J47" s="24"/>
      <c r="K47" s="11"/>
      <c r="L47" s="11"/>
      <c r="M47" s="11"/>
      <c r="N47" s="11"/>
      <c r="O47" s="11"/>
      <c r="P47" s="11"/>
      <c r="Q47" s="11"/>
      <c r="R47" s="12"/>
    </row>
    <row r="48" spans="1:18" ht="20" customHeight="1">
      <c r="A48" s="10" t="s">
        <v>757</v>
      </c>
      <c r="B48" s="10"/>
      <c r="C48" s="24"/>
      <c r="D48" s="24"/>
      <c r="E48" s="24"/>
      <c r="F48" s="24"/>
      <c r="G48" s="24"/>
      <c r="H48" s="24"/>
      <c r="I48" s="24"/>
      <c r="J48" s="24"/>
      <c r="K48" s="11"/>
      <c r="L48" s="11"/>
      <c r="M48" s="11"/>
      <c r="N48" s="11"/>
      <c r="O48" s="11"/>
      <c r="P48" s="11"/>
      <c r="Q48" s="11"/>
      <c r="R48" s="12"/>
    </row>
    <row r="49" spans="1:18" ht="20" customHeight="1">
      <c r="A49" s="10" t="s">
        <v>758</v>
      </c>
      <c r="B49" s="10"/>
      <c r="C49" s="24"/>
      <c r="D49" s="24"/>
      <c r="E49" s="24"/>
      <c r="F49" s="24"/>
      <c r="G49" s="24"/>
      <c r="H49" s="24"/>
      <c r="I49" s="24"/>
      <c r="J49" s="24"/>
      <c r="K49" s="11"/>
      <c r="L49" s="11"/>
      <c r="M49" s="11"/>
      <c r="N49" s="11"/>
      <c r="O49" s="11"/>
      <c r="P49" s="11"/>
      <c r="Q49" s="11"/>
      <c r="R49" s="12"/>
    </row>
    <row r="50" spans="1:18" ht="20" customHeight="1">
      <c r="A50" s="10"/>
      <c r="B50" s="10"/>
      <c r="C50" s="24"/>
      <c r="D50" s="24"/>
      <c r="E50" s="24"/>
      <c r="F50" s="24"/>
      <c r="G50" s="24"/>
      <c r="H50" s="24"/>
      <c r="I50" s="24"/>
      <c r="J50" s="24"/>
      <c r="K50" s="11"/>
      <c r="L50" s="11"/>
      <c r="M50" s="11"/>
      <c r="N50" s="11"/>
      <c r="O50" s="11"/>
      <c r="P50" s="11"/>
      <c r="Q50" s="11"/>
      <c r="R50" s="12"/>
    </row>
    <row r="51" spans="1:18" ht="20" customHeight="1">
      <c r="A51" s="10" t="s">
        <v>790</v>
      </c>
      <c r="B51" s="10"/>
      <c r="C51" s="24"/>
      <c r="D51" s="24"/>
      <c r="E51" s="24"/>
      <c r="F51" s="24"/>
      <c r="G51" s="24"/>
      <c r="H51" s="24"/>
      <c r="I51" s="24"/>
      <c r="J51" s="24"/>
      <c r="K51" s="11"/>
      <c r="L51" s="11"/>
      <c r="M51" s="11"/>
      <c r="N51" s="11"/>
      <c r="O51" s="11"/>
      <c r="P51" s="11"/>
      <c r="Q51" s="11"/>
      <c r="R51" s="12"/>
    </row>
    <row r="52" spans="1:18" ht="20" hidden="1" customHeight="1">
      <c r="A52" s="10" t="s">
        <v>791</v>
      </c>
      <c r="B52" s="10"/>
      <c r="C52" s="24"/>
      <c r="D52" s="24"/>
      <c r="E52" s="24"/>
      <c r="F52" s="24"/>
      <c r="G52" s="24"/>
      <c r="H52" s="24"/>
      <c r="I52" s="24"/>
      <c r="J52" s="24"/>
      <c r="K52" s="11"/>
      <c r="L52" s="11"/>
      <c r="M52" s="11"/>
      <c r="N52" s="11"/>
      <c r="O52" s="11"/>
      <c r="P52" s="11"/>
      <c r="Q52" s="11"/>
      <c r="R52" s="12"/>
    </row>
    <row r="53" spans="1:18" ht="20" hidden="1" customHeight="1">
      <c r="A53" s="10" t="s">
        <v>789</v>
      </c>
      <c r="B53" s="10"/>
      <c r="C53" s="24"/>
      <c r="D53" s="24"/>
      <c r="E53" s="24"/>
      <c r="F53" s="24"/>
      <c r="G53" s="24"/>
      <c r="H53" s="24"/>
      <c r="I53" s="24"/>
      <c r="J53" s="24"/>
      <c r="K53" s="11"/>
      <c r="L53" s="11"/>
      <c r="M53" s="11"/>
      <c r="N53" s="11"/>
      <c r="O53" s="11"/>
      <c r="P53" s="11"/>
      <c r="Q53" s="11"/>
      <c r="R53" s="12"/>
    </row>
    <row r="54" spans="1:18" ht="20" customHeight="1">
      <c r="A54" s="10" t="s">
        <v>872</v>
      </c>
      <c r="B54" s="10"/>
      <c r="C54" s="24"/>
      <c r="D54" s="24"/>
      <c r="E54" s="24"/>
      <c r="F54" s="24"/>
      <c r="G54" s="24"/>
      <c r="H54" s="24"/>
      <c r="I54" s="24"/>
      <c r="J54" s="24"/>
      <c r="K54" s="11"/>
      <c r="L54" s="11"/>
      <c r="M54" s="11"/>
      <c r="N54" s="11"/>
      <c r="O54" s="11"/>
      <c r="P54" s="11"/>
      <c r="Q54" s="11"/>
      <c r="R54" s="12"/>
    </row>
    <row r="55" spans="1:18" ht="20" customHeight="1">
      <c r="A55" s="10" t="s">
        <v>873</v>
      </c>
      <c r="B55" s="10"/>
      <c r="C55" s="24"/>
      <c r="D55" s="24"/>
      <c r="E55" s="24"/>
      <c r="F55" s="24"/>
      <c r="G55" s="24"/>
      <c r="H55" s="24"/>
      <c r="I55" s="24"/>
      <c r="J55" s="24"/>
      <c r="K55" s="11"/>
      <c r="L55" s="11"/>
      <c r="M55" s="11"/>
      <c r="N55" s="11"/>
      <c r="O55" s="11"/>
      <c r="P55" s="11"/>
      <c r="Q55" s="11"/>
      <c r="R55" s="12"/>
    </row>
    <row r="56" spans="1:18" ht="20" customHeight="1">
      <c r="A56" s="10"/>
      <c r="B56" s="10"/>
      <c r="C56" s="24"/>
      <c r="D56" s="24"/>
      <c r="E56" s="24"/>
      <c r="F56" s="24"/>
      <c r="G56" s="24"/>
      <c r="H56" s="24"/>
      <c r="I56" s="24"/>
      <c r="J56" s="24"/>
      <c r="K56" s="11"/>
      <c r="L56" s="11"/>
      <c r="M56" s="11"/>
      <c r="N56" s="11"/>
      <c r="O56" s="11"/>
      <c r="P56" s="11"/>
      <c r="Q56" s="11"/>
      <c r="R56" s="12"/>
    </row>
    <row r="57" spans="1:18" ht="20" customHeight="1">
      <c r="A57" s="10" t="s">
        <v>476</v>
      </c>
      <c r="B57" s="10" t="s">
        <v>180</v>
      </c>
      <c r="C57" s="24"/>
      <c r="D57" s="24"/>
      <c r="E57" s="24"/>
      <c r="F57" s="102">
        <v>0</v>
      </c>
      <c r="G57" s="102">
        <v>0</v>
      </c>
      <c r="H57" s="24"/>
      <c r="I57" s="24"/>
      <c r="J57" s="24"/>
      <c r="K57" s="108" t="s">
        <v>792</v>
      </c>
      <c r="L57" s="11"/>
      <c r="M57" s="11"/>
      <c r="N57" s="11"/>
      <c r="O57" s="11"/>
      <c r="P57" s="11"/>
      <c r="Q57" s="11"/>
      <c r="R57" s="12"/>
    </row>
    <row r="58" spans="1:18" ht="20" hidden="1" customHeight="1">
      <c r="A58" s="10" t="s">
        <v>430</v>
      </c>
      <c r="B58" s="10" t="s">
        <v>431</v>
      </c>
      <c r="C58" s="24"/>
      <c r="D58" s="24"/>
      <c r="E58" s="24"/>
      <c r="F58" s="102">
        <v>0</v>
      </c>
      <c r="G58" s="102">
        <v>0</v>
      </c>
      <c r="H58" s="24"/>
      <c r="I58" s="24"/>
      <c r="J58" s="24"/>
      <c r="K58" s="108" t="s">
        <v>793</v>
      </c>
      <c r="L58" s="11"/>
      <c r="M58" s="11"/>
      <c r="N58" s="11"/>
      <c r="O58" s="11"/>
      <c r="P58" s="11"/>
      <c r="Q58" s="11"/>
      <c r="R58" s="12"/>
    </row>
    <row r="59" spans="1:18" ht="20" hidden="1" customHeight="1">
      <c r="A59" s="10" t="s">
        <v>290</v>
      </c>
      <c r="B59" s="10" t="s">
        <v>291</v>
      </c>
      <c r="C59" s="24"/>
      <c r="D59" s="24"/>
      <c r="E59" s="24"/>
      <c r="F59" s="102">
        <v>0</v>
      </c>
      <c r="G59" s="102">
        <v>0</v>
      </c>
      <c r="H59" s="24"/>
      <c r="I59" s="24"/>
      <c r="J59" s="24"/>
      <c r="K59" s="108" t="s">
        <v>792</v>
      </c>
      <c r="L59" s="11"/>
      <c r="M59" s="11"/>
      <c r="N59" s="11"/>
      <c r="O59" s="11"/>
      <c r="P59" s="11"/>
      <c r="Q59" s="11"/>
      <c r="R59" s="12"/>
    </row>
    <row r="60" spans="1:18" ht="20" customHeight="1">
      <c r="A60" s="10" t="s">
        <v>405</v>
      </c>
      <c r="B60" s="10" t="s">
        <v>406</v>
      </c>
      <c r="C60" s="24"/>
      <c r="D60" s="24"/>
      <c r="E60" s="24"/>
      <c r="F60" s="102">
        <v>0</v>
      </c>
      <c r="G60" s="102">
        <v>0</v>
      </c>
      <c r="H60" s="24"/>
      <c r="I60" s="24"/>
      <c r="J60" s="24"/>
      <c r="K60" s="108" t="s">
        <v>794</v>
      </c>
      <c r="L60" s="11"/>
      <c r="M60" s="11"/>
      <c r="N60" s="11"/>
      <c r="O60" s="11"/>
      <c r="P60" s="11"/>
      <c r="Q60" s="11"/>
      <c r="R60" s="12"/>
    </row>
    <row r="61" spans="1:18" ht="20" customHeight="1">
      <c r="A61" s="10"/>
      <c r="B61" s="10"/>
      <c r="C61" s="24"/>
      <c r="D61" s="24"/>
      <c r="E61" s="24"/>
      <c r="F61" s="24"/>
      <c r="G61" s="24"/>
      <c r="H61" s="24"/>
      <c r="I61" s="24"/>
      <c r="J61" s="24"/>
      <c r="K61" s="11"/>
      <c r="L61" s="11"/>
      <c r="M61" s="11"/>
      <c r="N61" s="11"/>
      <c r="O61" s="11"/>
      <c r="P61" s="11"/>
      <c r="Q61" s="11"/>
      <c r="R61" s="12"/>
    </row>
    <row r="62" spans="1:18" ht="20" customHeight="1">
      <c r="A62" s="193"/>
      <c r="B62" s="193"/>
      <c r="C62" s="194"/>
      <c r="D62" s="194"/>
      <c r="E62" s="24"/>
      <c r="F62" s="24"/>
      <c r="G62" s="24"/>
      <c r="H62" s="24"/>
      <c r="I62" s="24"/>
      <c r="J62" s="24"/>
      <c r="K62" s="11"/>
      <c r="L62" s="11"/>
      <c r="M62" s="11"/>
      <c r="N62" s="11"/>
      <c r="O62" s="11"/>
      <c r="P62" s="11"/>
      <c r="Q62" s="11"/>
      <c r="R62" s="12"/>
    </row>
    <row r="63" spans="1:18" ht="20" hidden="1" customHeight="1">
      <c r="A63" s="107" t="s">
        <v>925</v>
      </c>
      <c r="B63" s="106"/>
      <c r="C63" s="106"/>
      <c r="D63" s="106"/>
      <c r="E63" s="106"/>
      <c r="F63" s="106"/>
      <c r="G63" s="106"/>
      <c r="H63" s="106"/>
      <c r="I63" s="24"/>
      <c r="J63" s="24"/>
      <c r="K63" s="11"/>
      <c r="L63" s="11"/>
      <c r="M63" s="11"/>
      <c r="N63" s="11"/>
      <c r="O63" s="11"/>
      <c r="P63" s="11"/>
      <c r="Q63" s="11"/>
      <c r="R63" s="12"/>
    </row>
    <row r="64" spans="1:18" ht="20" hidden="1" customHeight="1">
      <c r="A64" s="10" t="s">
        <v>2</v>
      </c>
      <c r="B64" s="10" t="s">
        <v>443</v>
      </c>
      <c r="C64" s="183" t="s">
        <v>463</v>
      </c>
      <c r="D64" s="183" t="s">
        <v>464</v>
      </c>
      <c r="E64" s="183" t="s">
        <v>797</v>
      </c>
      <c r="F64" s="183" t="s">
        <v>465</v>
      </c>
      <c r="G64" s="183" t="s">
        <v>466</v>
      </c>
      <c r="H64" s="183" t="s">
        <v>805</v>
      </c>
      <c r="I64" s="24"/>
      <c r="J64" s="24"/>
      <c r="K64" s="11"/>
      <c r="L64" s="11"/>
      <c r="M64" s="11"/>
      <c r="N64" s="11"/>
      <c r="O64" s="11"/>
      <c r="P64" s="11"/>
      <c r="Q64" s="11"/>
      <c r="R64" s="12"/>
    </row>
    <row r="65" spans="1:18" ht="20" hidden="1" customHeight="1">
      <c r="A65" s="10" t="str">
        <f>A5</f>
        <v>Australia</v>
      </c>
      <c r="B65" s="10" t="str">
        <f>B5</f>
        <v>AUS</v>
      </c>
      <c r="C65" s="43" cm="1">
        <f t="array" ref="C65">--(SUMPRODUCT(($B$48:$B$60=$B65)*(LEN($C$48:$C$60)&gt;0))&gt;0)</f>
        <v>0</v>
      </c>
      <c r="D65" s="43" cm="1">
        <f t="array" ref="D65">--(SUMPRODUCT(($B$48:$B$60=$B65)*(LEN($D$48:$D$60)&gt;0))&gt;0)</f>
        <v>0</v>
      </c>
      <c r="E65" s="43" cm="1">
        <f t="array" ref="E65">--(SUMPRODUCT(($B$48:$B$60=$B65)*(LEN($E$48:$E$60)&gt;0))&gt;0)</f>
        <v>0</v>
      </c>
      <c r="F65" s="43" cm="1">
        <f t="array" ref="F65">--(SUMPRODUCT(($B$48:$B$60=$B65)*(LEN($F$48:$F$60)&gt;0))&gt;0)</f>
        <v>0</v>
      </c>
      <c r="G65" s="43" cm="1">
        <f t="array" ref="G65">--(SUMPRODUCT(($B$48:$B$60=$B65)*(LEN($G$48:$G$60)&gt;0))&gt;0)</f>
        <v>0</v>
      </c>
      <c r="H65" s="43">
        <f>SUM(C65:G65)</f>
        <v>0</v>
      </c>
      <c r="I65" s="24"/>
      <c r="J65" s="24"/>
      <c r="K65" s="11"/>
      <c r="L65" s="11"/>
      <c r="M65" s="11"/>
      <c r="N65" s="11"/>
      <c r="O65" s="11"/>
      <c r="P65" s="11"/>
      <c r="Q65" s="11"/>
      <c r="R65" s="12"/>
    </row>
    <row r="66" spans="1:18" ht="20" hidden="1" customHeight="1">
      <c r="A66" s="10" t="str">
        <f t="shared" ref="A66:B66" si="5">A6</f>
        <v>Bangladesh</v>
      </c>
      <c r="B66" s="10" t="str">
        <f t="shared" si="5"/>
        <v>BGD</v>
      </c>
      <c r="C66" s="43" cm="1">
        <f t="array" ref="C66">--(SUMPRODUCT(($B$48:$B$60=$B66)*(LEN($C$48:$C$60)&gt;0))&gt;0)</f>
        <v>0</v>
      </c>
      <c r="D66" s="43" cm="1">
        <f t="array" ref="D66">--(SUMPRODUCT(($B$48:$B$60=$B66)*(LEN($D$48:$D$60)&gt;0))&gt;0)</f>
        <v>0</v>
      </c>
      <c r="E66" s="43" cm="1">
        <f t="array" ref="E66">--(SUMPRODUCT(($B$48:$B$60=$B66)*(LEN($E$48:$E$60)&gt;0))&gt;0)</f>
        <v>0</v>
      </c>
      <c r="F66" s="43" cm="1">
        <f t="array" ref="F66">--(SUMPRODUCT(($B$48:$B$60=$B66)*(LEN($F$48:$F$60)&gt;0))&gt;0)</f>
        <v>0</v>
      </c>
      <c r="G66" s="43" cm="1">
        <f t="array" ref="G66">--(SUMPRODUCT(($B$48:$B$60=$B66)*(LEN($G$48:$G$60)&gt;0))&gt;0)</f>
        <v>0</v>
      </c>
      <c r="H66" s="43">
        <f t="shared" ref="H66:H100" si="6">SUM(C66:G66)</f>
        <v>0</v>
      </c>
      <c r="I66" s="24"/>
      <c r="J66" s="24"/>
      <c r="K66" s="11"/>
      <c r="L66" s="11"/>
      <c r="M66" s="11"/>
      <c r="N66" s="11"/>
      <c r="O66" s="11"/>
      <c r="P66" s="11"/>
      <c r="Q66" s="11"/>
      <c r="R66" s="12"/>
    </row>
    <row r="67" spans="1:18" ht="20" hidden="1" customHeight="1">
      <c r="A67" s="10" t="str">
        <f t="shared" ref="A67:B67" si="7">A7</f>
        <v>Bosnia and Herzegovina</v>
      </c>
      <c r="B67" s="10" t="str">
        <f t="shared" si="7"/>
        <v>BIH</v>
      </c>
      <c r="C67" s="43" cm="1">
        <f t="array" ref="C67">--(SUMPRODUCT(($B$48:$B$60=$B67)*(LEN($C$48:$C$60)&gt;0))&gt;0)</f>
        <v>0</v>
      </c>
      <c r="D67" s="43" cm="1">
        <f t="array" ref="D67">--(SUMPRODUCT(($B$48:$B$60=$B67)*(LEN($D$48:$D$60)&gt;0))&gt;0)</f>
        <v>0</v>
      </c>
      <c r="E67" s="43" cm="1">
        <f t="array" ref="E67">--(SUMPRODUCT(($B$48:$B$60=$B67)*(LEN($E$48:$E$60)&gt;0))&gt;0)</f>
        <v>0</v>
      </c>
      <c r="F67" s="43" cm="1">
        <f t="array" ref="F67">--(SUMPRODUCT(($B$48:$B$60=$B67)*(LEN($F$48:$F$60)&gt;0))&gt;0)</f>
        <v>0</v>
      </c>
      <c r="G67" s="43" cm="1">
        <f t="array" ref="G67">--(SUMPRODUCT(($B$48:$B$60=$B67)*(LEN($G$48:$G$60)&gt;0))&gt;0)</f>
        <v>0</v>
      </c>
      <c r="H67" s="43">
        <f t="shared" si="6"/>
        <v>0</v>
      </c>
      <c r="I67" s="24"/>
      <c r="J67" s="24"/>
      <c r="K67" s="11"/>
      <c r="L67" s="11"/>
      <c r="M67" s="11"/>
      <c r="N67" s="11"/>
      <c r="O67" s="11"/>
      <c r="P67" s="11"/>
      <c r="Q67" s="11"/>
      <c r="R67" s="12"/>
    </row>
    <row r="68" spans="1:18" ht="20" hidden="1" customHeight="1">
      <c r="A68" s="10" t="str">
        <f t="shared" ref="A68:B68" si="8">A8</f>
        <v>Brazil</v>
      </c>
      <c r="B68" s="10" t="str">
        <f t="shared" si="8"/>
        <v>BRA</v>
      </c>
      <c r="C68" s="43" cm="1">
        <f t="array" ref="C68">--(SUMPRODUCT(($B$48:$B$60=$B68)*(LEN($C$48:$C$60)&gt;0))&gt;0)</f>
        <v>0</v>
      </c>
      <c r="D68" s="43" cm="1">
        <f t="array" ref="D68">--(SUMPRODUCT(($B$48:$B$60=$B68)*(LEN($D$48:$D$60)&gt;0))&gt;0)</f>
        <v>0</v>
      </c>
      <c r="E68" s="43" cm="1">
        <f t="array" ref="E68">--(SUMPRODUCT(($B$48:$B$60=$B68)*(LEN($E$48:$E$60)&gt;0))&gt;0)</f>
        <v>0</v>
      </c>
      <c r="F68" s="43" cm="1">
        <f t="array" ref="F68">--(SUMPRODUCT(($B$48:$B$60=$B68)*(LEN($F$48:$F$60)&gt;0))&gt;0)</f>
        <v>0</v>
      </c>
      <c r="G68" s="43" cm="1">
        <f t="array" ref="G68">--(SUMPRODUCT(($B$48:$B$60=$B68)*(LEN($G$48:$G$60)&gt;0))&gt;0)</f>
        <v>0</v>
      </c>
      <c r="H68" s="43">
        <f t="shared" si="6"/>
        <v>0</v>
      </c>
      <c r="I68" s="24"/>
      <c r="J68" s="24"/>
      <c r="K68" s="11"/>
      <c r="L68" s="11"/>
      <c r="M68" s="11"/>
      <c r="N68" s="11"/>
      <c r="O68" s="11"/>
      <c r="P68" s="11"/>
      <c r="Q68" s="11"/>
      <c r="R68" s="12"/>
    </row>
    <row r="69" spans="1:18" ht="20" hidden="1" customHeight="1">
      <c r="A69" s="10" t="str">
        <f t="shared" ref="A69:B69" si="9">A9</f>
        <v>Bulgaria</v>
      </c>
      <c r="B69" s="10" t="str">
        <f t="shared" si="9"/>
        <v>BGR</v>
      </c>
      <c r="C69" s="43" cm="1">
        <f t="array" ref="C69">--(SUMPRODUCT(($B$48:$B$60=$B69)*(LEN($C$48:$C$60)&gt;0))&gt;0)</f>
        <v>0</v>
      </c>
      <c r="D69" s="43" cm="1">
        <f t="array" ref="D69">--(SUMPRODUCT(($B$48:$B$60=$B69)*(LEN($D$48:$D$60)&gt;0))&gt;0)</f>
        <v>0</v>
      </c>
      <c r="E69" s="43" cm="1">
        <f t="array" ref="E69">--(SUMPRODUCT(($B$48:$B$60=$B69)*(LEN($E$48:$E$60)&gt;0))&gt;0)</f>
        <v>0</v>
      </c>
      <c r="F69" s="43" cm="1">
        <f t="array" ref="F69">--(SUMPRODUCT(($B$48:$B$60=$B69)*(LEN($F$48:$F$60)&gt;0))&gt;0)</f>
        <v>0</v>
      </c>
      <c r="G69" s="43" cm="1">
        <f t="array" ref="G69">--(SUMPRODUCT(($B$48:$B$60=$B69)*(LEN($G$48:$G$60)&gt;0))&gt;0)</f>
        <v>0</v>
      </c>
      <c r="H69" s="43">
        <f t="shared" si="6"/>
        <v>0</v>
      </c>
      <c r="I69" s="24"/>
      <c r="J69" s="24"/>
      <c r="K69" s="11"/>
      <c r="L69" s="11"/>
      <c r="M69" s="11"/>
      <c r="N69" s="11"/>
      <c r="O69" s="11"/>
      <c r="P69" s="11"/>
      <c r="Q69" s="11"/>
      <c r="R69" s="12"/>
    </row>
    <row r="70" spans="1:18" ht="20" hidden="1" customHeight="1">
      <c r="A70" s="10" t="str">
        <f t="shared" ref="A70:B70" si="10">A10</f>
        <v>Cambodia</v>
      </c>
      <c r="B70" s="10" t="str">
        <f t="shared" si="10"/>
        <v>KHM</v>
      </c>
      <c r="C70" s="43" cm="1">
        <f t="array" ref="C70">--(SUMPRODUCT(($B$48:$B$60=$B70)*(LEN($C$48:$C$60)&gt;0))&gt;0)</f>
        <v>0</v>
      </c>
      <c r="D70" s="43" cm="1">
        <f t="array" ref="D70">--(SUMPRODUCT(($B$48:$B$60=$B70)*(LEN($D$48:$D$60)&gt;0))&gt;0)</f>
        <v>0</v>
      </c>
      <c r="E70" s="43" cm="1">
        <f t="array" ref="E70">--(SUMPRODUCT(($B$48:$B$60=$B70)*(LEN($E$48:$E$60)&gt;0))&gt;0)</f>
        <v>0</v>
      </c>
      <c r="F70" s="43" cm="1">
        <f t="array" ref="F70">--(SUMPRODUCT(($B$48:$B$60=$B70)*(LEN($F$48:$F$60)&gt;0))&gt;0)</f>
        <v>0</v>
      </c>
      <c r="G70" s="43" cm="1">
        <f t="array" ref="G70">--(SUMPRODUCT(($B$48:$B$60=$B70)*(LEN($G$48:$G$60)&gt;0))&gt;0)</f>
        <v>0</v>
      </c>
      <c r="H70" s="43">
        <f t="shared" si="6"/>
        <v>0</v>
      </c>
      <c r="I70" s="24"/>
      <c r="J70" s="24"/>
      <c r="K70" s="11"/>
      <c r="L70" s="11"/>
      <c r="M70" s="11"/>
      <c r="N70" s="11"/>
      <c r="O70" s="11"/>
      <c r="P70" s="11"/>
      <c r="Q70" s="11"/>
      <c r="R70" s="12"/>
    </row>
    <row r="71" spans="1:18" ht="20" hidden="1" customHeight="1">
      <c r="A71" s="10" t="str">
        <f t="shared" ref="A71:B71" si="11">A11</f>
        <v>Canada</v>
      </c>
      <c r="B71" s="10" t="str">
        <f t="shared" si="11"/>
        <v>CAN</v>
      </c>
      <c r="C71" s="43" cm="1">
        <f t="array" ref="C71">--(SUMPRODUCT(($B$48:$B$60=$B71)*(LEN($C$48:$C$60)&gt;0))&gt;0)</f>
        <v>0</v>
      </c>
      <c r="D71" s="43" cm="1">
        <f t="array" ref="D71">--(SUMPRODUCT(($B$48:$B$60=$B71)*(LEN($D$48:$D$60)&gt;0))&gt;0)</f>
        <v>0</v>
      </c>
      <c r="E71" s="43" cm="1">
        <f t="array" ref="E71">--(SUMPRODUCT(($B$48:$B$60=$B71)*(LEN($E$48:$E$60)&gt;0))&gt;0)</f>
        <v>0</v>
      </c>
      <c r="F71" s="43" cm="1">
        <f t="array" ref="F71">--(SUMPRODUCT(($B$48:$B$60=$B71)*(LEN($F$48:$F$60)&gt;0))&gt;0)</f>
        <v>0</v>
      </c>
      <c r="G71" s="43" cm="1">
        <f t="array" ref="G71">--(SUMPRODUCT(($B$48:$B$60=$B71)*(LEN($G$48:$G$60)&gt;0))&gt;0)</f>
        <v>0</v>
      </c>
      <c r="H71" s="43">
        <f t="shared" si="6"/>
        <v>0</v>
      </c>
      <c r="I71" s="24"/>
      <c r="J71" s="24"/>
      <c r="K71" s="17"/>
      <c r="L71" s="17"/>
      <c r="M71" s="17"/>
      <c r="N71" s="17"/>
      <c r="O71" s="17"/>
      <c r="P71" s="17"/>
      <c r="Q71" s="11"/>
      <c r="R71" s="12"/>
    </row>
    <row r="72" spans="1:18" ht="20" hidden="1" customHeight="1">
      <c r="A72" s="10" t="str">
        <f t="shared" ref="A72:B72" si="12">A12</f>
        <v>Chile</v>
      </c>
      <c r="B72" s="10" t="str">
        <f t="shared" si="12"/>
        <v>CHL</v>
      </c>
      <c r="C72" s="43" cm="1">
        <f t="array" ref="C72">--(SUMPRODUCT(($B$48:$B$60=$B72)*(LEN($C$48:$C$60)&gt;0))&gt;0)</f>
        <v>0</v>
      </c>
      <c r="D72" s="43" cm="1">
        <f t="array" ref="D72">--(SUMPRODUCT(($B$48:$B$60=$B72)*(LEN($D$48:$D$60)&gt;0))&gt;0)</f>
        <v>0</v>
      </c>
      <c r="E72" s="43" cm="1">
        <f t="array" ref="E72">--(SUMPRODUCT(($B$48:$B$60=$B72)*(LEN($E$48:$E$60)&gt;0))&gt;0)</f>
        <v>0</v>
      </c>
      <c r="F72" s="43" cm="1">
        <f t="array" ref="F72">--(SUMPRODUCT(($B$48:$B$60=$B72)*(LEN($F$48:$F$60)&gt;0))&gt;0)</f>
        <v>0</v>
      </c>
      <c r="G72" s="43" cm="1">
        <f t="array" ref="G72">--(SUMPRODUCT(($B$48:$B$60=$B72)*(LEN($G$48:$G$60)&gt;0))&gt;0)</f>
        <v>0</v>
      </c>
      <c r="H72" s="43">
        <f t="shared" si="6"/>
        <v>0</v>
      </c>
      <c r="I72" s="24"/>
      <c r="J72" s="24"/>
      <c r="K72" s="11"/>
      <c r="L72" s="11"/>
      <c r="M72" s="11"/>
      <c r="N72" s="11"/>
      <c r="O72" s="11"/>
      <c r="P72" s="11"/>
      <c r="Q72" s="11"/>
      <c r="R72" s="12"/>
    </row>
    <row r="73" spans="1:18" ht="20" hidden="1" customHeight="1">
      <c r="A73" s="10" t="str">
        <f t="shared" ref="A73:B73" si="13">A13</f>
        <v>China</v>
      </c>
      <c r="B73" s="10" t="str">
        <f t="shared" si="13"/>
        <v>CHN</v>
      </c>
      <c r="C73" s="43" cm="1">
        <f t="array" ref="C73">--(SUMPRODUCT(($B$48:$B$60=$B73)*(LEN($C$48:$C$60)&gt;0))&gt;0)</f>
        <v>0</v>
      </c>
      <c r="D73" s="43" cm="1">
        <f t="array" ref="D73">--(SUMPRODUCT(($B$48:$B$60=$B73)*(LEN($D$48:$D$60)&gt;0))&gt;0)</f>
        <v>0</v>
      </c>
      <c r="E73" s="43" cm="1">
        <f t="array" ref="E73">--(SUMPRODUCT(($B$48:$B$60=$B73)*(LEN($E$48:$E$60)&gt;0))&gt;0)</f>
        <v>0</v>
      </c>
      <c r="F73" s="43" cm="1">
        <f t="array" ref="F73">--(SUMPRODUCT(($B$48:$B$60=$B73)*(LEN($F$48:$F$60)&gt;0))&gt;0)</f>
        <v>0</v>
      </c>
      <c r="G73" s="43" cm="1">
        <f t="array" ref="G73">--(SUMPRODUCT(($B$48:$B$60=$B73)*(LEN($G$48:$G$60)&gt;0))&gt;0)</f>
        <v>0</v>
      </c>
      <c r="H73" s="43">
        <f t="shared" si="6"/>
        <v>0</v>
      </c>
      <c r="I73" s="24"/>
      <c r="J73" s="24"/>
      <c r="K73" s="11"/>
      <c r="L73" s="11"/>
      <c r="M73" s="11"/>
      <c r="N73" s="11"/>
      <c r="O73" s="11"/>
      <c r="P73" s="11"/>
      <c r="Q73" s="11"/>
      <c r="R73" s="12"/>
    </row>
    <row r="74" spans="1:18" ht="20" hidden="1" customHeight="1">
      <c r="A74" s="10" t="str">
        <f t="shared" ref="A74:B74" si="14">A14</f>
        <v>Czech Republic</v>
      </c>
      <c r="B74" s="10" t="str">
        <f t="shared" si="14"/>
        <v>CZE</v>
      </c>
      <c r="C74" s="43" cm="1">
        <f t="array" ref="C74">--(SUMPRODUCT(($B$48:$B$60=$B74)*(LEN($C$48:$C$60)&gt;0))&gt;0)</f>
        <v>0</v>
      </c>
      <c r="D74" s="43" cm="1">
        <f t="array" ref="D74">--(SUMPRODUCT(($B$48:$B$60=$B74)*(LEN($D$48:$D$60)&gt;0))&gt;0)</f>
        <v>0</v>
      </c>
      <c r="E74" s="43" cm="1">
        <f t="array" ref="E74">--(SUMPRODUCT(($B$48:$B$60=$B74)*(LEN($E$48:$E$60)&gt;0))&gt;0)</f>
        <v>0</v>
      </c>
      <c r="F74" s="43" cm="1">
        <f t="array" ref="F74">--(SUMPRODUCT(($B$48:$B$60=$B74)*(LEN($F$48:$F$60)&gt;0))&gt;0)</f>
        <v>0</v>
      </c>
      <c r="G74" s="43" cm="1">
        <f t="array" ref="G74">--(SUMPRODUCT(($B$48:$B$60=$B74)*(LEN($G$48:$G$60)&gt;0))&gt;0)</f>
        <v>0</v>
      </c>
      <c r="H74" s="43">
        <f t="shared" si="6"/>
        <v>0</v>
      </c>
      <c r="I74" s="24"/>
      <c r="J74" s="24"/>
      <c r="K74" s="11"/>
      <c r="L74" s="11"/>
      <c r="M74" s="11"/>
      <c r="N74" s="11"/>
      <c r="O74" s="11"/>
      <c r="P74" s="11"/>
      <c r="Q74" s="11"/>
      <c r="R74" s="12"/>
    </row>
    <row r="75" spans="1:18" ht="20" hidden="1" customHeight="1">
      <c r="A75" s="10" t="str">
        <f t="shared" ref="A75:B75" si="15">A15</f>
        <v>Dominican Republic</v>
      </c>
      <c r="B75" s="10" t="str">
        <f t="shared" si="15"/>
        <v>DOM</v>
      </c>
      <c r="C75" s="43" cm="1">
        <f t="array" ref="C75">--(SUMPRODUCT(($B$48:$B$60=$B75)*(LEN($C$48:$C$60)&gt;0))&gt;0)</f>
        <v>0</v>
      </c>
      <c r="D75" s="43" cm="1">
        <f t="array" ref="D75">--(SUMPRODUCT(($B$48:$B$60=$B75)*(LEN($D$48:$D$60)&gt;0))&gt;0)</f>
        <v>0</v>
      </c>
      <c r="E75" s="43" cm="1">
        <f t="array" ref="E75">--(SUMPRODUCT(($B$48:$B$60=$B75)*(LEN($E$48:$E$60)&gt;0))&gt;0)</f>
        <v>0</v>
      </c>
      <c r="F75" s="43" cm="1">
        <f t="array" ref="F75">--(SUMPRODUCT(($B$48:$B$60=$B75)*(LEN($F$48:$F$60)&gt;0))&gt;0)</f>
        <v>0</v>
      </c>
      <c r="G75" s="43" cm="1">
        <f t="array" ref="G75">--(SUMPRODUCT(($B$48:$B$60=$B75)*(LEN($G$48:$G$60)&gt;0))&gt;0)</f>
        <v>0</v>
      </c>
      <c r="H75" s="43">
        <f t="shared" si="6"/>
        <v>0</v>
      </c>
      <c r="I75" s="24"/>
      <c r="J75" s="24"/>
      <c r="K75" s="11"/>
      <c r="L75" s="11"/>
      <c r="M75" s="11"/>
      <c r="N75" s="11"/>
      <c r="O75" s="11"/>
      <c r="P75" s="11"/>
      <c r="Q75" s="11"/>
      <c r="R75" s="12"/>
    </row>
    <row r="76" spans="1:18" ht="20" hidden="1" customHeight="1">
      <c r="A76" s="10" t="str">
        <f t="shared" ref="A76:B76" si="16">A16</f>
        <v>Germany</v>
      </c>
      <c r="B76" s="10" t="str">
        <f t="shared" si="16"/>
        <v>DEU</v>
      </c>
      <c r="C76" s="43" cm="1">
        <f t="array" ref="C76">--(SUMPRODUCT(($B$48:$B$60=$B76)*(LEN($C$48:$C$60)&gt;0))&gt;0)</f>
        <v>0</v>
      </c>
      <c r="D76" s="43" cm="1">
        <f t="array" ref="D76">--(SUMPRODUCT(($B$48:$B$60=$B76)*(LEN($D$48:$D$60)&gt;0))&gt;0)</f>
        <v>0</v>
      </c>
      <c r="E76" s="43" cm="1">
        <f t="array" ref="E76">--(SUMPRODUCT(($B$48:$B$60=$B76)*(LEN($E$48:$E$60)&gt;0))&gt;0)</f>
        <v>0</v>
      </c>
      <c r="F76" s="43" cm="1">
        <f t="array" ref="F76">--(SUMPRODUCT(($B$48:$B$60=$B76)*(LEN($F$48:$F$60)&gt;0))&gt;0)</f>
        <v>0</v>
      </c>
      <c r="G76" s="43" cm="1">
        <f t="array" ref="G76">--(SUMPRODUCT(($B$48:$B$60=$B76)*(LEN($G$48:$G$60)&gt;0))&gt;0)</f>
        <v>0</v>
      </c>
      <c r="H76" s="43">
        <f t="shared" si="6"/>
        <v>0</v>
      </c>
      <c r="I76" s="24"/>
      <c r="J76" s="24"/>
      <c r="K76" s="11"/>
      <c r="L76" s="11"/>
      <c r="M76" s="11"/>
      <c r="N76" s="11"/>
      <c r="O76" s="11"/>
      <c r="P76" s="11"/>
      <c r="Q76" s="11"/>
      <c r="R76" s="12"/>
    </row>
    <row r="77" spans="1:18" ht="20" hidden="1" customHeight="1">
      <c r="A77" s="10" t="str">
        <f t="shared" ref="A77:B77" si="17">A17</f>
        <v>Hong Kong</v>
      </c>
      <c r="B77" s="10" t="str">
        <f t="shared" si="17"/>
        <v>HKG</v>
      </c>
      <c r="C77" s="43" cm="1">
        <f t="array" ref="C77">--(SUMPRODUCT(($B$48:$B$60=$B77)*(LEN($C$48:$C$60)&gt;0))&gt;0)</f>
        <v>0</v>
      </c>
      <c r="D77" s="43" cm="1">
        <f t="array" ref="D77">--(SUMPRODUCT(($B$48:$B$60=$B77)*(LEN($D$48:$D$60)&gt;0))&gt;0)</f>
        <v>0</v>
      </c>
      <c r="E77" s="43" cm="1">
        <f t="array" ref="E77">--(SUMPRODUCT(($B$48:$B$60=$B77)*(LEN($E$48:$E$60)&gt;0))&gt;0)</f>
        <v>0</v>
      </c>
      <c r="F77" s="43" cm="1">
        <f t="array" ref="F77">--(SUMPRODUCT(($B$48:$B$60=$B77)*(LEN($F$48:$F$60)&gt;0))&gt;0)</f>
        <v>1</v>
      </c>
      <c r="G77" s="43" cm="1">
        <f t="array" ref="G77">--(SUMPRODUCT(($B$48:$B$60=$B77)*(LEN($G$48:$G$60)&gt;0))&gt;0)</f>
        <v>1</v>
      </c>
      <c r="H77" s="43">
        <f t="shared" si="6"/>
        <v>2</v>
      </c>
      <c r="I77" s="24"/>
      <c r="J77" s="24"/>
      <c r="K77" s="11"/>
      <c r="L77" s="11"/>
      <c r="M77" s="11"/>
      <c r="N77" s="11"/>
      <c r="O77" s="11"/>
      <c r="P77" s="11"/>
      <c r="Q77" s="11"/>
      <c r="R77" s="12"/>
    </row>
    <row r="78" spans="1:18" ht="20" hidden="1" customHeight="1">
      <c r="A78" s="10" t="str">
        <f t="shared" ref="A78:B78" si="18">A18</f>
        <v>India</v>
      </c>
      <c r="B78" s="10" t="str">
        <f t="shared" si="18"/>
        <v>IND</v>
      </c>
      <c r="C78" s="43" cm="1">
        <f t="array" ref="C78">--(SUMPRODUCT(($B$48:$B$60=$B78)*(LEN($C$48:$C$60)&gt;0))&gt;0)</f>
        <v>0</v>
      </c>
      <c r="D78" s="43" cm="1">
        <f t="array" ref="D78">--(SUMPRODUCT(($B$48:$B$60=$B78)*(LEN($D$48:$D$60)&gt;0))&gt;0)</f>
        <v>0</v>
      </c>
      <c r="E78" s="43" cm="1">
        <f t="array" ref="E78">--(SUMPRODUCT(($B$48:$B$60=$B78)*(LEN($E$48:$E$60)&gt;0))&gt;0)</f>
        <v>0</v>
      </c>
      <c r="F78" s="43" cm="1">
        <f t="array" ref="F78">--(SUMPRODUCT(($B$48:$B$60=$B78)*(LEN($F$48:$F$60)&gt;0))&gt;0)</f>
        <v>0</v>
      </c>
      <c r="G78" s="43" cm="1">
        <f t="array" ref="G78">--(SUMPRODUCT(($B$48:$B$60=$B78)*(LEN($G$48:$G$60)&gt;0))&gt;0)</f>
        <v>0</v>
      </c>
      <c r="H78" s="43">
        <f t="shared" si="6"/>
        <v>0</v>
      </c>
      <c r="I78" s="24"/>
      <c r="J78" s="24"/>
      <c r="K78" s="11"/>
      <c r="L78" s="11"/>
      <c r="M78" s="11"/>
      <c r="N78" s="11"/>
      <c r="O78" s="11"/>
      <c r="P78" s="11"/>
      <c r="Q78" s="11"/>
      <c r="R78" s="12"/>
    </row>
    <row r="79" spans="1:18" ht="20" hidden="1" customHeight="1">
      <c r="A79" s="10" t="str">
        <f t="shared" ref="A79:B79" si="19">A19</f>
        <v>Indonesia</v>
      </c>
      <c r="B79" s="10" t="str">
        <f t="shared" si="19"/>
        <v>IDN</v>
      </c>
      <c r="C79" s="43" cm="1">
        <f t="array" ref="C79">--(SUMPRODUCT(($B$48:$B$60=$B79)*(LEN($C$48:$C$60)&gt;0))&gt;0)</f>
        <v>0</v>
      </c>
      <c r="D79" s="43" cm="1">
        <f t="array" ref="D79">--(SUMPRODUCT(($B$48:$B$60=$B79)*(LEN($D$48:$D$60)&gt;0))&gt;0)</f>
        <v>0</v>
      </c>
      <c r="E79" s="43" cm="1">
        <f t="array" ref="E79">--(SUMPRODUCT(($B$48:$B$60=$B79)*(LEN($E$48:$E$60)&gt;0))&gt;0)</f>
        <v>0</v>
      </c>
      <c r="F79" s="43" cm="1">
        <f t="array" ref="F79">--(SUMPRODUCT(($B$48:$B$60=$B79)*(LEN($F$48:$F$60)&gt;0))&gt;0)</f>
        <v>0</v>
      </c>
      <c r="G79" s="43" cm="1">
        <f t="array" ref="G79">--(SUMPRODUCT(($B$48:$B$60=$B79)*(LEN($G$48:$G$60)&gt;0))&gt;0)</f>
        <v>0</v>
      </c>
      <c r="H79" s="43">
        <f t="shared" si="6"/>
        <v>0</v>
      </c>
      <c r="I79" s="24"/>
      <c r="J79" s="24"/>
      <c r="K79" s="11"/>
      <c r="L79" s="11"/>
      <c r="M79" s="11"/>
      <c r="N79" s="11"/>
      <c r="O79" s="11"/>
      <c r="P79" s="11"/>
      <c r="Q79" s="11"/>
      <c r="R79" s="12"/>
    </row>
    <row r="80" spans="1:18" ht="20" hidden="1" customHeight="1">
      <c r="A80" s="10" t="str">
        <f t="shared" ref="A80:B80" si="20">A20</f>
        <v>Japan</v>
      </c>
      <c r="B80" s="10" t="str">
        <f t="shared" si="20"/>
        <v>JPN</v>
      </c>
      <c r="C80" s="43" cm="1">
        <f t="array" ref="C80">--(SUMPRODUCT(($B$48:$B$60=$B80)*(LEN($C$48:$C$60)&gt;0))&gt;0)</f>
        <v>0</v>
      </c>
      <c r="D80" s="43" cm="1">
        <f t="array" ref="D80">--(SUMPRODUCT(($B$48:$B$60=$B80)*(LEN($D$48:$D$60)&gt;0))&gt;0)</f>
        <v>0</v>
      </c>
      <c r="E80" s="43" cm="1">
        <f t="array" ref="E80">--(SUMPRODUCT(($B$48:$B$60=$B80)*(LEN($E$48:$E$60)&gt;0))&gt;0)</f>
        <v>0</v>
      </c>
      <c r="F80" s="43" cm="1">
        <f t="array" ref="F80">--(SUMPRODUCT(($B$48:$B$60=$B80)*(LEN($F$48:$F$60)&gt;0))&gt;0)</f>
        <v>0</v>
      </c>
      <c r="G80" s="43" cm="1">
        <f t="array" ref="G80">--(SUMPRODUCT(($B$48:$B$60=$B80)*(LEN($G$48:$G$60)&gt;0))&gt;0)</f>
        <v>0</v>
      </c>
      <c r="H80" s="43">
        <f t="shared" si="6"/>
        <v>0</v>
      </c>
      <c r="I80" s="24"/>
      <c r="J80" s="24"/>
      <c r="K80" s="11"/>
      <c r="L80" s="11"/>
      <c r="M80" s="11"/>
      <c r="N80" s="11"/>
      <c r="O80" s="11"/>
      <c r="P80" s="11"/>
      <c r="Q80" s="11"/>
      <c r="R80" s="12"/>
    </row>
    <row r="81" spans="1:18" ht="20" hidden="1" customHeight="1">
      <c r="A81" s="10" t="str">
        <f t="shared" ref="A81:B81" si="21">A21</f>
        <v>Kazakhstan</v>
      </c>
      <c r="B81" s="10" t="str">
        <f t="shared" si="21"/>
        <v>KAZ</v>
      </c>
      <c r="C81" s="43" cm="1">
        <f t="array" ref="C81">--(SUMPRODUCT(($B$48:$B$60=$B81)*(LEN($C$48:$C$60)&gt;0))&gt;0)</f>
        <v>0</v>
      </c>
      <c r="D81" s="43" cm="1">
        <f t="array" ref="D81">--(SUMPRODUCT(($B$48:$B$60=$B81)*(LEN($D$48:$D$60)&gt;0))&gt;0)</f>
        <v>0</v>
      </c>
      <c r="E81" s="43" cm="1">
        <f t="array" ref="E81">--(SUMPRODUCT(($B$48:$B$60=$B81)*(LEN($E$48:$E$60)&gt;0))&gt;0)</f>
        <v>0</v>
      </c>
      <c r="F81" s="43" cm="1">
        <f t="array" ref="F81">--(SUMPRODUCT(($B$48:$B$60=$B81)*(LEN($F$48:$F$60)&gt;0))&gt;0)</f>
        <v>0</v>
      </c>
      <c r="G81" s="43" cm="1">
        <f t="array" ref="G81">--(SUMPRODUCT(($B$48:$B$60=$B81)*(LEN($G$48:$G$60)&gt;0))&gt;0)</f>
        <v>0</v>
      </c>
      <c r="H81" s="43">
        <f t="shared" si="6"/>
        <v>0</v>
      </c>
      <c r="I81" s="24"/>
      <c r="J81" s="24"/>
      <c r="K81" s="11"/>
      <c r="L81" s="11"/>
      <c r="M81" s="11"/>
      <c r="N81" s="11"/>
      <c r="O81" s="11"/>
      <c r="P81" s="11"/>
      <c r="Q81" s="11"/>
      <c r="R81" s="12"/>
    </row>
    <row r="82" spans="1:18" ht="20" hidden="1" customHeight="1">
      <c r="A82" s="10" t="str">
        <f t="shared" ref="A82:B82" si="22">A22</f>
        <v>Laos</v>
      </c>
      <c r="B82" s="10" t="str">
        <f t="shared" si="22"/>
        <v>LAO</v>
      </c>
      <c r="C82" s="43" cm="1">
        <f t="array" ref="C82">--(SUMPRODUCT(($B$48:$B$60=$B82)*(LEN($C$48:$C$60)&gt;0))&gt;0)</f>
        <v>0</v>
      </c>
      <c r="D82" s="43" cm="1">
        <f t="array" ref="D82">--(SUMPRODUCT(($B$48:$B$60=$B82)*(LEN($D$48:$D$60)&gt;0))&gt;0)</f>
        <v>0</v>
      </c>
      <c r="E82" s="43" cm="1">
        <f t="array" ref="E82">--(SUMPRODUCT(($B$48:$B$60=$B82)*(LEN($E$48:$E$60)&gt;0))&gt;0)</f>
        <v>0</v>
      </c>
      <c r="F82" s="43" cm="1">
        <f t="array" ref="F82">--(SUMPRODUCT(($B$48:$B$60=$B82)*(LEN($F$48:$F$60)&gt;0))&gt;0)</f>
        <v>0</v>
      </c>
      <c r="G82" s="43" cm="1">
        <f t="array" ref="G82">--(SUMPRODUCT(($B$48:$B$60=$B82)*(LEN($G$48:$G$60)&gt;0))&gt;0)</f>
        <v>0</v>
      </c>
      <c r="H82" s="43">
        <f t="shared" si="6"/>
        <v>0</v>
      </c>
      <c r="I82" s="24"/>
      <c r="J82" s="24"/>
      <c r="K82" s="11"/>
      <c r="L82" s="11"/>
      <c r="M82" s="11"/>
      <c r="N82" s="11"/>
      <c r="O82" s="11"/>
      <c r="P82" s="11"/>
      <c r="Q82" s="11"/>
      <c r="R82" s="12"/>
    </row>
    <row r="83" spans="1:18" ht="20" hidden="1" customHeight="1">
      <c r="A83" s="10" t="str">
        <f t="shared" ref="A83:B83" si="23">A23</f>
        <v>Malaysia</v>
      </c>
      <c r="B83" s="10" t="str">
        <f t="shared" si="23"/>
        <v>MYS</v>
      </c>
      <c r="C83" s="43" cm="1">
        <f t="array" ref="C83">--(SUMPRODUCT(($B$48:$B$60=$B83)*(LEN($C$48:$C$60)&gt;0))&gt;0)</f>
        <v>0</v>
      </c>
      <c r="D83" s="43" cm="1">
        <f t="array" ref="D83">--(SUMPRODUCT(($B$48:$B$60=$B83)*(LEN($D$48:$D$60)&gt;0))&gt;0)</f>
        <v>0</v>
      </c>
      <c r="E83" s="43" cm="1">
        <f t="array" ref="E83">--(SUMPRODUCT(($B$48:$B$60=$B83)*(LEN($E$48:$E$60)&gt;0))&gt;0)</f>
        <v>0</v>
      </c>
      <c r="F83" s="43" cm="1">
        <f t="array" ref="F83">--(SUMPRODUCT(($B$48:$B$60=$B83)*(LEN($F$48:$F$60)&gt;0))&gt;0)</f>
        <v>0</v>
      </c>
      <c r="G83" s="43" cm="1">
        <f t="array" ref="G83">--(SUMPRODUCT(($B$48:$B$60=$B83)*(LEN($G$48:$G$60)&gt;0))&gt;0)</f>
        <v>0</v>
      </c>
      <c r="H83" s="43">
        <f t="shared" si="6"/>
        <v>0</v>
      </c>
      <c r="I83" s="24"/>
      <c r="J83" s="24"/>
      <c r="K83" s="11"/>
      <c r="L83" s="11"/>
      <c r="M83" s="11"/>
      <c r="N83" s="11"/>
      <c r="O83" s="11"/>
      <c r="P83" s="11"/>
      <c r="Q83" s="11"/>
      <c r="R83" s="12"/>
    </row>
    <row r="84" spans="1:18" ht="20" hidden="1" customHeight="1">
      <c r="A84" s="10" t="str">
        <f t="shared" ref="A84:B84" si="24">A24</f>
        <v>Mexico</v>
      </c>
      <c r="B84" s="10" t="str">
        <f t="shared" si="24"/>
        <v>MEX</v>
      </c>
      <c r="C84" s="43" cm="1">
        <f t="array" ref="C84">--(SUMPRODUCT(($B$48:$B$60=$B84)*(LEN($C$48:$C$60)&gt;0))&gt;0)</f>
        <v>0</v>
      </c>
      <c r="D84" s="43" cm="1">
        <f t="array" ref="D84">--(SUMPRODUCT(($B$48:$B$60=$B84)*(LEN($D$48:$D$60)&gt;0))&gt;0)</f>
        <v>0</v>
      </c>
      <c r="E84" s="43" cm="1">
        <f t="array" ref="E84">--(SUMPRODUCT(($B$48:$B$60=$B84)*(LEN($E$48:$E$60)&gt;0))&gt;0)</f>
        <v>0</v>
      </c>
      <c r="F84" s="43" cm="1">
        <f t="array" ref="F84">--(SUMPRODUCT(($B$48:$B$60=$B84)*(LEN($F$48:$F$60)&gt;0))&gt;0)</f>
        <v>0</v>
      </c>
      <c r="G84" s="43" cm="1">
        <f t="array" ref="G84">--(SUMPRODUCT(($B$48:$B$60=$B84)*(LEN($G$48:$G$60)&gt;0))&gt;0)</f>
        <v>0</v>
      </c>
      <c r="H84" s="43">
        <f t="shared" si="6"/>
        <v>0</v>
      </c>
      <c r="I84" s="24"/>
      <c r="J84" s="24"/>
      <c r="K84" s="11"/>
      <c r="L84" s="11"/>
      <c r="M84" s="11"/>
      <c r="N84" s="11"/>
      <c r="O84" s="11"/>
      <c r="P84" s="11"/>
      <c r="Q84" s="11"/>
      <c r="R84" s="12"/>
    </row>
    <row r="85" spans="1:18" ht="20" hidden="1" customHeight="1">
      <c r="A85" s="10" t="str">
        <f t="shared" ref="A85:B85" si="25">A25</f>
        <v>Mongolia</v>
      </c>
      <c r="B85" s="10" t="str">
        <f t="shared" si="25"/>
        <v>MNG</v>
      </c>
      <c r="C85" s="43" cm="1">
        <f t="array" ref="C85">--(SUMPRODUCT(($B$48:$B$60=$B85)*(LEN($C$48:$C$60)&gt;0))&gt;0)</f>
        <v>0</v>
      </c>
      <c r="D85" s="43" cm="1">
        <f t="array" ref="D85">--(SUMPRODUCT(($B$48:$B$60=$B85)*(LEN($D$48:$D$60)&gt;0))&gt;0)</f>
        <v>0</v>
      </c>
      <c r="E85" s="43" cm="1">
        <f t="array" ref="E85">--(SUMPRODUCT(($B$48:$B$60=$B85)*(LEN($E$48:$E$60)&gt;0))&gt;0)</f>
        <v>0</v>
      </c>
      <c r="F85" s="43" cm="1">
        <f t="array" ref="F85">--(SUMPRODUCT(($B$48:$B$60=$B85)*(LEN($F$48:$F$60)&gt;0))&gt;0)</f>
        <v>0</v>
      </c>
      <c r="G85" s="43" cm="1">
        <f t="array" ref="G85">--(SUMPRODUCT(($B$48:$B$60=$B85)*(LEN($G$48:$G$60)&gt;0))&gt;0)</f>
        <v>0</v>
      </c>
      <c r="H85" s="43">
        <f t="shared" si="6"/>
        <v>0</v>
      </c>
      <c r="I85" s="24"/>
      <c r="J85" s="24"/>
      <c r="K85" s="11"/>
      <c r="L85" s="11"/>
      <c r="M85" s="11"/>
      <c r="N85" s="11"/>
      <c r="O85" s="11"/>
      <c r="P85" s="11"/>
      <c r="Q85" s="11"/>
      <c r="R85" s="12"/>
    </row>
    <row r="86" spans="1:18" ht="20" hidden="1" customHeight="1">
      <c r="A86" s="10" t="str">
        <f t="shared" ref="A86:B86" si="26">A26</f>
        <v>Morocco</v>
      </c>
      <c r="B86" s="10" t="str">
        <f t="shared" si="26"/>
        <v>MAR</v>
      </c>
      <c r="C86" s="43" cm="1">
        <f t="array" ref="C86">--(SUMPRODUCT(($B$48:$B$60=$B86)*(LEN($C$48:$C$60)&gt;0))&gt;0)</f>
        <v>0</v>
      </c>
      <c r="D86" s="43" cm="1">
        <f t="array" ref="D86">--(SUMPRODUCT(($B$48:$B$60=$B86)*(LEN($D$48:$D$60)&gt;0))&gt;0)</f>
        <v>0</v>
      </c>
      <c r="E86" s="43" cm="1">
        <f t="array" ref="E86">--(SUMPRODUCT(($B$48:$B$60=$B86)*(LEN($E$48:$E$60)&gt;0))&gt;0)</f>
        <v>0</v>
      </c>
      <c r="F86" s="43" cm="1">
        <f t="array" ref="F86">--(SUMPRODUCT(($B$48:$B$60=$B86)*(LEN($F$48:$F$60)&gt;0))&gt;0)</f>
        <v>0</v>
      </c>
      <c r="G86" s="43" cm="1">
        <f t="array" ref="G86">--(SUMPRODUCT(($B$48:$B$60=$B86)*(LEN($G$48:$G$60)&gt;0))&gt;0)</f>
        <v>0</v>
      </c>
      <c r="H86" s="43">
        <f t="shared" si="6"/>
        <v>0</v>
      </c>
      <c r="I86" s="24"/>
      <c r="J86" s="24"/>
      <c r="K86" s="11"/>
      <c r="L86" s="11"/>
      <c r="M86" s="11"/>
      <c r="N86" s="11"/>
      <c r="O86" s="11"/>
      <c r="P86" s="11"/>
      <c r="Q86" s="11"/>
      <c r="R86" s="12"/>
    </row>
    <row r="87" spans="1:18" ht="20" hidden="1" customHeight="1">
      <c r="A87" s="10" t="str">
        <f t="shared" ref="A87:B87" si="27">A27</f>
        <v>North Korea</v>
      </c>
      <c r="B87" s="10" t="str">
        <f t="shared" si="27"/>
        <v>PRK</v>
      </c>
      <c r="C87" s="43" cm="1">
        <f t="array" ref="C87">--(SUMPRODUCT(($B$48:$B$60=$B87)*(LEN($C$48:$C$60)&gt;0))&gt;0)</f>
        <v>0</v>
      </c>
      <c r="D87" s="43" cm="1">
        <f t="array" ref="D87">--(SUMPRODUCT(($B$48:$B$60=$B87)*(LEN($D$48:$D$60)&gt;0))&gt;0)</f>
        <v>0</v>
      </c>
      <c r="E87" s="43" cm="1">
        <f t="array" ref="E87">--(SUMPRODUCT(($B$48:$B$60=$B87)*(LEN($E$48:$E$60)&gt;0))&gt;0)</f>
        <v>0</v>
      </c>
      <c r="F87" s="43" cm="1">
        <f t="array" ref="F87">--(SUMPRODUCT(($B$48:$B$60=$B87)*(LEN($F$48:$F$60)&gt;0))&gt;0)</f>
        <v>0</v>
      </c>
      <c r="G87" s="43" cm="1">
        <f t="array" ref="G87">--(SUMPRODUCT(($B$48:$B$60=$B87)*(LEN($G$48:$G$60)&gt;0))&gt;0)</f>
        <v>0</v>
      </c>
      <c r="H87" s="43">
        <f t="shared" si="6"/>
        <v>0</v>
      </c>
      <c r="I87" s="24"/>
      <c r="J87" s="24"/>
      <c r="K87" s="11"/>
      <c r="L87" s="11"/>
      <c r="M87" s="11"/>
      <c r="N87" s="11"/>
      <c r="O87" s="11"/>
      <c r="P87" s="11"/>
      <c r="Q87" s="11"/>
      <c r="R87" s="12"/>
    </row>
    <row r="88" spans="1:18" ht="20" hidden="1" customHeight="1">
      <c r="A88" s="10" t="str">
        <f t="shared" ref="A88:B88" si="28">A28</f>
        <v>Pakistan</v>
      </c>
      <c r="B88" s="10" t="str">
        <f t="shared" si="28"/>
        <v>PAK</v>
      </c>
      <c r="C88" s="43" cm="1">
        <f t="array" ref="C88">--(SUMPRODUCT(($B$48:$B$60=$B88)*(LEN($C$48:$C$60)&gt;0))&gt;0)</f>
        <v>0</v>
      </c>
      <c r="D88" s="43" cm="1">
        <f t="array" ref="D88">--(SUMPRODUCT(($B$48:$B$60=$B88)*(LEN($D$48:$D$60)&gt;0))&gt;0)</f>
        <v>0</v>
      </c>
      <c r="E88" s="43" cm="1">
        <f t="array" ref="E88">--(SUMPRODUCT(($B$48:$B$60=$B88)*(LEN($E$48:$E$60)&gt;0))&gt;0)</f>
        <v>0</v>
      </c>
      <c r="F88" s="43" cm="1">
        <f t="array" ref="F88">--(SUMPRODUCT(($B$48:$B$60=$B88)*(LEN($F$48:$F$60)&gt;0))&gt;0)</f>
        <v>0</v>
      </c>
      <c r="G88" s="43" cm="1">
        <f t="array" ref="G88">--(SUMPRODUCT(($B$48:$B$60=$B88)*(LEN($G$48:$G$60)&gt;0))&gt;0)</f>
        <v>0</v>
      </c>
      <c r="H88" s="43">
        <f t="shared" si="6"/>
        <v>0</v>
      </c>
      <c r="I88" s="24"/>
      <c r="J88" s="24"/>
      <c r="K88" s="11"/>
      <c r="L88" s="11"/>
      <c r="M88" s="11"/>
      <c r="N88" s="11"/>
      <c r="O88" s="11"/>
      <c r="P88" s="11"/>
      <c r="Q88" s="11"/>
      <c r="R88" s="12"/>
    </row>
    <row r="89" spans="1:18" ht="20" hidden="1" customHeight="1">
      <c r="A89" s="10" t="str">
        <f t="shared" ref="A89:B89" si="29">A29</f>
        <v>Philippines</v>
      </c>
      <c r="B89" s="10" t="str">
        <f t="shared" si="29"/>
        <v>PHL</v>
      </c>
      <c r="C89" s="43" cm="1">
        <f t="array" ref="C89">--(SUMPRODUCT(($B$48:$B$60=$B89)*(LEN($C$48:$C$60)&gt;0))&gt;0)</f>
        <v>0</v>
      </c>
      <c r="D89" s="43" cm="1">
        <f t="array" ref="D89">--(SUMPRODUCT(($B$48:$B$60=$B89)*(LEN($D$48:$D$60)&gt;0))&gt;0)</f>
        <v>0</v>
      </c>
      <c r="E89" s="43" cm="1">
        <f t="array" ref="E89">--(SUMPRODUCT(($B$48:$B$60=$B89)*(LEN($E$48:$E$60)&gt;0))&gt;0)</f>
        <v>0</v>
      </c>
      <c r="F89" s="43" cm="1">
        <f t="array" ref="F89">--(SUMPRODUCT(($B$48:$B$60=$B89)*(LEN($F$48:$F$60)&gt;0))&gt;0)</f>
        <v>0</v>
      </c>
      <c r="G89" s="43" cm="1">
        <f t="array" ref="G89">--(SUMPRODUCT(($B$48:$B$60=$B89)*(LEN($G$48:$G$60)&gt;0))&gt;0)</f>
        <v>0</v>
      </c>
      <c r="H89" s="43">
        <f t="shared" si="6"/>
        <v>0</v>
      </c>
      <c r="I89" s="24"/>
      <c r="J89" s="24"/>
      <c r="K89" s="11"/>
      <c r="L89" s="11"/>
      <c r="M89" s="11"/>
      <c r="N89" s="11"/>
      <c r="O89" s="11"/>
      <c r="P89" s="11"/>
      <c r="Q89" s="11"/>
      <c r="R89" s="12"/>
    </row>
    <row r="90" spans="1:18" ht="20" hidden="1" customHeight="1">
      <c r="A90" s="10" t="str">
        <f t="shared" ref="A90:B90" si="30">A30</f>
        <v>Poland</v>
      </c>
      <c r="B90" s="10" t="str">
        <f t="shared" si="30"/>
        <v>POL</v>
      </c>
      <c r="C90" s="43" cm="1">
        <f t="array" ref="C90">--(SUMPRODUCT(($B$48:$B$60=$B90)*(LEN($C$48:$C$60)&gt;0))&gt;0)</f>
        <v>0</v>
      </c>
      <c r="D90" s="43" cm="1">
        <f t="array" ref="D90">--(SUMPRODUCT(($B$48:$B$60=$B90)*(LEN($D$48:$D$60)&gt;0))&gt;0)</f>
        <v>0</v>
      </c>
      <c r="E90" s="43" cm="1">
        <f t="array" ref="E90">--(SUMPRODUCT(($B$48:$B$60=$B90)*(LEN($E$48:$E$60)&gt;0))&gt;0)</f>
        <v>0</v>
      </c>
      <c r="F90" s="43" cm="1">
        <f t="array" ref="F90">--(SUMPRODUCT(($B$48:$B$60=$B90)*(LEN($F$48:$F$60)&gt;0))&gt;0)</f>
        <v>0</v>
      </c>
      <c r="G90" s="43" cm="1">
        <f t="array" ref="G90">--(SUMPRODUCT(($B$48:$B$60=$B90)*(LEN($G$48:$G$60)&gt;0))&gt;0)</f>
        <v>0</v>
      </c>
      <c r="H90" s="43">
        <f t="shared" si="6"/>
        <v>0</v>
      </c>
      <c r="I90" s="24"/>
      <c r="J90" s="24"/>
      <c r="K90" s="11"/>
      <c r="L90" s="11"/>
      <c r="M90" s="11"/>
      <c r="N90" s="11"/>
      <c r="O90" s="11"/>
      <c r="P90" s="11"/>
      <c r="Q90" s="11"/>
      <c r="R90" s="12"/>
    </row>
    <row r="91" spans="1:18" ht="20" hidden="1" customHeight="1">
      <c r="A91" s="10" t="str">
        <f t="shared" ref="A91:B91" si="31">A31</f>
        <v>Russia</v>
      </c>
      <c r="B91" s="10" t="str">
        <f t="shared" si="31"/>
        <v>RUS</v>
      </c>
      <c r="C91" s="43" cm="1">
        <f t="array" ref="C91">--(SUMPRODUCT(($B$48:$B$60=$B91)*(LEN($C$48:$C$60)&gt;0))&gt;0)</f>
        <v>0</v>
      </c>
      <c r="D91" s="43" cm="1">
        <f t="array" ref="D91">--(SUMPRODUCT(($B$48:$B$60=$B91)*(LEN($D$48:$D$60)&gt;0))&gt;0)</f>
        <v>0</v>
      </c>
      <c r="E91" s="43" cm="1">
        <f t="array" ref="E91">--(SUMPRODUCT(($B$48:$B$60=$B91)*(LEN($E$48:$E$60)&gt;0))&gt;0)</f>
        <v>0</v>
      </c>
      <c r="F91" s="43" cm="1">
        <f t="array" ref="F91">--(SUMPRODUCT(($B$48:$B$60=$B91)*(LEN($F$48:$F$60)&gt;0))&gt;0)</f>
        <v>0</v>
      </c>
      <c r="G91" s="43" cm="1">
        <f t="array" ref="G91">--(SUMPRODUCT(($B$48:$B$60=$B91)*(LEN($G$48:$G$60)&gt;0))&gt;0)</f>
        <v>0</v>
      </c>
      <c r="H91" s="43">
        <f t="shared" si="6"/>
        <v>0</v>
      </c>
      <c r="I91" s="24"/>
      <c r="J91" s="24"/>
      <c r="K91" s="11"/>
      <c r="L91" s="11"/>
      <c r="M91" s="11"/>
      <c r="N91" s="11"/>
      <c r="O91" s="11"/>
      <c r="P91" s="11"/>
      <c r="Q91" s="11"/>
      <c r="R91" s="12"/>
    </row>
    <row r="92" spans="1:18" ht="20" hidden="1" customHeight="1">
      <c r="A92" s="10" t="str">
        <f t="shared" ref="A92:B92" si="32">A32</f>
        <v>Serbia</v>
      </c>
      <c r="B92" s="10" t="str">
        <f t="shared" si="32"/>
        <v>SRB</v>
      </c>
      <c r="C92" s="43" cm="1">
        <f t="array" ref="C92">--(SUMPRODUCT(($B$48:$B$60=$B92)*(LEN($C$48:$C$60)&gt;0))&gt;0)</f>
        <v>0</v>
      </c>
      <c r="D92" s="43" cm="1">
        <f t="array" ref="D92">--(SUMPRODUCT(($B$48:$B$60=$B92)*(LEN($D$48:$D$60)&gt;0))&gt;0)</f>
        <v>0</v>
      </c>
      <c r="E92" s="43" cm="1">
        <f t="array" ref="E92">--(SUMPRODUCT(($B$48:$B$60=$B92)*(LEN($E$48:$E$60)&gt;0))&gt;0)</f>
        <v>0</v>
      </c>
      <c r="F92" s="43" cm="1">
        <f t="array" ref="F92">--(SUMPRODUCT(($B$48:$B$60=$B92)*(LEN($F$48:$F$60)&gt;0))&gt;0)</f>
        <v>0</v>
      </c>
      <c r="G92" s="43" cm="1">
        <f t="array" ref="G92">--(SUMPRODUCT(($B$48:$B$60=$B92)*(LEN($G$48:$G$60)&gt;0))&gt;0)</f>
        <v>0</v>
      </c>
      <c r="H92" s="43">
        <f t="shared" si="6"/>
        <v>0</v>
      </c>
      <c r="I92" s="24"/>
      <c r="J92" s="24"/>
      <c r="K92" s="11"/>
      <c r="L92" s="11"/>
      <c r="M92" s="11"/>
      <c r="N92" s="11"/>
      <c r="O92" s="11"/>
      <c r="P92" s="11"/>
      <c r="Q92" s="11"/>
      <c r="R92" s="12"/>
    </row>
    <row r="93" spans="1:18" ht="20" hidden="1" customHeight="1">
      <c r="A93" s="10" t="str">
        <f t="shared" ref="A93:B93" si="33">A33</f>
        <v>South Africa</v>
      </c>
      <c r="B93" s="10" t="str">
        <f t="shared" si="33"/>
        <v>ZAF</v>
      </c>
      <c r="C93" s="43" cm="1">
        <f t="array" ref="C93">--(SUMPRODUCT(($B$48:$B$60=$B93)*(LEN($C$48:$C$60)&gt;0))&gt;0)</f>
        <v>0</v>
      </c>
      <c r="D93" s="43" cm="1">
        <f t="array" ref="D93">--(SUMPRODUCT(($B$48:$B$60=$B93)*(LEN($D$48:$D$60)&gt;0))&gt;0)</f>
        <v>0</v>
      </c>
      <c r="E93" s="43" cm="1">
        <f t="array" ref="E93">--(SUMPRODUCT(($B$48:$B$60=$B93)*(LEN($E$48:$E$60)&gt;0))&gt;0)</f>
        <v>0</v>
      </c>
      <c r="F93" s="43" cm="1">
        <f t="array" ref="F93">--(SUMPRODUCT(($B$48:$B$60=$B93)*(LEN($F$48:$F$60)&gt;0))&gt;0)</f>
        <v>0</v>
      </c>
      <c r="G93" s="43" cm="1">
        <f t="array" ref="G93">--(SUMPRODUCT(($B$48:$B$60=$B93)*(LEN($G$48:$G$60)&gt;0))&gt;0)</f>
        <v>0</v>
      </c>
      <c r="H93" s="43">
        <f t="shared" si="6"/>
        <v>0</v>
      </c>
      <c r="I93" s="24"/>
      <c r="J93" s="24"/>
      <c r="K93" s="11"/>
      <c r="L93" s="11"/>
      <c r="M93" s="11"/>
      <c r="N93" s="11"/>
      <c r="O93" s="11"/>
      <c r="P93" s="11"/>
      <c r="Q93" s="11"/>
      <c r="R93" s="12"/>
    </row>
    <row r="94" spans="1:18" ht="20" hidden="1" customHeight="1">
      <c r="A94" s="10" t="str">
        <f t="shared" ref="A94:B94" si="34">A34</f>
        <v>South Korea</v>
      </c>
      <c r="B94" s="10" t="str">
        <f t="shared" si="34"/>
        <v>KOR</v>
      </c>
      <c r="C94" s="43" cm="1">
        <f t="array" ref="C94">--(SUMPRODUCT(($B$48:$B$60=$B94)*(LEN($C$48:$C$60)&gt;0))&gt;0)</f>
        <v>0</v>
      </c>
      <c r="D94" s="43" cm="1">
        <f t="array" ref="D94">--(SUMPRODUCT(($B$48:$B$60=$B94)*(LEN($D$48:$D$60)&gt;0))&gt;0)</f>
        <v>0</v>
      </c>
      <c r="E94" s="43" cm="1">
        <f t="array" ref="E94">--(SUMPRODUCT(($B$48:$B$60=$B94)*(LEN($E$48:$E$60)&gt;0))&gt;0)</f>
        <v>0</v>
      </c>
      <c r="F94" s="43" cm="1">
        <f t="array" ref="F94">--(SUMPRODUCT(($B$48:$B$60=$B94)*(LEN($F$48:$F$60)&gt;0))&gt;0)</f>
        <v>0</v>
      </c>
      <c r="G94" s="43" cm="1">
        <f t="array" ref="G94">--(SUMPRODUCT(($B$48:$B$60=$B94)*(LEN($G$48:$G$60)&gt;0))&gt;0)</f>
        <v>0</v>
      </c>
      <c r="H94" s="43">
        <f t="shared" si="6"/>
        <v>0</v>
      </c>
      <c r="I94" s="24"/>
      <c r="J94" s="24"/>
      <c r="K94" s="11"/>
      <c r="L94" s="11"/>
      <c r="M94" s="11"/>
      <c r="N94" s="11"/>
      <c r="O94" s="11"/>
      <c r="P94" s="11"/>
      <c r="Q94" s="11"/>
      <c r="R94" s="12"/>
    </row>
    <row r="95" spans="1:18" ht="20" hidden="1" customHeight="1">
      <c r="A95" s="10" t="str">
        <f t="shared" ref="A95:B95" si="35">A35</f>
        <v>Sri Lanka</v>
      </c>
      <c r="B95" s="10" t="str">
        <f t="shared" si="35"/>
        <v>LKA</v>
      </c>
      <c r="C95" s="43" cm="1">
        <f t="array" ref="C95">--(SUMPRODUCT(($B$48:$B$60=$B95)*(LEN($C$48:$C$60)&gt;0))&gt;0)</f>
        <v>0</v>
      </c>
      <c r="D95" s="43" cm="1">
        <f t="array" ref="D95">--(SUMPRODUCT(($B$48:$B$60=$B95)*(LEN($D$48:$D$60)&gt;0))&gt;0)</f>
        <v>0</v>
      </c>
      <c r="E95" s="43" cm="1">
        <f t="array" ref="E95">--(SUMPRODUCT(($B$48:$B$60=$B95)*(LEN($E$48:$E$60)&gt;0))&gt;0)</f>
        <v>0</v>
      </c>
      <c r="F95" s="43" cm="1">
        <f t="array" ref="F95">--(SUMPRODUCT(($B$48:$B$60=$B95)*(LEN($F$48:$F$60)&gt;0))&gt;0)</f>
        <v>0</v>
      </c>
      <c r="G95" s="43" cm="1">
        <f t="array" ref="G95">--(SUMPRODUCT(($B$48:$B$60=$B95)*(LEN($G$48:$G$60)&gt;0))&gt;0)</f>
        <v>0</v>
      </c>
      <c r="H95" s="43">
        <f t="shared" si="6"/>
        <v>0</v>
      </c>
      <c r="I95" s="24"/>
      <c r="J95" s="24"/>
      <c r="K95" s="11"/>
      <c r="L95" s="11"/>
      <c r="M95" s="11"/>
      <c r="N95" s="11"/>
      <c r="O95" s="11"/>
      <c r="P95" s="11"/>
      <c r="Q95" s="11"/>
      <c r="R95" s="12"/>
    </row>
    <row r="96" spans="1:18" ht="20" hidden="1" customHeight="1">
      <c r="A96" s="10" t="str">
        <f t="shared" ref="A96:B96" si="36">A36</f>
        <v>Taiwan, China</v>
      </c>
      <c r="B96" s="10" t="str">
        <f t="shared" si="36"/>
        <v>TWN</v>
      </c>
      <c r="C96" s="43" cm="1">
        <f t="array" ref="C96">--(SUMPRODUCT(($B$48:$B$60=$B96)*(LEN($C$48:$C$60)&gt;0))&gt;0)</f>
        <v>0</v>
      </c>
      <c r="D96" s="43" cm="1">
        <f t="array" ref="D96">--(SUMPRODUCT(($B$48:$B$60=$B96)*(LEN($D$48:$D$60)&gt;0))&gt;0)</f>
        <v>0</v>
      </c>
      <c r="E96" s="43" cm="1">
        <f t="array" ref="E96">--(SUMPRODUCT(($B$48:$B$60=$B96)*(LEN($E$48:$E$60)&gt;0))&gt;0)</f>
        <v>0</v>
      </c>
      <c r="F96" s="43" cm="1">
        <f t="array" ref="F96">--(SUMPRODUCT(($B$48:$B$60=$B96)*(LEN($F$48:$F$60)&gt;0))&gt;0)</f>
        <v>1</v>
      </c>
      <c r="G96" s="43" cm="1">
        <f t="array" ref="G96">--(SUMPRODUCT(($B$48:$B$60=$B96)*(LEN($G$48:$G$60)&gt;0))&gt;0)</f>
        <v>1</v>
      </c>
      <c r="H96" s="43">
        <f t="shared" si="6"/>
        <v>2</v>
      </c>
      <c r="I96" s="24"/>
      <c r="J96" s="24"/>
      <c r="K96" s="11"/>
      <c r="L96" s="11"/>
      <c r="M96" s="11"/>
      <c r="N96" s="11"/>
      <c r="O96" s="11"/>
      <c r="P96" s="11"/>
      <c r="Q96" s="11"/>
      <c r="R96" s="12"/>
    </row>
    <row r="97" spans="1:18" ht="20" hidden="1" customHeight="1">
      <c r="A97" s="10" t="str">
        <f t="shared" ref="A97:B97" si="37">A37</f>
        <v>Thailand</v>
      </c>
      <c r="B97" s="10" t="str">
        <f t="shared" si="37"/>
        <v>THA</v>
      </c>
      <c r="C97" s="43" cm="1">
        <f t="array" ref="C97">--(SUMPRODUCT(($B$48:$B$60=$B97)*(LEN($C$48:$C$60)&gt;0))&gt;0)</f>
        <v>0</v>
      </c>
      <c r="D97" s="43" cm="1">
        <f t="array" ref="D97">--(SUMPRODUCT(($B$48:$B$60=$B97)*(LEN($D$48:$D$60)&gt;0))&gt;0)</f>
        <v>0</v>
      </c>
      <c r="E97" s="43" cm="1">
        <f t="array" ref="E97">--(SUMPRODUCT(($B$48:$B$60=$B97)*(LEN($E$48:$E$60)&gt;0))&gt;0)</f>
        <v>0</v>
      </c>
      <c r="F97" s="43" cm="1">
        <f t="array" ref="F97">--(SUMPRODUCT(($B$48:$B$60=$B97)*(LEN($F$48:$F$60)&gt;0))&gt;0)</f>
        <v>0</v>
      </c>
      <c r="G97" s="43" cm="1">
        <f t="array" ref="G97">--(SUMPRODUCT(($B$48:$B$60=$B97)*(LEN($G$48:$G$60)&gt;0))&gt;0)</f>
        <v>0</v>
      </c>
      <c r="H97" s="43">
        <f t="shared" si="6"/>
        <v>0</v>
      </c>
      <c r="I97" s="24"/>
      <c r="J97" s="24"/>
      <c r="K97" s="11"/>
      <c r="L97" s="11"/>
      <c r="M97" s="11"/>
      <c r="N97" s="11"/>
      <c r="O97" s="11"/>
      <c r="P97" s="11"/>
      <c r="Q97" s="11"/>
      <c r="R97" s="12"/>
    </row>
    <row r="98" spans="1:18" ht="20" hidden="1" customHeight="1">
      <c r="A98" s="10" t="str">
        <f t="shared" ref="A98:B98" si="38">A38</f>
        <v>Türkiye</v>
      </c>
      <c r="B98" s="10" t="str">
        <f t="shared" si="38"/>
        <v>TUR</v>
      </c>
      <c r="C98" s="43" cm="1">
        <f t="array" ref="C98">--(SUMPRODUCT(($B$48:$B$60=$B98)*(LEN($C$48:$C$60)&gt;0))&gt;0)</f>
        <v>0</v>
      </c>
      <c r="D98" s="43" cm="1">
        <f t="array" ref="D98">--(SUMPRODUCT(($B$48:$B$60=$B98)*(LEN($D$48:$D$60)&gt;0))&gt;0)</f>
        <v>0</v>
      </c>
      <c r="E98" s="43" cm="1">
        <f t="array" ref="E98">--(SUMPRODUCT(($B$48:$B$60=$B98)*(LEN($E$48:$E$60)&gt;0))&gt;0)</f>
        <v>0</v>
      </c>
      <c r="F98" s="43" cm="1">
        <f t="array" ref="F98">--(SUMPRODUCT(($B$48:$B$60=$B98)*(LEN($F$48:$F$60)&gt;0))&gt;0)</f>
        <v>0</v>
      </c>
      <c r="G98" s="43" cm="1">
        <f t="array" ref="G98">--(SUMPRODUCT(($B$48:$B$60=$B98)*(LEN($G$48:$G$60)&gt;0))&gt;0)</f>
        <v>0</v>
      </c>
      <c r="H98" s="43">
        <f t="shared" si="6"/>
        <v>0</v>
      </c>
      <c r="I98" s="24"/>
      <c r="J98" s="24"/>
      <c r="K98" s="11"/>
      <c r="L98" s="11"/>
      <c r="M98" s="11"/>
      <c r="N98" s="11"/>
      <c r="O98" s="11"/>
      <c r="P98" s="11"/>
      <c r="Q98" s="11"/>
      <c r="R98" s="12"/>
    </row>
    <row r="99" spans="1:18" ht="20" hidden="1" customHeight="1">
      <c r="A99" s="10" t="str">
        <f t="shared" ref="A99:B99" si="39">A39</f>
        <v>United States</v>
      </c>
      <c r="B99" s="10" t="str">
        <f t="shared" si="39"/>
        <v>USA</v>
      </c>
      <c r="C99" s="43" cm="1">
        <f t="array" ref="C99">--(SUMPRODUCT(($B$48:$B$60=$B99)*(LEN($C$48:$C$60)&gt;0))&gt;0)</f>
        <v>0</v>
      </c>
      <c r="D99" s="43" cm="1">
        <f t="array" ref="D99">--(SUMPRODUCT(($B$48:$B$60=$B99)*(LEN($D$48:$D$60)&gt;0))&gt;0)</f>
        <v>0</v>
      </c>
      <c r="E99" s="43" cm="1">
        <f t="array" ref="E99">--(SUMPRODUCT(($B$48:$B$60=$B99)*(LEN($E$48:$E$60)&gt;0))&gt;0)</f>
        <v>0</v>
      </c>
      <c r="F99" s="43" cm="1">
        <f t="array" ref="F99">--(SUMPRODUCT(($B$48:$B$60=$B99)*(LEN($F$48:$F$60)&gt;0))&gt;0)</f>
        <v>0</v>
      </c>
      <c r="G99" s="43" cm="1">
        <f t="array" ref="G99">--(SUMPRODUCT(($B$48:$B$60=$B99)*(LEN($G$48:$G$60)&gt;0))&gt;0)</f>
        <v>0</v>
      </c>
      <c r="H99" s="43">
        <f t="shared" si="6"/>
        <v>0</v>
      </c>
      <c r="I99" s="24"/>
      <c r="J99" s="24"/>
      <c r="K99" s="11"/>
      <c r="L99" s="11"/>
      <c r="M99" s="11"/>
      <c r="N99" s="11"/>
      <c r="O99" s="11"/>
      <c r="P99" s="11"/>
      <c r="Q99" s="11"/>
      <c r="R99" s="12"/>
    </row>
    <row r="100" spans="1:18" ht="20" hidden="1" customHeight="1">
      <c r="A100" s="10" t="str">
        <f t="shared" ref="A100:B100" si="40">A40</f>
        <v>Vietnam</v>
      </c>
      <c r="B100" s="10" t="str">
        <f t="shared" si="40"/>
        <v>VNM</v>
      </c>
      <c r="C100" s="43" cm="1">
        <f t="array" ref="C100">--(SUMPRODUCT(($B$48:$B$60=$B100)*(LEN($C$48:$C$60)&gt;0))&gt;0)</f>
        <v>0</v>
      </c>
      <c r="D100" s="43" cm="1">
        <f t="array" ref="D100">--(SUMPRODUCT(($B$48:$B$60=$B100)*(LEN($D$48:$D$60)&gt;0))&gt;0)</f>
        <v>0</v>
      </c>
      <c r="E100" s="43" cm="1">
        <f t="array" ref="E100">--(SUMPRODUCT(($B$48:$B$60=$B100)*(LEN($E$48:$E$60)&gt;0))&gt;0)</f>
        <v>0</v>
      </c>
      <c r="F100" s="43" cm="1">
        <f t="array" ref="F100">--(SUMPRODUCT(($B$48:$B$60=$B100)*(LEN($F$48:$F$60)&gt;0))&gt;0)</f>
        <v>0</v>
      </c>
      <c r="G100" s="43" cm="1">
        <f t="array" ref="G100">--(SUMPRODUCT(($B$48:$B$60=$B100)*(LEN($G$48:$G$60)&gt;0))&gt;0)</f>
        <v>0</v>
      </c>
      <c r="H100" s="43">
        <f t="shared" si="6"/>
        <v>0</v>
      </c>
      <c r="I100" s="24"/>
      <c r="J100" s="24"/>
      <c r="K100" s="11"/>
      <c r="L100" s="11"/>
      <c r="M100" s="11"/>
      <c r="N100" s="11"/>
      <c r="O100" s="11"/>
      <c r="P100" s="11"/>
      <c r="Q100" s="11"/>
      <c r="R100" s="12"/>
    </row>
    <row r="101" spans="1:18">
      <c r="A101" s="10"/>
      <c r="B101" s="10"/>
      <c r="C101" s="24"/>
      <c r="D101" s="24"/>
      <c r="E101" s="24"/>
      <c r="F101" s="24"/>
      <c r="G101" s="24"/>
      <c r="H101" s="24"/>
      <c r="R101" s="12"/>
    </row>
    <row r="102" spans="1:18">
      <c r="A102" s="10"/>
      <c r="B102" s="10"/>
      <c r="C102" s="24"/>
      <c r="D102" s="24"/>
      <c r="E102" s="24"/>
      <c r="F102" s="24"/>
      <c r="G102" s="24"/>
      <c r="H102" s="24"/>
      <c r="R102" s="12"/>
    </row>
    <row r="103" spans="1:18">
      <c r="A103" s="10"/>
      <c r="B103" s="10"/>
      <c r="C103" s="24"/>
      <c r="D103" s="24"/>
      <c r="E103" s="24"/>
      <c r="F103" s="24"/>
      <c r="G103" s="24"/>
      <c r="H103" s="24"/>
      <c r="R103" s="12"/>
    </row>
    <row r="104" spans="1:18">
      <c r="A104" s="10"/>
      <c r="B104" s="10"/>
      <c r="C104" s="24"/>
      <c r="D104" s="24"/>
      <c r="E104" s="24"/>
      <c r="F104" s="24"/>
      <c r="G104" s="24"/>
      <c r="H104" s="24"/>
      <c r="R104" s="12"/>
    </row>
    <row r="105" spans="1:18">
      <c r="A105" s="10"/>
      <c r="B105" s="10"/>
      <c r="C105" s="24"/>
      <c r="D105" s="24"/>
      <c r="E105" s="24"/>
      <c r="F105" s="24"/>
      <c r="G105" s="24"/>
      <c r="H105" s="24"/>
      <c r="R105" s="12"/>
    </row>
    <row r="106" spans="1:18">
      <c r="A106" s="10"/>
      <c r="B106" s="10"/>
      <c r="C106" s="24"/>
      <c r="D106" s="24"/>
      <c r="E106" s="24"/>
      <c r="F106" s="24"/>
      <c r="G106" s="24"/>
      <c r="H106" s="24"/>
      <c r="R106" s="12"/>
    </row>
    <row r="107" spans="1:18">
      <c r="A107" s="10"/>
      <c r="B107" s="10"/>
      <c r="C107" s="24"/>
      <c r="D107" s="24"/>
      <c r="E107" s="24"/>
      <c r="F107" s="24"/>
      <c r="G107" s="24"/>
      <c r="H107" s="24"/>
      <c r="R107" s="12"/>
    </row>
    <row r="108" spans="1:18">
      <c r="A108" s="10"/>
      <c r="B108" s="10"/>
      <c r="C108" s="24"/>
      <c r="D108" s="24"/>
      <c r="E108" s="24"/>
      <c r="F108" s="24"/>
      <c r="G108" s="24"/>
      <c r="H108" s="24"/>
      <c r="R108" s="12"/>
    </row>
    <row r="109" spans="1:18">
      <c r="A109" s="10"/>
      <c r="B109" s="10"/>
      <c r="C109" s="24"/>
      <c r="D109" s="24"/>
      <c r="E109" s="24"/>
      <c r="F109" s="24"/>
      <c r="G109" s="24"/>
      <c r="H109" s="24"/>
      <c r="R109" s="12"/>
    </row>
    <row r="110" spans="1:18">
      <c r="A110" s="10"/>
      <c r="B110" s="10"/>
      <c r="C110" s="24"/>
      <c r="D110" s="24"/>
      <c r="E110" s="24"/>
      <c r="F110" s="24"/>
      <c r="G110" s="24"/>
      <c r="H110" s="24"/>
      <c r="R110" s="12"/>
    </row>
    <row r="111" spans="1:18">
      <c r="A111" s="10"/>
      <c r="B111" s="10"/>
      <c r="C111" s="24"/>
      <c r="D111" s="24"/>
      <c r="E111" s="24"/>
      <c r="F111" s="24"/>
      <c r="G111" s="24"/>
      <c r="H111" s="24"/>
      <c r="R111" s="12"/>
    </row>
    <row r="112" spans="1:18">
      <c r="A112" s="10"/>
      <c r="B112" s="10"/>
      <c r="C112" s="24"/>
      <c r="D112" s="24"/>
      <c r="E112" s="24"/>
      <c r="F112" s="24"/>
      <c r="G112" s="24"/>
      <c r="H112" s="24"/>
      <c r="R112" s="12"/>
    </row>
    <row r="113" spans="1:18">
      <c r="A113" s="10"/>
      <c r="B113" s="10"/>
      <c r="C113" s="24"/>
      <c r="D113" s="24"/>
      <c r="E113" s="24"/>
      <c r="F113" s="24"/>
      <c r="G113" s="24"/>
      <c r="H113" s="24"/>
      <c r="R113" s="12"/>
    </row>
    <row r="114" spans="1:18">
      <c r="A114" s="10"/>
      <c r="B114" s="10"/>
      <c r="C114" s="24"/>
      <c r="D114" s="24"/>
      <c r="E114" s="24"/>
      <c r="F114" s="24"/>
      <c r="G114" s="24"/>
      <c r="H114" s="24"/>
      <c r="R114" s="12"/>
    </row>
    <row r="115" spans="1:18">
      <c r="A115" s="10"/>
      <c r="B115" s="10"/>
      <c r="C115" s="24"/>
      <c r="D115" s="24"/>
      <c r="E115" s="24"/>
      <c r="F115" s="24"/>
      <c r="G115" s="24"/>
      <c r="H115" s="24"/>
      <c r="R115" s="12"/>
    </row>
    <row r="116" spans="1:18">
      <c r="A116" s="10"/>
      <c r="B116" s="10"/>
      <c r="C116" s="24"/>
      <c r="D116" s="24"/>
      <c r="E116" s="24"/>
      <c r="F116" s="24"/>
      <c r="G116" s="24"/>
      <c r="H116" s="24"/>
      <c r="R116" s="12"/>
    </row>
    <row r="117" spans="1:18">
      <c r="A117" s="10"/>
      <c r="B117" s="10"/>
      <c r="C117" s="24"/>
      <c r="D117" s="24"/>
      <c r="E117" s="24"/>
      <c r="F117" s="24"/>
      <c r="G117" s="24"/>
      <c r="H117" s="24"/>
      <c r="R117" s="12"/>
    </row>
    <row r="118" spans="1:18">
      <c r="A118" s="10"/>
      <c r="B118" s="10"/>
      <c r="C118" s="24"/>
      <c r="D118" s="24"/>
      <c r="E118" s="24"/>
      <c r="F118" s="24"/>
      <c r="G118" s="24"/>
      <c r="H118" s="24"/>
      <c r="R118" s="12"/>
    </row>
    <row r="119" spans="1:18">
      <c r="A119" s="10"/>
      <c r="B119" s="10"/>
      <c r="C119" s="24"/>
      <c r="D119" s="24"/>
      <c r="E119" s="24"/>
      <c r="F119" s="24"/>
      <c r="G119" s="24"/>
      <c r="H119" s="24"/>
      <c r="R119" s="12"/>
    </row>
    <row r="120" spans="1:18">
      <c r="A120" s="10"/>
      <c r="B120" s="10"/>
      <c r="C120" s="24"/>
      <c r="D120" s="24"/>
      <c r="E120" s="24"/>
      <c r="F120" s="24"/>
      <c r="G120" s="24"/>
      <c r="H120" s="24"/>
      <c r="R120" s="12"/>
    </row>
    <row r="121" spans="1:18">
      <c r="A121" s="10"/>
      <c r="B121" s="10"/>
      <c r="C121" s="24"/>
      <c r="D121" s="24"/>
      <c r="E121" s="24"/>
      <c r="F121" s="24"/>
      <c r="G121" s="24"/>
      <c r="H121" s="24"/>
      <c r="R121" s="12"/>
    </row>
    <row r="122" spans="1:18">
      <c r="A122" s="10"/>
      <c r="B122" s="10"/>
      <c r="C122" s="24"/>
      <c r="D122" s="24"/>
      <c r="E122" s="24"/>
      <c r="F122" s="24"/>
      <c r="G122" s="24"/>
      <c r="H122" s="24"/>
      <c r="R122" s="12"/>
    </row>
    <row r="123" spans="1:18">
      <c r="A123" s="10"/>
      <c r="B123" s="10"/>
      <c r="C123" s="24"/>
      <c r="D123" s="24"/>
      <c r="E123" s="24"/>
      <c r="F123" s="24"/>
      <c r="G123" s="24"/>
      <c r="H123" s="24"/>
      <c r="R123" s="12"/>
    </row>
    <row r="124" spans="1:18">
      <c r="A124" s="10"/>
      <c r="B124" s="10"/>
      <c r="C124" s="24"/>
      <c r="D124" s="24"/>
      <c r="E124" s="24"/>
      <c r="F124" s="24"/>
      <c r="G124" s="24"/>
      <c r="H124" s="24"/>
      <c r="R124" s="12"/>
    </row>
    <row r="125" spans="1:18">
      <c r="A125" s="10"/>
      <c r="B125" s="10"/>
      <c r="C125" s="24"/>
      <c r="D125" s="24"/>
      <c r="E125" s="24"/>
      <c r="F125" s="24"/>
      <c r="G125" s="24"/>
      <c r="H125" s="24"/>
      <c r="R125" s="12"/>
    </row>
    <row r="126" spans="1:18">
      <c r="A126" s="10"/>
      <c r="B126" s="10"/>
      <c r="C126" s="24"/>
      <c r="D126" s="24"/>
      <c r="E126" s="24"/>
      <c r="F126" s="24"/>
      <c r="G126" s="24"/>
      <c r="H126" s="24"/>
      <c r="R126" s="12"/>
    </row>
    <row r="127" spans="1:18">
      <c r="A127" s="10"/>
      <c r="B127" s="10"/>
      <c r="C127" s="24"/>
      <c r="D127" s="24"/>
      <c r="E127" s="24"/>
      <c r="F127" s="24"/>
      <c r="G127" s="24"/>
      <c r="H127" s="24"/>
      <c r="R127" s="12"/>
    </row>
    <row r="128" spans="1:18">
      <c r="A128" s="10"/>
      <c r="B128" s="10"/>
      <c r="C128" s="24"/>
      <c r="D128" s="24"/>
      <c r="E128" s="24"/>
      <c r="F128" s="24"/>
      <c r="G128" s="24"/>
      <c r="H128" s="24"/>
      <c r="R128" s="12"/>
    </row>
    <row r="129" spans="1:18">
      <c r="A129" s="10"/>
      <c r="B129" s="10"/>
      <c r="C129" s="24"/>
      <c r="D129" s="24"/>
      <c r="E129" s="24"/>
      <c r="F129" s="24"/>
      <c r="G129" s="24"/>
      <c r="H129" s="24"/>
      <c r="R129" s="12"/>
    </row>
    <row r="130" spans="1:18">
      <c r="A130" s="10"/>
      <c r="B130" s="10"/>
      <c r="C130" s="24"/>
      <c r="D130" s="24"/>
      <c r="E130" s="24"/>
      <c r="F130" s="24"/>
      <c r="G130" s="24"/>
      <c r="H130" s="24"/>
      <c r="R130" s="12"/>
    </row>
    <row r="131" spans="1:18">
      <c r="A131" s="10"/>
      <c r="B131" s="10"/>
      <c r="C131" s="24"/>
      <c r="D131" s="24"/>
      <c r="E131" s="24"/>
      <c r="F131" s="24"/>
      <c r="G131" s="24"/>
      <c r="H131" s="24"/>
      <c r="R131" s="12"/>
    </row>
    <row r="132" spans="1:18">
      <c r="A132" s="10"/>
      <c r="B132" s="10"/>
      <c r="C132" s="24"/>
      <c r="D132" s="24"/>
      <c r="E132" s="24"/>
      <c r="F132" s="24"/>
      <c r="G132" s="24"/>
      <c r="H132" s="24"/>
      <c r="R132" s="12"/>
    </row>
    <row r="133" spans="1:18">
      <c r="A133" s="10"/>
      <c r="B133" s="10"/>
      <c r="C133" s="24"/>
      <c r="D133" s="24"/>
      <c r="E133" s="24"/>
      <c r="F133" s="24"/>
      <c r="G133" s="24"/>
      <c r="H133" s="24"/>
      <c r="R133" s="12"/>
    </row>
    <row r="134" spans="1:18">
      <c r="A134" s="10"/>
      <c r="B134" s="10"/>
      <c r="C134" s="24"/>
      <c r="D134" s="24"/>
      <c r="E134" s="24"/>
      <c r="F134" s="24"/>
      <c r="G134" s="24"/>
      <c r="H134" s="24"/>
      <c r="R134" s="12"/>
    </row>
    <row r="135" spans="1:18">
      <c r="A135" s="10"/>
      <c r="B135" s="10"/>
      <c r="C135" s="24"/>
      <c r="D135" s="24"/>
      <c r="E135" s="24"/>
      <c r="F135" s="24"/>
      <c r="G135" s="24"/>
      <c r="H135" s="24"/>
      <c r="R135" s="12"/>
    </row>
    <row r="136" spans="1:18">
      <c r="A136" s="10"/>
      <c r="B136" s="10"/>
      <c r="C136" s="24"/>
      <c r="D136" s="24"/>
      <c r="E136" s="24"/>
      <c r="F136" s="24"/>
      <c r="G136" s="24"/>
      <c r="H136" s="24"/>
      <c r="R136" s="12"/>
    </row>
    <row r="137" spans="1:18">
      <c r="A137" s="10"/>
      <c r="B137" s="10"/>
      <c r="C137" s="24"/>
      <c r="D137" s="24"/>
      <c r="E137" s="24"/>
      <c r="F137" s="24"/>
      <c r="G137" s="24"/>
      <c r="H137" s="24"/>
      <c r="R137" s="12"/>
    </row>
    <row r="138" spans="1:18">
      <c r="A138" s="10"/>
      <c r="B138" s="10"/>
      <c r="C138" s="24"/>
      <c r="D138" s="24"/>
      <c r="E138" s="24"/>
      <c r="F138" s="24"/>
      <c r="G138" s="24"/>
      <c r="H138" s="24"/>
      <c r="R138" s="12"/>
    </row>
    <row r="139" spans="1:18">
      <c r="A139" s="10"/>
      <c r="B139" s="10"/>
      <c r="C139" s="24"/>
      <c r="D139" s="24"/>
      <c r="E139" s="24"/>
      <c r="F139" s="24"/>
      <c r="G139" s="24"/>
      <c r="H139" s="24"/>
      <c r="R139" s="12"/>
    </row>
    <row r="140" spans="1:18">
      <c r="A140" s="10"/>
      <c r="B140" s="10"/>
      <c r="C140" s="24"/>
      <c r="D140" s="24"/>
      <c r="E140" s="24"/>
      <c r="F140" s="24"/>
      <c r="G140" s="24"/>
      <c r="H140" s="24"/>
      <c r="R140" s="12"/>
    </row>
    <row r="141" spans="1:18">
      <c r="A141" s="10"/>
      <c r="B141" s="10"/>
      <c r="C141" s="24"/>
      <c r="D141" s="24"/>
      <c r="E141" s="24"/>
      <c r="F141" s="24"/>
      <c r="G141" s="24"/>
      <c r="H141" s="24"/>
      <c r="R141" s="12"/>
    </row>
    <row r="142" spans="1:18">
      <c r="A142" s="10"/>
      <c r="B142" s="10"/>
      <c r="C142" s="24"/>
      <c r="D142" s="24"/>
      <c r="E142" s="24"/>
      <c r="F142" s="24"/>
      <c r="G142" s="24"/>
      <c r="H142" s="24"/>
      <c r="R142" s="12"/>
    </row>
    <row r="143" spans="1:18">
      <c r="A143" s="10"/>
      <c r="B143" s="10"/>
      <c r="C143" s="24"/>
      <c r="D143" s="24"/>
      <c r="E143" s="24"/>
      <c r="F143" s="24"/>
      <c r="G143" s="24"/>
      <c r="H143" s="24"/>
      <c r="R143" s="12"/>
    </row>
    <row r="144" spans="1:18">
      <c r="A144" s="10"/>
      <c r="B144" s="10"/>
      <c r="C144" s="24"/>
      <c r="D144" s="24"/>
      <c r="E144" s="24"/>
      <c r="F144" s="24"/>
      <c r="G144" s="24"/>
      <c r="H144" s="24"/>
      <c r="R144" s="12"/>
    </row>
    <row r="145" spans="1:18">
      <c r="A145" s="10"/>
      <c r="B145" s="10"/>
      <c r="C145" s="24"/>
      <c r="D145" s="24"/>
      <c r="E145" s="24"/>
      <c r="F145" s="24"/>
      <c r="G145" s="24"/>
      <c r="H145" s="24"/>
      <c r="R145" s="12"/>
    </row>
    <row r="146" spans="1:18">
      <c r="A146" s="10"/>
      <c r="B146" s="10"/>
      <c r="C146" s="24"/>
      <c r="D146" s="24"/>
      <c r="E146" s="24"/>
      <c r="F146" s="24"/>
      <c r="G146" s="24"/>
      <c r="H146" s="24"/>
      <c r="R146" s="12"/>
    </row>
    <row r="147" spans="1:18">
      <c r="A147" s="10"/>
      <c r="B147" s="10"/>
      <c r="C147" s="24"/>
      <c r="D147" s="24"/>
      <c r="E147" s="24"/>
      <c r="F147" s="24"/>
      <c r="G147" s="24"/>
      <c r="H147" s="24"/>
      <c r="R147" s="12"/>
    </row>
    <row r="148" spans="1:18">
      <c r="A148" s="10"/>
      <c r="B148" s="10"/>
      <c r="C148" s="24"/>
      <c r="D148" s="24"/>
      <c r="E148" s="24"/>
      <c r="F148" s="24"/>
      <c r="G148" s="24"/>
      <c r="H148" s="24"/>
      <c r="R148" s="12"/>
    </row>
    <row r="149" spans="1:18">
      <c r="A149" s="10"/>
      <c r="B149" s="10"/>
      <c r="C149" s="24"/>
      <c r="D149" s="24"/>
      <c r="E149" s="24"/>
      <c r="F149" s="24"/>
      <c r="G149" s="24"/>
      <c r="H149" s="24"/>
      <c r="R149" s="12"/>
    </row>
    <row r="150" spans="1:18">
      <c r="A150" s="10"/>
      <c r="B150" s="10"/>
      <c r="C150" s="24"/>
      <c r="D150" s="24"/>
      <c r="E150" s="24"/>
      <c r="F150" s="24"/>
      <c r="G150" s="24"/>
      <c r="H150" s="24"/>
      <c r="R150" s="12"/>
    </row>
    <row r="151" spans="1:18">
      <c r="A151" s="10"/>
      <c r="B151" s="10"/>
      <c r="C151" s="24"/>
      <c r="D151" s="24"/>
      <c r="E151" s="24"/>
      <c r="F151" s="24"/>
      <c r="G151" s="24"/>
      <c r="H151" s="24"/>
      <c r="R151" s="12"/>
    </row>
    <row r="152" spans="1:18">
      <c r="A152" s="10"/>
      <c r="B152" s="10"/>
      <c r="C152" s="24"/>
      <c r="D152" s="24"/>
      <c r="E152" s="24"/>
      <c r="F152" s="24"/>
      <c r="G152" s="24"/>
      <c r="H152" s="24"/>
      <c r="R152" s="12"/>
    </row>
    <row r="153" spans="1:18">
      <c r="A153" s="10"/>
      <c r="B153" s="10"/>
      <c r="C153" s="24"/>
      <c r="D153" s="24"/>
      <c r="E153" s="24"/>
      <c r="F153" s="24"/>
      <c r="G153" s="24"/>
      <c r="H153" s="24"/>
      <c r="R153" s="12"/>
    </row>
    <row r="154" spans="1:18">
      <c r="A154" s="10"/>
      <c r="B154" s="10"/>
      <c r="C154" s="24"/>
      <c r="D154" s="24"/>
      <c r="E154" s="24"/>
      <c r="F154" s="24"/>
      <c r="G154" s="24"/>
      <c r="H154" s="24"/>
      <c r="R154" s="12"/>
    </row>
    <row r="155" spans="1:18">
      <c r="A155" s="10"/>
      <c r="B155" s="10"/>
      <c r="C155" s="24"/>
      <c r="D155" s="24"/>
      <c r="E155" s="24"/>
      <c r="F155" s="24"/>
      <c r="G155" s="24"/>
      <c r="H155" s="24"/>
      <c r="R155" s="12"/>
    </row>
    <row r="156" spans="1:18">
      <c r="A156" s="10"/>
      <c r="B156" s="10"/>
      <c r="C156" s="24"/>
      <c r="D156" s="24"/>
      <c r="E156" s="24"/>
      <c r="F156" s="24"/>
      <c r="G156" s="24"/>
      <c r="H156" s="24"/>
      <c r="R156" s="12"/>
    </row>
    <row r="157" spans="1:18">
      <c r="A157" s="10"/>
      <c r="B157" s="10"/>
      <c r="C157" s="24"/>
      <c r="D157" s="24"/>
      <c r="E157" s="24"/>
      <c r="F157" s="24"/>
      <c r="G157" s="24"/>
      <c r="H157" s="24"/>
      <c r="R157" s="12"/>
    </row>
    <row r="158" spans="1:18">
      <c r="A158" s="10"/>
      <c r="B158" s="10"/>
      <c r="C158" s="24"/>
      <c r="D158" s="24"/>
      <c r="E158" s="24"/>
      <c r="F158" s="24"/>
      <c r="G158" s="24"/>
      <c r="H158" s="24"/>
      <c r="R158" s="12"/>
    </row>
    <row r="159" spans="1:18">
      <c r="A159" s="10"/>
      <c r="B159" s="10"/>
      <c r="C159" s="24"/>
      <c r="D159" s="24"/>
      <c r="E159" s="24"/>
      <c r="F159" s="24"/>
      <c r="G159" s="24"/>
      <c r="H159" s="24"/>
      <c r="R159" s="12"/>
    </row>
    <row r="160" spans="1:18">
      <c r="A160" s="10"/>
      <c r="B160" s="10"/>
      <c r="C160" s="24"/>
      <c r="D160" s="24"/>
      <c r="E160" s="24"/>
      <c r="F160" s="24"/>
      <c r="G160" s="24"/>
      <c r="H160" s="24"/>
      <c r="R160" s="12"/>
    </row>
    <row r="161" spans="1:18">
      <c r="A161" s="10"/>
      <c r="B161" s="10"/>
      <c r="C161" s="24"/>
      <c r="D161" s="24"/>
      <c r="E161" s="24"/>
      <c r="F161" s="24"/>
      <c r="G161" s="24"/>
      <c r="H161" s="24"/>
      <c r="R161" s="12"/>
    </row>
    <row r="162" spans="1:18">
      <c r="A162" s="10"/>
      <c r="B162" s="10"/>
      <c r="C162" s="24"/>
      <c r="D162" s="24"/>
      <c r="E162" s="24"/>
      <c r="F162" s="24"/>
      <c r="G162" s="24"/>
      <c r="H162" s="24"/>
      <c r="R162" s="12"/>
    </row>
    <row r="163" spans="1:18">
      <c r="A163" s="10"/>
      <c r="B163" s="10"/>
      <c r="C163" s="24"/>
      <c r="D163" s="24"/>
      <c r="E163" s="24"/>
      <c r="F163" s="24"/>
      <c r="G163" s="24"/>
      <c r="H163" s="24"/>
      <c r="R163" s="12"/>
    </row>
    <row r="164" spans="1:18">
      <c r="A164" s="10"/>
      <c r="B164" s="10"/>
      <c r="C164" s="24"/>
      <c r="D164" s="24"/>
      <c r="E164" s="24"/>
      <c r="F164" s="24"/>
      <c r="G164" s="24"/>
      <c r="H164" s="24"/>
      <c r="R164" s="12"/>
    </row>
    <row r="165" spans="1:18">
      <c r="A165" s="10"/>
      <c r="B165" s="10"/>
      <c r="C165" s="24"/>
      <c r="D165" s="24"/>
      <c r="E165" s="24"/>
      <c r="F165" s="24"/>
      <c r="G165" s="24"/>
      <c r="H165" s="24"/>
      <c r="R165" s="12"/>
    </row>
    <row r="166" spans="1:18">
      <c r="R166" s="12"/>
    </row>
    <row r="167" spans="1:18">
      <c r="R167" s="12"/>
    </row>
    <row r="168" spans="1:18">
      <c r="R168" s="12"/>
    </row>
    <row r="169" spans="1:18">
      <c r="R169" s="12"/>
    </row>
    <row r="170" spans="1:18">
      <c r="R170" s="12"/>
    </row>
    <row r="171" spans="1:18">
      <c r="R171" s="12"/>
    </row>
    <row r="172" spans="1:18">
      <c r="R172" s="12"/>
    </row>
    <row r="173" spans="1:18">
      <c r="R173" s="12"/>
    </row>
    <row r="174" spans="1:18">
      <c r="R174" s="12"/>
    </row>
    <row r="175" spans="1:18">
      <c r="R175" s="12"/>
    </row>
    <row r="176" spans="1:18">
      <c r="R176" s="12"/>
    </row>
    <row r="177" spans="18:18">
      <c r="R177" s="12"/>
    </row>
    <row r="178" spans="18:18">
      <c r="R178" s="12"/>
    </row>
    <row r="179" spans="18:18">
      <c r="R179" s="12"/>
    </row>
    <row r="180" spans="18:18">
      <c r="R180" s="12"/>
    </row>
    <row r="181" spans="18:18">
      <c r="R181" s="12"/>
    </row>
    <row r="182" spans="18:18">
      <c r="R182" s="12"/>
    </row>
    <row r="183" spans="18:18">
      <c r="R183" s="12"/>
    </row>
    <row r="184" spans="18:18">
      <c r="R184" s="12"/>
    </row>
    <row r="185" spans="18:18">
      <c r="R185" s="12"/>
    </row>
  </sheetData>
  <mergeCells count="4">
    <mergeCell ref="A1:B3"/>
    <mergeCell ref="I3:J3"/>
    <mergeCell ref="K1:O1"/>
    <mergeCell ref="C1:G1"/>
  </mergeCells>
  <pageMargins left="0.7" right="0.7" top="0.75" bottom="0.75" header="0.3" footer="0.3"/>
  <ignoredErrors>
    <ignoredError sqref="C2:E2" numberStoredAsText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64A6-0FCB-7544-B612-2085FCCC56C0}">
  <dimension ref="A1:Q12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2" sqref="G1:H1048576"/>
    </sheetView>
  </sheetViews>
  <sheetFormatPr baseColWidth="10" defaultColWidth="8.83203125" defaultRowHeight="15"/>
  <cols>
    <col min="1" max="1" width="25.83203125" customWidth="1"/>
    <col min="2" max="2" width="15.83203125" customWidth="1"/>
    <col min="3" max="6" width="20.83203125" customWidth="1"/>
    <col min="7" max="7" width="22.83203125" hidden="1" customWidth="1"/>
    <col min="8" max="8" width="20.83203125" hidden="1" customWidth="1"/>
    <col min="9" max="12" width="20.83203125" customWidth="1"/>
    <col min="13" max="14" width="20.83203125" hidden="1" customWidth="1"/>
    <col min="15" max="15" width="20.83203125" customWidth="1"/>
    <col min="16" max="16" width="9.1640625" bestFit="1" customWidth="1"/>
    <col min="17" max="17" width="20.83203125" customWidth="1"/>
  </cols>
  <sheetData>
    <row r="1" spans="1:17" s="18" customFormat="1" ht="35" customHeight="1">
      <c r="A1" s="206" t="s">
        <v>760</v>
      </c>
      <c r="B1" s="207"/>
      <c r="C1" s="225" t="s">
        <v>0</v>
      </c>
      <c r="D1" s="226"/>
      <c r="E1" s="226"/>
      <c r="F1" s="226"/>
      <c r="G1" s="226"/>
      <c r="H1" s="226"/>
      <c r="I1" s="227" t="s">
        <v>858</v>
      </c>
      <c r="J1" s="228"/>
      <c r="K1" s="228"/>
      <c r="L1" s="228"/>
      <c r="M1" s="228"/>
      <c r="N1" s="228"/>
      <c r="O1" s="229"/>
      <c r="Q1"/>
    </row>
    <row r="2" spans="1:17" s="18" customFormat="1" ht="35" customHeight="1">
      <c r="A2" s="207"/>
      <c r="B2" s="207"/>
      <c r="C2" s="3">
        <v>1</v>
      </c>
      <c r="D2" s="4">
        <v>2</v>
      </c>
      <c r="E2" s="4">
        <v>3</v>
      </c>
      <c r="F2" s="4">
        <v>4</v>
      </c>
      <c r="G2" s="4" t="s">
        <v>766</v>
      </c>
      <c r="H2" s="4" t="s">
        <v>770</v>
      </c>
      <c r="I2" s="53">
        <v>0.3</v>
      </c>
      <c r="J2" s="53">
        <v>0.25</v>
      </c>
      <c r="K2" s="53">
        <v>0.2</v>
      </c>
      <c r="L2" s="53">
        <v>0.25</v>
      </c>
      <c r="M2" s="53"/>
      <c r="N2" s="53"/>
      <c r="O2" s="21">
        <f>SUM(I2:L2)</f>
        <v>1</v>
      </c>
      <c r="Q2"/>
    </row>
    <row r="3" spans="1:17" s="2" customFormat="1" ht="52" customHeight="1">
      <c r="A3" s="230"/>
      <c r="B3" s="230"/>
      <c r="C3" s="8" t="s">
        <v>452</v>
      </c>
      <c r="D3" s="8" t="s">
        <v>453</v>
      </c>
      <c r="E3" s="8" t="s">
        <v>454</v>
      </c>
      <c r="F3" s="8" t="s">
        <v>891</v>
      </c>
      <c r="G3" s="158" t="s">
        <v>889</v>
      </c>
      <c r="H3" s="158" t="s">
        <v>890</v>
      </c>
      <c r="I3" s="16" t="s">
        <v>452</v>
      </c>
      <c r="J3" s="16" t="s">
        <v>453</v>
      </c>
      <c r="K3" s="16" t="s">
        <v>454</v>
      </c>
      <c r="L3" s="16" t="s">
        <v>891</v>
      </c>
      <c r="M3" s="161" t="s">
        <v>889</v>
      </c>
      <c r="N3" s="161" t="s">
        <v>890</v>
      </c>
      <c r="O3" s="47" t="s">
        <v>760</v>
      </c>
      <c r="Q3" s="8" t="s">
        <v>819</v>
      </c>
    </row>
    <row r="4" spans="1:17" s="2" customFormat="1" ht="75">
      <c r="A4" s="8" t="s">
        <v>840</v>
      </c>
      <c r="B4" s="8" t="s">
        <v>3</v>
      </c>
      <c r="C4" s="8" t="s">
        <v>609</v>
      </c>
      <c r="D4" s="8" t="s">
        <v>611</v>
      </c>
      <c r="E4" s="8" t="s">
        <v>610</v>
      </c>
      <c r="F4" s="8" t="s">
        <v>892</v>
      </c>
      <c r="G4" s="158" t="s">
        <v>666</v>
      </c>
      <c r="H4" s="158" t="s">
        <v>667</v>
      </c>
      <c r="I4" s="16" t="s">
        <v>457</v>
      </c>
      <c r="J4" s="16" t="s">
        <v>458</v>
      </c>
      <c r="K4" s="16" t="s">
        <v>459</v>
      </c>
      <c r="L4" s="16" t="s">
        <v>460</v>
      </c>
      <c r="M4" s="161" t="s">
        <v>460</v>
      </c>
      <c r="N4" s="161" t="s">
        <v>461</v>
      </c>
      <c r="O4" s="47" t="s">
        <v>462</v>
      </c>
      <c r="Q4"/>
    </row>
    <row r="5" spans="1:17" s="2" customFormat="1" ht="20" customHeight="1">
      <c r="A5" s="35" t="str" cm="1">
        <f t="array" ref="A5:B40">_xlfn._xlws.FILTER(Screening!$A$2:$B$216,Screening!$L$2:$L$216="Yes","")</f>
        <v>Australia</v>
      </c>
      <c r="B5" s="35" t="str">
        <v>AUS</v>
      </c>
      <c r="C5" s="61">
        <f>IF($B5="","",_xlfn.XLOOKUP($B5,[1]pillars_WIP!$B$7:$B$116,[1]pillars_WIP!$AC$7:$AC$116,"Missing",0))</f>
        <v>129.31734965158907</v>
      </c>
      <c r="D5" s="61">
        <f>IF($B5="","",_xlfn.XLOOKUP($B5,[1]pillars_WIP!$B$7:$B$116,[1]pillars_WIP!$AD$7:$AD$116,"Missing",0))</f>
        <v>3.16656665428797</v>
      </c>
      <c r="E5" s="61">
        <f>IF($B5="","",_xlfn.XLOOKUP($B5,[1]pillars_WIP!$B$7:$B$116,[1]pillars_WIP!$AE$7:$AE$116,"Missing",0))</f>
        <v>50.610999999999997</v>
      </c>
      <c r="F5" s="61">
        <f>IF($B5="","",_xlfn.XLOOKUP($B5,[1]pillars_WIP!$B$7:$B$116,[1]pillars_WIP!$AH$7:$AH$116,"Missing",0))</f>
        <v>4.544523708101857</v>
      </c>
      <c r="G5" s="58">
        <f>_xlfn.XLOOKUP($B5,[1]pillars_WIP!$B$7:$B$501,[1]pillars_WIP!$AF$7:$AF$501,"Missing",0)</f>
        <v>0</v>
      </c>
      <c r="H5" s="58">
        <f>_xlfn.XLOOKUP($B5,[1]pillars_WIP!$B$7:$B$501,[1]pillars_WIP!$AG$7:$AG$501,"Missing",0)</f>
        <v>0</v>
      </c>
      <c r="I5" s="11">
        <f>IF(ISNUMBER(C5),_xlfn.LET(_xlpm.cap,_xlfn.XLOOKUP("Domestic credit full-score cap",Params!$F:$F,Params!$G:$G),MAX(0,MIN(C5,_xlpm.cap))/_xlpm.cap*100),"")</f>
        <v>64.658674825794535</v>
      </c>
      <c r="J5" s="11">
        <f>IF(ISNUMBER(D5),_xlfn.LET(_xlpm.x,ABS(D5),_xlpm.bandOne,_xlfn.XLOOKUP("Inflation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5" s="11">
        <f>IF(ISNUMBER(E5),_xlfn.LET(_xlpm.cap,_xlfn.XLOOKUP("Sovereign debt zero-score cap",Params!$F:$F,Params!$G:$G),100-MAX(0,MIN(E5,_xlpm.cap))/_xlpm.cap*100),"")</f>
        <v>66.259333333333331</v>
      </c>
      <c r="L5" s="11">
        <f>IF(ISNUMBER(F5),_xlfn.LET(_xlpm.cap,_xlfn.XLOOKUP("Exchange-rate instability P95",Params!$F:$F,Params!$G:$G),IF(_xlpm.cap=0,100,(1-MIN(MAX(F5,0),_xlpm.cap)/_xlpm.cap)*100)),"")</f>
        <v>69.013548084961897</v>
      </c>
      <c r="M5" s="11">
        <f>IF(ISNUMBER(G5),_xlfn.LET(_xlpm.cap,_xlfn.XLOOKUP("PPI investment log1p ceiling",Params!$F:$F,Params!$G:$G),IF(_xlpm.cap=0,0,LN(1+MAX(0,MIN(G5,_xlpm.cap)))/LN(1+_xlpm.cap)*100)),"")</f>
        <v>0</v>
      </c>
      <c r="N5" s="11">
        <f>IF(ISNUMBER(H5),_xlfn.LET(_xlpm.cap,_xlfn.XLOOKUP("PPI project-count log1p ceiling",Params!$F:$F,Params!$G:$G),IF(_xlpm.cap=0,0,LN(1+MAX(0,MIN(H5,_xlpm.cap)))/LN(1+_xlpm.cap)*100)),"")</f>
        <v>0</v>
      </c>
      <c r="O5" s="12">
        <f>IF(COUNT(I5:L5)=4,SUMPRODUCT(I5:L5,$I$2:$L$2),"")</f>
        <v>74.902856135645507</v>
      </c>
      <c r="P5"/>
      <c r="Q5"/>
    </row>
    <row r="6" spans="1:17" s="2" customFormat="1" ht="20" customHeight="1">
      <c r="A6" s="35" t="str">
        <v>Bangladesh</v>
      </c>
      <c r="B6" s="35" t="str">
        <v>BGD</v>
      </c>
      <c r="C6" s="61">
        <f>IF($B6="","",_xlfn.XLOOKUP($B6,[1]pillars_WIP!$B$7:$B$116,[1]pillars_WIP!$AC$7:$AC$116,"Missing",0))</f>
        <v>35.811171578796269</v>
      </c>
      <c r="D6" s="61">
        <f>IF($B6="","",_xlfn.XLOOKUP($B6,[1]pillars_WIP!$B$7:$B$116,[1]pillars_WIP!$AD$7:$AD$116,"Missing",0))</f>
        <v>10.4657482763412</v>
      </c>
      <c r="E6" s="61">
        <f>IF($B6="","",_xlfn.XLOOKUP($B6,[1]pillars_WIP!$B$7:$B$116,[1]pillars_WIP!$AE$7:$AE$116,"Missing",0))</f>
        <v>40.972000000000001</v>
      </c>
      <c r="F6" s="61">
        <f>IF($B6="","",_xlfn.XLOOKUP($B6,[1]pillars_WIP!$B$7:$B$116,[1]pillars_WIP!$AH$7:$AH$116,"Missing",0))</f>
        <v>6.2793241904130745</v>
      </c>
      <c r="G6" s="58">
        <f>_xlfn.XLOOKUP($B6,[1]pillars_WIP!$B$7:$B$501,[1]pillars_WIP!$AF$7:$AF$501,"Missing",0)</f>
        <v>2971850000</v>
      </c>
      <c r="H6" s="58">
        <f>_xlfn.XLOOKUP($B6,[1]pillars_WIP!$B$7:$B$501,[1]pillars_WIP!$AG$7:$AG$501,"Missing",0)</f>
        <v>11</v>
      </c>
      <c r="I6" s="11">
        <f>IF(ISNUMBER(C6),_xlfn.LET(_xlpm.cap,_xlfn.XLOOKUP("Domestic credit full-score cap",Params!$F:$F,Params!$G:$G),MAX(0,MIN(C6,_xlpm.cap))/_xlpm.cap*100),"")</f>
        <v>17.905585789398135</v>
      </c>
      <c r="J6" s="11">
        <f>IF(ISNUMBER(D6),_xlfn.LET(_xlpm.x,ABS(D6),_xlpm.bandOne,_xlfn.XLOOKUP("Inflation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50</v>
      </c>
      <c r="K6" s="11">
        <f>IF(ISNUMBER(E6),_xlfn.LET(_xlpm.cap,_xlfn.XLOOKUP("Sovereign debt zero-score cap",Params!$F:$F,Params!$G:$G),100-MAX(0,MIN(E6,_xlpm.cap))/_xlpm.cap*100),"")</f>
        <v>72.685333333333332</v>
      </c>
      <c r="L6" s="11">
        <f>IF(ISNUMBER(F6),_xlfn.LET(_xlpm.cap,_xlfn.XLOOKUP("Exchange-rate instability P95",Params!$F:$F,Params!$G:$G),IF(_xlpm.cap=0,100,(1-MIN(MAX(F6,0),_xlpm.cap)/_xlpm.cap)*100)),"")</f>
        <v>57.184957196220807</v>
      </c>
      <c r="M6" s="11">
        <f>IF(ISNUMBER(G6),_xlfn.LET(_xlpm.cap,_xlfn.XLOOKUP("PPI investment log1p ceiling",Params!$F:$F,Params!$G:$G),IF(_xlpm.cap=0,0,LN(1+MAX(0,MIN(G6,_xlpm.cap)))/LN(1+_xlpm.cap)*100)),"")</f>
        <v>87.04204667826825</v>
      </c>
      <c r="N6" s="11">
        <f>IF(ISNUMBER(H6),_xlfn.LET(_xlpm.cap,_xlfn.XLOOKUP("PPI project-count log1p ceiling",Params!$F:$F,Params!$G:$G),IF(_xlpm.cap=0,0,LN(1+MAX(0,MIN(H6,_xlpm.cap)))/LN(1+_xlpm.cap)*100)),"")</f>
        <v>49.0225609057592</v>
      </c>
      <c r="O6" s="12">
        <f t="shared" ref="O6:O40" si="0">IF(COUNT(I6:L6)=4,SUMPRODUCT(I6:L6,$I$2:$L$2),"")</f>
        <v>46.704981702541311</v>
      </c>
      <c r="P6"/>
      <c r="Q6"/>
    </row>
    <row r="7" spans="1:17" s="2" customFormat="1" ht="20" customHeight="1">
      <c r="A7" s="35" t="str">
        <v>Bosnia and Herzegovina</v>
      </c>
      <c r="B7" s="35" t="str">
        <v>BIH</v>
      </c>
      <c r="C7" s="61">
        <f>IF($B7="","",_xlfn.XLOOKUP($B7,[1]pillars_WIP!$B$7:$B$116,[1]pillars_WIP!$AC$7:$AC$116,"Missing",0))</f>
        <v>48.267377161078976</v>
      </c>
      <c r="D7" s="61">
        <f>IF($B7="","",_xlfn.XLOOKUP($B7,[1]pillars_WIP!$B$7:$B$116,[1]pillars_WIP!$AD$7:$AD$116,"Missing",0))</f>
        <v>1.69212733599723</v>
      </c>
      <c r="E7" s="61">
        <f>IF($B7="","",_xlfn.XLOOKUP($B7,[1]pillars_WIP!$B$7:$B$116,[1]pillars_WIP!$AE$7:$AE$116,"Missing",0))</f>
        <v>29.402999999999999</v>
      </c>
      <c r="F7" s="61">
        <f>IF($B7="","",_xlfn.XLOOKUP($B7,[1]pillars_WIP!$B$7:$B$116,[1]pillars_WIP!$AH$7:$AH$116,"Missing",0))</f>
        <v>4.0096151932862849</v>
      </c>
      <c r="G7" s="58">
        <f>_xlfn.XLOOKUP($B7,[1]pillars_WIP!$B$7:$B$501,[1]pillars_WIP!$AF$7:$AF$501,"Missing",0)</f>
        <v>574010000</v>
      </c>
      <c r="H7" s="58">
        <f>_xlfn.XLOOKUP($B7,[1]pillars_WIP!$B$7:$B$501,[1]pillars_WIP!$AG$7:$AG$501,"Missing",0)</f>
        <v>4</v>
      </c>
      <c r="I7" s="11">
        <f>IF(ISNUMBER(C7),_xlfn.LET(_xlpm.cap,_xlfn.XLOOKUP("Domestic credit full-score cap",Params!$F:$F,Params!$G:$G),MAX(0,MIN(C7,_xlpm.cap))/_xlpm.cap*100),"")</f>
        <v>24.133688580539488</v>
      </c>
      <c r="J7" s="11">
        <f>IF(ISNUMBER(D7),_xlfn.LET(_xlpm.x,ABS(D7),_xlpm.bandOne,_xlfn.XLOOKUP("Inflation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7" s="11">
        <f>IF(ISNUMBER(E7),_xlfn.LET(_xlpm.cap,_xlfn.XLOOKUP("Sovereign debt zero-score cap",Params!$F:$F,Params!$G:$G),100-MAX(0,MIN(E7,_xlpm.cap))/_xlpm.cap*100),"")</f>
        <v>80.397999999999996</v>
      </c>
      <c r="L7" s="11">
        <f>IF(ISNUMBER(F7),_xlfn.LET(_xlpm.cap,_xlfn.XLOOKUP("Exchange-rate instability P95",Params!$F:$F,Params!$G:$G),IF(_xlpm.cap=0,100,(1-MIN(MAX(F7,0),_xlpm.cap)/_xlpm.cap)*100)),"")</f>
        <v>72.660776713944045</v>
      </c>
      <c r="M7" s="11">
        <f>IF(ISNUMBER(G7),_xlfn.LET(_xlpm.cap,_xlfn.XLOOKUP("PPI investment log1p ceiling",Params!$F:$F,Params!$G:$G),IF(_xlpm.cap=0,0,LN(1+MAX(0,MIN(G7,_xlpm.cap)))/LN(1+_xlpm.cap)*100)),"")</f>
        <v>80.480535487053018</v>
      </c>
      <c r="N7" s="11">
        <f>IF(ISNUMBER(H7),_xlfn.LET(_xlpm.cap,_xlfn.XLOOKUP("PPI project-count log1p ceiling",Params!$F:$F,Params!$G:$G),IF(_xlpm.cap=0,0,LN(1+MAX(0,MIN(H7,_xlpm.cap)))/LN(1+_xlpm.cap)*100)),"")</f>
        <v>31.751200027200159</v>
      </c>
      <c r="O7" s="12">
        <f t="shared" si="0"/>
        <v>66.48490075264786</v>
      </c>
      <c r="P7"/>
      <c r="Q7"/>
    </row>
    <row r="8" spans="1:17" s="2" customFormat="1" ht="20" customHeight="1">
      <c r="A8" s="35" t="str">
        <v>Brazil</v>
      </c>
      <c r="B8" s="35" t="str">
        <v>BRA</v>
      </c>
      <c r="C8" s="61">
        <f>IF($B8="","",_xlfn.XLOOKUP($B8,[1]pillars_WIP!$B$7:$B$116,[1]pillars_WIP!$AC$7:$AC$116,"Missing",0))</f>
        <v>75.630873093954193</v>
      </c>
      <c r="D8" s="61">
        <f>IF($B8="","",_xlfn.XLOOKUP($B8,[1]pillars_WIP!$B$7:$B$116,[1]pillars_WIP!$AD$7:$AD$116,"Missing",0))</f>
        <v>4.3674640765233601</v>
      </c>
      <c r="E8" s="61">
        <f>IF($B8="","",_xlfn.XLOOKUP($B8,[1]pillars_WIP!$B$7:$B$116,[1]pillars_WIP!$AE$7:$AE$116,"Missing",0))</f>
        <v>87.028000000000006</v>
      </c>
      <c r="F8" s="61">
        <f>IF($B8="","",_xlfn.XLOOKUP($B8,[1]pillars_WIP!$B$7:$B$116,[1]pillars_WIP!$AH$7:$AH$116,"Missing",0))</f>
        <v>9.3225893529959389</v>
      </c>
      <c r="G8" s="58">
        <f>_xlfn.XLOOKUP($B8,[1]pillars_WIP!$B$7:$B$501,[1]pillars_WIP!$AF$7:$AF$501,"Missing",0)</f>
        <v>25347470000</v>
      </c>
      <c r="H8" s="58">
        <f>_xlfn.XLOOKUP($B8,[1]pillars_WIP!$B$7:$B$501,[1]pillars_WIP!$AG$7:$AG$501,"Missing",0)</f>
        <v>158</v>
      </c>
      <c r="I8" s="11">
        <f>IF(ISNUMBER(C8),_xlfn.LET(_xlpm.cap,_xlfn.XLOOKUP("Domestic credit full-score cap",Params!$F:$F,Params!$G:$G),MAX(0,MIN(C8,_xlpm.cap))/_xlpm.cap*100),"")</f>
        <v>37.815436546977097</v>
      </c>
      <c r="J8" s="11">
        <f>IF(ISNUMBER(D8),_xlfn.LET(_xlpm.x,ABS(D8),_xlpm.bandOne,_xlfn.XLOOKUP("Inflation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8" s="11">
        <f>IF(ISNUMBER(E8),_xlfn.LET(_xlpm.cap,_xlfn.XLOOKUP("Sovereign debt zero-score cap",Params!$F:$F,Params!$G:$G),100-MAX(0,MIN(E8,_xlpm.cap))/_xlpm.cap*100),"")</f>
        <v>41.981333333333325</v>
      </c>
      <c r="L8" s="11">
        <f>IF(ISNUMBER(F8),_xlfn.LET(_xlpm.cap,_xlfn.XLOOKUP("Exchange-rate instability P95",Params!$F:$F,Params!$G:$G),IF(_xlpm.cap=0,100,(1-MIN(MAX(F8,0),_xlpm.cap)/_xlpm.cap)*100)),"")</f>
        <v>36.434710155597173</v>
      </c>
      <c r="M8" s="11">
        <f>IF(ISNUMBER(G8),_xlfn.LET(_xlpm.cap,_xlfn.XLOOKUP("PPI investment log1p ceiling",Params!$F:$F,Params!$G:$G),IF(_xlpm.cap=0,0,LN(1+MAX(0,MIN(G8,_xlpm.cap)))/LN(1+_xlpm.cap)*100)),"")</f>
        <v>95.595607781120478</v>
      </c>
      <c r="N8" s="11">
        <f>IF(ISNUMBER(H8),_xlfn.LET(_xlpm.cap,_xlfn.XLOOKUP("PPI project-count log1p ceiling",Params!$F:$F,Params!$G:$G),IF(_xlpm.cap=0,0,LN(1+MAX(0,MIN(H8,_xlpm.cap)))/LN(1+_xlpm.cap)*100)),"")</f>
        <v>100</v>
      </c>
      <c r="O8" s="12">
        <f t="shared" si="0"/>
        <v>53.849575169659083</v>
      </c>
      <c r="P8"/>
      <c r="Q8"/>
    </row>
    <row r="9" spans="1:17" s="2" customFormat="1" ht="20" customHeight="1">
      <c r="A9" s="35" t="str">
        <v>Bulgaria</v>
      </c>
      <c r="B9" s="35" t="str">
        <v>BGR</v>
      </c>
      <c r="C9" s="61">
        <f>IF($B9="","",_xlfn.XLOOKUP($B9,[1]pillars_WIP!$B$7:$B$116,[1]pillars_WIP!$AC$7:$AC$116,"Missing",0))</f>
        <v>47.067902488525043</v>
      </c>
      <c r="D9" s="61">
        <f>IF($B9="","",_xlfn.XLOOKUP($B9,[1]pillars_WIP!$B$7:$B$116,[1]pillars_WIP!$AD$7:$AD$116,"Missing",0))</f>
        <v>2.4465194300607802</v>
      </c>
      <c r="E9" s="61">
        <f>IF($B9="","",_xlfn.XLOOKUP($B9,[1]pillars_WIP!$B$7:$B$116,[1]pillars_WIP!$AE$7:$AE$116,"Missing",0))</f>
        <v>23.84</v>
      </c>
      <c r="F9" s="61">
        <f>IF($B9="","",_xlfn.XLOOKUP($B9,[1]pillars_WIP!$B$7:$B$116,[1]pillars_WIP!$AH$7:$AH$116,"Missing",0))</f>
        <v>4.0194877861182716</v>
      </c>
      <c r="G9" s="58">
        <f>_xlfn.XLOOKUP($B9,[1]pillars_WIP!$B$7:$B$501,[1]pillars_WIP!$AF$7:$AF$501,"Missing",0)</f>
        <v>691090000</v>
      </c>
      <c r="H9" s="58">
        <f>_xlfn.XLOOKUP($B9,[1]pillars_WIP!$B$7:$B$501,[1]pillars_WIP!$AG$7:$AG$501,"Missing",0)</f>
        <v>7</v>
      </c>
      <c r="I9" s="11">
        <f>IF(ISNUMBER(C9),_xlfn.LET(_xlpm.cap,_xlfn.XLOOKUP("Domestic credit full-score cap",Params!$F:$F,Params!$G:$G),MAX(0,MIN(C9,_xlpm.cap))/_xlpm.cap*100),"")</f>
        <v>23.533951244262521</v>
      </c>
      <c r="J9" s="11">
        <f>IF(ISNUMBER(D9),_xlfn.LET(_xlpm.x,ABS(D9),_xlpm.bandOne,_xlfn.XLOOKUP("Inflation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9" s="11">
        <f>IF(ISNUMBER(E9),_xlfn.LET(_xlpm.cap,_xlfn.XLOOKUP("Sovereign debt zero-score cap",Params!$F:$F,Params!$G:$G),100-MAX(0,MIN(E9,_xlpm.cap))/_xlpm.cap*100),"")</f>
        <v>84.106666666666669</v>
      </c>
      <c r="L9" s="11">
        <f>IF(ISNUMBER(F9),_xlfn.LET(_xlpm.cap,_xlfn.XLOOKUP("Exchange-rate instability P95",Params!$F:$F,Params!$G:$G),IF(_xlpm.cap=0,100,(1-MIN(MAX(F9,0),_xlpm.cap)/_xlpm.cap)*100)),"")</f>
        <v>72.593461271729538</v>
      </c>
      <c r="M9" s="11">
        <f>IF(ISNUMBER(G9),_xlfn.LET(_xlpm.cap,_xlfn.XLOOKUP("PPI investment log1p ceiling",Params!$F:$F,Params!$G:$G),IF(_xlpm.cap=0,0,LN(1+MAX(0,MIN(G9,_xlpm.cap)))/LN(1+_xlpm.cap)*100)),"")</f>
        <v>81.221260469274512</v>
      </c>
      <c r="N9" s="11">
        <f>IF(ISNUMBER(H9),_xlfn.LET(_xlpm.cap,_xlfn.XLOOKUP("PPI project-count log1p ceiling",Params!$F:$F,Params!$G:$G),IF(_xlpm.cap=0,0,LN(1+MAX(0,MIN(H9,_xlpm.cap)))/LN(1+_xlpm.cap)*100)),"")</f>
        <v>41.023492627243172</v>
      </c>
      <c r="O9" s="12">
        <f t="shared" si="0"/>
        <v>67.029884024544472</v>
      </c>
      <c r="P9"/>
      <c r="Q9"/>
    </row>
    <row r="10" spans="1:17" s="2" customFormat="1" ht="20" customHeight="1">
      <c r="A10" s="35" t="str">
        <v>Cambodia</v>
      </c>
      <c r="B10" s="35" t="str">
        <v>KHM</v>
      </c>
      <c r="C10" s="61">
        <f>IF($B10="","",_xlfn.XLOOKUP($B10,[1]pillars_WIP!$B$7:$B$116,[1]pillars_WIP!$AC$7:$AC$116,"Missing",0))</f>
        <v>124.65976574946571</v>
      </c>
      <c r="D10" s="61">
        <f>IF($B10="","",_xlfn.XLOOKUP($B10,[1]pillars_WIP!$B$7:$B$116,[1]pillars_WIP!$AD$7:$AD$116,"Missing",0))</f>
        <v>0.80804201653665408</v>
      </c>
      <c r="E10" s="61">
        <f>IF($B10="","",_xlfn.XLOOKUP($B10,[1]pillars_WIP!$B$7:$B$116,[1]pillars_WIP!$AE$7:$AE$116,"Missing",0))</f>
        <v>26.138000000000002</v>
      </c>
      <c r="F10" s="61">
        <f>IF($B10="","",_xlfn.XLOOKUP($B10,[1]pillars_WIP!$B$7:$B$116,[1]pillars_WIP!$AH$7:$AH$116,"Missing",0))</f>
        <v>0.42931824410321684</v>
      </c>
      <c r="G10" s="58">
        <f>_xlfn.XLOOKUP($B10,[1]pillars_WIP!$B$7:$B$501,[1]pillars_WIP!$AF$7:$AF$501,"Missing",0)</f>
        <v>588700000</v>
      </c>
      <c r="H10" s="58">
        <f>_xlfn.XLOOKUP($B10,[1]pillars_WIP!$B$7:$B$501,[1]pillars_WIP!$AG$7:$AG$501,"Missing",0)</f>
        <v>4</v>
      </c>
      <c r="I10" s="11">
        <f>IF(ISNUMBER(C10),_xlfn.LET(_xlpm.cap,_xlfn.XLOOKUP("Domestic credit full-score cap",Params!$F:$F,Params!$G:$G),MAX(0,MIN(C10,_xlpm.cap))/_xlpm.cap*100),"")</f>
        <v>62.329882874732853</v>
      </c>
      <c r="J10" s="11">
        <f>IF(ISNUMBER(D10),_xlfn.LET(_xlpm.x,ABS(D10),_xlpm.bandOne,_xlfn.XLOOKUP("Inflation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0" s="11">
        <f>IF(ISNUMBER(E10),_xlfn.LET(_xlpm.cap,_xlfn.XLOOKUP("Sovereign debt zero-score cap",Params!$F:$F,Params!$G:$G),100-MAX(0,MIN(E10,_xlpm.cap))/_xlpm.cap*100),"")</f>
        <v>82.574666666666673</v>
      </c>
      <c r="L10" s="11">
        <f>IF(ISNUMBER(F10),_xlfn.LET(_xlpm.cap,_xlfn.XLOOKUP("Exchange-rate instability P95",Params!$F:$F,Params!$G:$G),IF(_xlpm.cap=0,100,(1-MIN(MAX(F10,0),_xlpm.cap)/_xlpm.cap)*100)),"")</f>
        <v>97.072729733275111</v>
      </c>
      <c r="M10" s="11">
        <f>IF(ISNUMBER(G10),_xlfn.LET(_xlpm.cap,_xlfn.XLOOKUP("PPI investment log1p ceiling",Params!$F:$F,Params!$G:$G),IF(_xlpm.cap=0,0,LN(1+MAX(0,MIN(G10,_xlpm.cap)))/LN(1+_xlpm.cap)*100)),"")</f>
        <v>80.581374393770972</v>
      </c>
      <c r="N10" s="11">
        <f>IF(ISNUMBER(H10),_xlfn.LET(_xlpm.cap,_xlfn.XLOOKUP("PPI project-count log1p ceiling",Params!$F:$F,Params!$G:$G),IF(_xlpm.cap=0,0,LN(1+MAX(0,MIN(H10,_xlpm.cap)))/LN(1+_xlpm.cap)*100)),"")</f>
        <v>31.751200027200159</v>
      </c>
      <c r="O10" s="12">
        <f t="shared" si="0"/>
        <v>84.482080629071959</v>
      </c>
      <c r="P10"/>
      <c r="Q10"/>
    </row>
    <row r="11" spans="1:17" s="2" customFormat="1" ht="20" customHeight="1">
      <c r="A11" s="35" t="str">
        <v>Canada</v>
      </c>
      <c r="B11" s="35" t="str">
        <v>CAN</v>
      </c>
      <c r="C11" s="87">
        <v>201.21830587606436</v>
      </c>
      <c r="D11" s="61">
        <f>IF($B11="","",_xlfn.XLOOKUP($B11,[1]pillars_WIP!$B$7:$B$116,[1]pillars_WIP!$AD$7:$AD$116,"Missing",0))</f>
        <v>2.3815838328117298</v>
      </c>
      <c r="E11" s="61">
        <f>IF($B11="","",_xlfn.XLOOKUP($B11,[1]pillars_WIP!$B$7:$B$116,[1]pillars_WIP!$AE$7:$AE$116,"Missing",0))</f>
        <v>110.01900000000001</v>
      </c>
      <c r="F11" s="61">
        <f>IF($B11="","",_xlfn.XLOOKUP($B11,[1]pillars_WIP!$B$7:$B$116,[1]pillars_WIP!$AH$7:$AH$116,"Missing",0))</f>
        <v>3.3231325851537763</v>
      </c>
      <c r="G11" s="58">
        <f>_xlfn.XLOOKUP($B11,[1]pillars_WIP!$B$7:$B$501,[1]pillars_WIP!$AF$7:$AF$501,"Missing",0)</f>
        <v>0</v>
      </c>
      <c r="H11" s="58">
        <f>_xlfn.XLOOKUP($B11,[1]pillars_WIP!$B$7:$B$501,[1]pillars_WIP!$AG$7:$AG$501,"Missing",0)</f>
        <v>0</v>
      </c>
      <c r="I11" s="11">
        <f>IF(ISNUMBER(C11),_xlfn.LET(_xlpm.cap,_xlfn.XLOOKUP("Domestic credit full-score cap",Params!$F:$F,Params!$G:$G),MAX(0,MIN(C11,_xlpm.cap))/_xlpm.cap*100),"")</f>
        <v>100</v>
      </c>
      <c r="J11" s="11">
        <f>IF(ISNUMBER(D11),_xlfn.LET(_xlpm.x,ABS(D11),_xlpm.bandOne,_xlfn.XLOOKUP("Inflation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1" s="11">
        <f>IF(ISNUMBER(E11),_xlfn.LET(_xlpm.cap,_xlfn.XLOOKUP("Sovereign debt zero-score cap",Params!$F:$F,Params!$G:$G),100-MAX(0,MIN(E11,_xlpm.cap))/_xlpm.cap*100),"")</f>
        <v>26.653999999999996</v>
      </c>
      <c r="L11" s="11">
        <f>IF(ISNUMBER(F11),_xlfn.LET(_xlpm.cap,_xlfn.XLOOKUP("Exchange-rate instability P95",Params!$F:$F,Params!$G:$G),IF(_xlpm.cap=0,100,(1-MIN(MAX(F11,0),_xlpm.cap)/_xlpm.cap)*100)),"")</f>
        <v>77.341500524337064</v>
      </c>
      <c r="M11" s="11">
        <f>IF(ISNUMBER(G11),_xlfn.LET(_xlpm.cap,_xlfn.XLOOKUP("PPI investment log1p ceiling",Params!$F:$F,Params!$G:$G),IF(_xlpm.cap=0,0,LN(1+MAX(0,MIN(G11,_xlpm.cap)))/LN(1+_xlpm.cap)*100)),"")</f>
        <v>0</v>
      </c>
      <c r="N11" s="11">
        <f>IF(ISNUMBER(H11),_xlfn.LET(_xlpm.cap,_xlfn.XLOOKUP("PPI project-count log1p ceiling",Params!$F:$F,Params!$G:$G),IF(_xlpm.cap=0,0,LN(1+MAX(0,MIN(H11,_xlpm.cap)))/LN(1+_xlpm.cap)*100)),"")</f>
        <v>0</v>
      </c>
      <c r="O11" s="12">
        <f t="shared" si="0"/>
        <v>79.666175131084259</v>
      </c>
      <c r="P11"/>
      <c r="Q11"/>
    </row>
    <row r="12" spans="1:17" s="2" customFormat="1" ht="20" customHeight="1">
      <c r="A12" s="35" t="str">
        <v>Chile</v>
      </c>
      <c r="B12" s="35" t="str">
        <v>CHL</v>
      </c>
      <c r="C12" s="61">
        <f>IF($B12="","",_xlfn.XLOOKUP($B12,[1]pillars_WIP!$B$7:$B$116,[1]pillars_WIP!$AC$7:$AC$116,"Missing",0))</f>
        <v>104.04383547392868</v>
      </c>
      <c r="D12" s="61">
        <f>IF($B12="","",_xlfn.XLOOKUP($B12,[1]pillars_WIP!$B$7:$B$116,[1]pillars_WIP!$AD$7:$AD$116,"Missing",0))</f>
        <v>4.2976389157252397</v>
      </c>
      <c r="E12" s="61">
        <f>IF($B12="","",_xlfn.XLOOKUP($B12,[1]pillars_WIP!$B$7:$B$116,[1]pillars_WIP!$AE$7:$AE$116,"Missing",0))</f>
        <v>41.65</v>
      </c>
      <c r="F12" s="61">
        <f>IF($B12="","",_xlfn.XLOOKUP($B12,[1]pillars_WIP!$B$7:$B$116,[1]pillars_WIP!$AH$7:$AH$116,"Missing",0))</f>
        <v>9.1832566492538756</v>
      </c>
      <c r="G12" s="58">
        <f>_xlfn.XLOOKUP($B12,[1]pillars_WIP!$B$7:$B$501,[1]pillars_WIP!$AF$7:$AF$501,"Missing",0)</f>
        <v>0</v>
      </c>
      <c r="H12" s="58">
        <f>_xlfn.XLOOKUP($B12,[1]pillars_WIP!$B$7:$B$501,[1]pillars_WIP!$AG$7:$AG$501,"Missing",0)</f>
        <v>0</v>
      </c>
      <c r="I12" s="11">
        <f>IF(ISNUMBER(C12),_xlfn.LET(_xlpm.cap,_xlfn.XLOOKUP("Domestic credit full-score cap",Params!$F:$F,Params!$G:$G),MAX(0,MIN(C12,_xlpm.cap))/_xlpm.cap*100),"")</f>
        <v>52.02191773696434</v>
      </c>
      <c r="J12" s="11">
        <f>IF(ISNUMBER(D12),_xlfn.LET(_xlpm.x,ABS(D12),_xlpm.bandOne,_xlfn.XLOOKUP("Inflation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2" s="11">
        <f>IF(ISNUMBER(E12),_xlfn.LET(_xlpm.cap,_xlfn.XLOOKUP("Sovereign debt zero-score cap",Params!$F:$F,Params!$G:$G),100-MAX(0,MIN(E12,_xlpm.cap))/_xlpm.cap*100),"")</f>
        <v>72.233333333333334</v>
      </c>
      <c r="L12" s="11">
        <f>IF(ISNUMBER(F12),_xlfn.LET(_xlpm.cap,_xlfn.XLOOKUP("Exchange-rate instability P95",Params!$F:$F,Params!$G:$G),IF(_xlpm.cap=0,100,(1-MIN(MAX(F12,0),_xlpm.cap)/_xlpm.cap)*100)),"")</f>
        <v>37.384738453831964</v>
      </c>
      <c r="M12" s="11">
        <f>IF(ISNUMBER(G12),_xlfn.LET(_xlpm.cap,_xlfn.XLOOKUP("PPI investment log1p ceiling",Params!$F:$F,Params!$G:$G),IF(_xlpm.cap=0,0,LN(1+MAX(0,MIN(G12,_xlpm.cap)))/LN(1+_xlpm.cap)*100)),"")</f>
        <v>0</v>
      </c>
      <c r="N12" s="11">
        <f>IF(ISNUMBER(H12),_xlfn.LET(_xlpm.cap,_xlfn.XLOOKUP("PPI project-count log1p ceiling",Params!$F:$F,Params!$G:$G),IF(_xlpm.cap=0,0,LN(1+MAX(0,MIN(H12,_xlpm.cap)))/LN(1+_xlpm.cap)*100)),"")</f>
        <v>0</v>
      </c>
      <c r="O12" s="12">
        <f t="shared" si="0"/>
        <v>64.39942660121396</v>
      </c>
      <c r="P12"/>
      <c r="Q12"/>
    </row>
    <row r="13" spans="1:17" s="2" customFormat="1" ht="20" customHeight="1">
      <c r="A13" s="35" t="str">
        <v>China</v>
      </c>
      <c r="B13" s="35" t="str">
        <v>CHN</v>
      </c>
      <c r="C13" s="61">
        <f>IF($B13="","",_xlfn.XLOOKUP($B13,[1]pillars_WIP!$B$7:$B$116,[1]pillars_WIP!$AC$7:$AC$116,"Missing",0))</f>
        <v>194.16599684481059</v>
      </c>
      <c r="D13" s="61">
        <f>IF($B13="","",_xlfn.XLOOKUP($B13,[1]pillars_WIP!$B$7:$B$116,[1]pillars_WIP!$AD$7:$AD$116,"Missing",0))</f>
        <v>0.21812893843917699</v>
      </c>
      <c r="E13" s="61">
        <f>IF($B13="","",_xlfn.XLOOKUP($B13,[1]pillars_WIP!$B$7:$B$116,[1]pillars_WIP!$AE$7:$AE$116,"Missing",0))</f>
        <v>90.421000000000006</v>
      </c>
      <c r="F13" s="61">
        <f>IF($B13="","",_xlfn.XLOOKUP($B13,[1]pillars_WIP!$B$7:$B$116,[1]pillars_WIP!$AH$7:$AH$116,"Missing",0))</f>
        <v>3.5725187582707991</v>
      </c>
      <c r="G13" s="58">
        <f>_xlfn.XLOOKUP($B13,[1]pillars_WIP!$B$7:$B$501,[1]pillars_WIP!$AF$7:$AF$501,"Missing",0)</f>
        <v>76432280000</v>
      </c>
      <c r="H13" s="58">
        <f>_xlfn.XLOOKUP($B13,[1]pillars_WIP!$B$7:$B$501,[1]pillars_WIP!$AG$7:$AG$501,"Missing",0)</f>
        <v>91</v>
      </c>
      <c r="I13" s="11">
        <f>IF(ISNUMBER(C13),_xlfn.LET(_xlpm.cap,_xlfn.XLOOKUP("Domestic credit full-score cap",Params!$F:$F,Params!$G:$G),MAX(0,MIN(C13,_xlpm.cap))/_xlpm.cap*100),"")</f>
        <v>97.082998422405296</v>
      </c>
      <c r="J13" s="11">
        <f>IF(ISNUMBER(D13),_xlfn.LET(_xlpm.x,ABS(D13),_xlpm.bandOne,_xlfn.XLOOKUP("Inflation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3" s="11">
        <f>IF(ISNUMBER(E13),_xlfn.LET(_xlpm.cap,_xlfn.XLOOKUP("Sovereign debt zero-score cap",Params!$F:$F,Params!$G:$G),100-MAX(0,MIN(E13,_xlpm.cap))/_xlpm.cap*100),"")</f>
        <v>39.719333333333331</v>
      </c>
      <c r="L13" s="11">
        <f>IF(ISNUMBER(F13),_xlfn.LET(_xlpm.cap,_xlfn.XLOOKUP("Exchange-rate instability P95",Params!$F:$F,Params!$G:$G),IF(_xlpm.cap=0,100,(1-MIN(MAX(F13,0),_xlpm.cap)/_xlpm.cap)*100)),"")</f>
        <v>75.641081919899051</v>
      </c>
      <c r="M13" s="11">
        <f>IF(ISNUMBER(G13),_xlfn.LET(_xlpm.cap,_xlfn.XLOOKUP("PPI investment log1p ceiling",Params!$F:$F,Params!$G:$G),IF(_xlpm.cap=0,0,LN(1+MAX(0,MIN(G13,_xlpm.cap)))/LN(1+_xlpm.cap)*100)),"")</f>
        <v>100</v>
      </c>
      <c r="N13" s="11">
        <f>IF(ISNUMBER(H13),_xlfn.LET(_xlpm.cap,_xlfn.XLOOKUP("PPI project-count log1p ceiling",Params!$F:$F,Params!$G:$G),IF(_xlpm.cap=0,0,LN(1+MAX(0,MIN(H13,_xlpm.cap)))/LN(1+_xlpm.cap)*100)),"")</f>
        <v>89.20643193588964</v>
      </c>
      <c r="O13" s="12">
        <f t="shared" si="0"/>
        <v>80.979036673363026</v>
      </c>
      <c r="P13"/>
      <c r="Q13"/>
    </row>
    <row r="14" spans="1:17" s="2" customFormat="1" ht="20" customHeight="1">
      <c r="A14" s="35" t="str">
        <v>Czech Republic</v>
      </c>
      <c r="B14" s="35" t="str">
        <v>CZE</v>
      </c>
      <c r="C14" s="61">
        <f>IF($B14="","",_xlfn.XLOOKUP($B14,[1]pillars_WIP!$B$7:$B$116,[1]pillars_WIP!$AC$7:$AC$116,"Missing",0))</f>
        <v>48.027375341192638</v>
      </c>
      <c r="D14" s="61">
        <f>IF($B14="","",_xlfn.XLOOKUP($B14,[1]pillars_WIP!$B$7:$B$116,[1]pillars_WIP!$AD$7:$AD$116,"Missing",0))</f>
        <v>2.4353120243531401</v>
      </c>
      <c r="E14" s="61">
        <f>IF($B14="","",_xlfn.XLOOKUP($B14,[1]pillars_WIP!$B$7:$B$116,[1]pillars_WIP!$AE$7:$AE$116,"Missing",0))</f>
        <v>43.290999999999997</v>
      </c>
      <c r="F14" s="61">
        <f>IF($B14="","",_xlfn.XLOOKUP($B14,[1]pillars_WIP!$B$7:$B$116,[1]pillars_WIP!$AH$7:$AH$116,"Missing",0))</f>
        <v>5.0138337915159887</v>
      </c>
      <c r="G14" s="58">
        <f>_xlfn.XLOOKUP($B14,[1]pillars_WIP!$B$7:$B$501,[1]pillars_WIP!$AF$7:$AF$501,"Missing",0)</f>
        <v>0</v>
      </c>
      <c r="H14" s="58">
        <f>_xlfn.XLOOKUP($B14,[1]pillars_WIP!$B$7:$B$501,[1]pillars_WIP!$AG$7:$AG$501,"Missing",0)</f>
        <v>0</v>
      </c>
      <c r="I14" s="11">
        <f>IF(ISNUMBER(C14),_xlfn.LET(_xlpm.cap,_xlfn.XLOOKUP("Domestic credit full-score cap",Params!$F:$F,Params!$G:$G),MAX(0,MIN(C14,_xlpm.cap))/_xlpm.cap*100),"")</f>
        <v>24.013687670596319</v>
      </c>
      <c r="J14" s="11">
        <f>IF(ISNUMBER(D14),_xlfn.LET(_xlpm.x,ABS(D14),_xlpm.bandOne,_xlfn.XLOOKUP("Inflation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4" s="11">
        <f>IF(ISNUMBER(E14),_xlfn.LET(_xlpm.cap,_xlfn.XLOOKUP("Sovereign debt zero-score cap",Params!$F:$F,Params!$G:$G),100-MAX(0,MIN(E14,_xlpm.cap))/_xlpm.cap*100),"")</f>
        <v>71.13933333333334</v>
      </c>
      <c r="L14" s="11">
        <f>IF(ISNUMBER(F14),_xlfn.LET(_xlpm.cap,_xlfn.XLOOKUP("Exchange-rate instability P95",Params!$F:$F,Params!$G:$G),IF(_xlpm.cap=0,100,(1-MIN(MAX(F14,0),_xlpm.cap)/_xlpm.cap)*100)),"")</f>
        <v>65.813596832198272</v>
      </c>
      <c r="M14" s="11">
        <f>IF(ISNUMBER(G14),_xlfn.LET(_xlpm.cap,_xlfn.XLOOKUP("PPI investment log1p ceiling",Params!$F:$F,Params!$G:$G),IF(_xlpm.cap=0,0,LN(1+MAX(0,MIN(G14,_xlpm.cap)))/LN(1+_xlpm.cap)*100)),"")</f>
        <v>0</v>
      </c>
      <c r="N14" s="11">
        <f>IF(ISNUMBER(H14),_xlfn.LET(_xlpm.cap,_xlfn.XLOOKUP("PPI project-count log1p ceiling",Params!$F:$F,Params!$G:$G),IF(_xlpm.cap=0,0,LN(1+MAX(0,MIN(H14,_xlpm.cap)))/LN(1+_xlpm.cap)*100)),"")</f>
        <v>0</v>
      </c>
      <c r="O14" s="12">
        <f t="shared" si="0"/>
        <v>62.885372175895135</v>
      </c>
      <c r="P14"/>
      <c r="Q14"/>
    </row>
    <row r="15" spans="1:17" s="2" customFormat="1" ht="20" customHeight="1">
      <c r="A15" s="35" t="str">
        <v>Dominican Republic</v>
      </c>
      <c r="B15" s="35" t="str">
        <v>DOM</v>
      </c>
      <c r="C15" s="61">
        <f>IF($B15="","",_xlfn.XLOOKUP($B15,[1]pillars_WIP!$B$7:$B$116,[1]pillars_WIP!$AC$7:$AC$116,"Missing",0))</f>
        <v>31.922086487632335</v>
      </c>
      <c r="D15" s="61">
        <f>IF($B15="","",_xlfn.XLOOKUP($B15,[1]pillars_WIP!$B$7:$B$116,[1]pillars_WIP!$AD$7:$AD$116,"Missing",0))</f>
        <v>3.3022333895122702</v>
      </c>
      <c r="E15" s="61">
        <f>IF($B15="","",_xlfn.XLOOKUP($B15,[1]pillars_WIP!$B$7:$B$116,[1]pillars_WIP!$AE$7:$AE$116,"Missing",0))</f>
        <v>58.792000000000002</v>
      </c>
      <c r="F15" s="61">
        <f>IF($B15="","",_xlfn.XLOOKUP($B15,[1]pillars_WIP!$B$7:$B$116,[1]pillars_WIP!$AH$7:$AH$116,"Missing",0))</f>
        <v>4.4707819511060256</v>
      </c>
      <c r="G15" s="58">
        <f>_xlfn.XLOOKUP($B15,[1]pillars_WIP!$B$7:$B$501,[1]pillars_WIP!$AF$7:$AF$501,"Missing",0)</f>
        <v>1659120000</v>
      </c>
      <c r="H15" s="58">
        <f>_xlfn.XLOOKUP($B15,[1]pillars_WIP!$B$7:$B$501,[1]pillars_WIP!$AG$7:$AG$501,"Missing",0)</f>
        <v>19</v>
      </c>
      <c r="I15" s="11">
        <f>IF(ISNUMBER(C15),_xlfn.LET(_xlpm.cap,_xlfn.XLOOKUP("Domestic credit full-score cap",Params!$F:$F,Params!$G:$G),MAX(0,MIN(C15,_xlpm.cap))/_xlpm.cap*100),"")</f>
        <v>15.961043243816167</v>
      </c>
      <c r="J15" s="11">
        <f>IF(ISNUMBER(D15),_xlfn.LET(_xlpm.x,ABS(D15),_xlpm.bandOne,_xlfn.XLOOKUP("Inflation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5" s="11">
        <f>IF(ISNUMBER(E15),_xlfn.LET(_xlpm.cap,_xlfn.XLOOKUP("Sovereign debt zero-score cap",Params!$F:$F,Params!$G:$G),100-MAX(0,MIN(E15,_xlpm.cap))/_xlpm.cap*100),"")</f>
        <v>60.805333333333337</v>
      </c>
      <c r="L15" s="11">
        <f>IF(ISNUMBER(F15),_xlfn.LET(_xlpm.cap,_xlfn.XLOOKUP("Exchange-rate instability P95",Params!$F:$F,Params!$G:$G),IF(_xlpm.cap=0,100,(1-MIN(MAX(F15,0),_xlpm.cap)/_xlpm.cap)*100)),"")</f>
        <v>69.51635004046895</v>
      </c>
      <c r="M15" s="11">
        <f>IF(ISNUMBER(G15),_xlfn.LET(_xlpm.cap,_xlfn.XLOOKUP("PPI investment log1p ceiling",Params!$F:$F,Params!$G:$G),IF(_xlpm.cap=0,0,LN(1+MAX(0,MIN(G15,_xlpm.cap)))/LN(1+_xlpm.cap)*100)),"")</f>
        <v>84.716009301601119</v>
      </c>
      <c r="N15" s="11">
        <f>IF(ISNUMBER(H15),_xlfn.LET(_xlpm.cap,_xlfn.XLOOKUP("PPI project-count log1p ceiling",Params!$F:$F,Params!$G:$G),IF(_xlpm.cap=0,0,LN(1+MAX(0,MIN(H15,_xlpm.cap)))/LN(1+_xlpm.cap)*100)),"")</f>
        <v>59.100195112028942</v>
      </c>
      <c r="O15" s="12">
        <f t="shared" si="0"/>
        <v>59.328467149928755</v>
      </c>
      <c r="P15"/>
      <c r="Q15"/>
    </row>
    <row r="16" spans="1:17" s="2" customFormat="1" ht="20" customHeight="1">
      <c r="A16" s="35" t="str">
        <v>Germany</v>
      </c>
      <c r="B16" s="35" t="str">
        <v>DEU</v>
      </c>
      <c r="C16" s="87">
        <v>77.253484574492035</v>
      </c>
      <c r="D16" s="61">
        <f>IF($B16="","",_xlfn.XLOOKUP($B16,[1]pillars_WIP!$B$7:$B$116,[1]pillars_WIP!$AD$7:$AD$116,"Missing",0))</f>
        <v>2.2564981433876001</v>
      </c>
      <c r="E16" s="61">
        <f>IF($B16="","",_xlfn.XLOOKUP($B16,[1]pillars_WIP!$B$7:$B$116,[1]pillars_WIP!$AE$7:$AE$116,"Missing",0))</f>
        <v>62.226999999999997</v>
      </c>
      <c r="F16" s="61">
        <f>IF($B16="","",_xlfn.XLOOKUP($B16,[1]pillars_WIP!$B$7:$B$116,[1]pillars_WIP!$AH$7:$AH$116,"Missing",0))</f>
        <v>3.971852141641294</v>
      </c>
      <c r="G16" s="58">
        <f>_xlfn.XLOOKUP($B16,[1]pillars_WIP!$B$7:$B$501,[1]pillars_WIP!$AF$7:$AF$501,"Missing",0)</f>
        <v>0</v>
      </c>
      <c r="H16" s="58">
        <f>_xlfn.XLOOKUP($B16,[1]pillars_WIP!$B$7:$B$501,[1]pillars_WIP!$AG$7:$AG$501,"Missing",0)</f>
        <v>0</v>
      </c>
      <c r="I16" s="11">
        <f>IF(ISNUMBER(C16),_xlfn.LET(_xlpm.cap,_xlfn.XLOOKUP("Domestic credit full-score cap",Params!$F:$F,Params!$G:$G),MAX(0,MIN(C16,_xlpm.cap))/_xlpm.cap*100),"")</f>
        <v>38.626742287246017</v>
      </c>
      <c r="J16" s="11">
        <f>IF(ISNUMBER(D16),_xlfn.LET(_xlpm.x,ABS(D16),_xlpm.bandOne,_xlfn.XLOOKUP("Inflation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6" s="11">
        <f>IF(ISNUMBER(E16),_xlfn.LET(_xlpm.cap,_xlfn.XLOOKUP("Sovereign debt zero-score cap",Params!$F:$F,Params!$G:$G),100-MAX(0,MIN(E16,_xlpm.cap))/_xlpm.cap*100),"")</f>
        <v>58.515333333333338</v>
      </c>
      <c r="L16" s="11">
        <f>IF(ISNUMBER(F16),_xlfn.LET(_xlpm.cap,_xlfn.XLOOKUP("Exchange-rate instability P95",Params!$F:$F,Params!$G:$G),IF(_xlpm.cap=0,100,(1-MIN(MAX(F16,0),_xlpm.cap)/_xlpm.cap)*100)),"")</f>
        <v>72.918260899113221</v>
      </c>
      <c r="M16" s="11">
        <f>IF(ISNUMBER(G16),_xlfn.LET(_xlpm.cap,_xlfn.XLOOKUP("PPI investment log1p ceiling",Params!$F:$F,Params!$G:$G),IF(_xlpm.cap=0,0,LN(1+MAX(0,MIN(G16,_xlpm.cap)))/LN(1+_xlpm.cap)*100)),"")</f>
        <v>0</v>
      </c>
      <c r="N16" s="11">
        <f>IF(ISNUMBER(H16),_xlfn.LET(_xlpm.cap,_xlfn.XLOOKUP("PPI project-count log1p ceiling",Params!$F:$F,Params!$G:$G),IF(_xlpm.cap=0,0,LN(1+MAX(0,MIN(H16,_xlpm.cap)))/LN(1+_xlpm.cap)*100)),"")</f>
        <v>0</v>
      </c>
      <c r="O16" s="12">
        <f t="shared" si="0"/>
        <v>66.520654577618785</v>
      </c>
      <c r="P16"/>
      <c r="Q16"/>
    </row>
    <row r="17" spans="1:17" s="2" customFormat="1" ht="20" customHeight="1">
      <c r="A17" s="35" t="str">
        <v>Hong Kong</v>
      </c>
      <c r="B17" s="35" t="str">
        <v>HKG</v>
      </c>
      <c r="C17" s="61">
        <f>IF($B17="","",_xlfn.XLOOKUP($B17,[1]pillars_WIP!$B$7:$B$116,[1]pillars_WIP!$AC$7:$AC$116,"Missing",0))</f>
        <v>231.03777166912224</v>
      </c>
      <c r="D17" s="61">
        <f>IF($B17="","",_xlfn.XLOOKUP($B17,[1]pillars_WIP!$B$7:$B$116,[1]pillars_WIP!$AD$7:$AD$116,"Missing",0))</f>
        <v>1.7297211910591399</v>
      </c>
      <c r="E17" s="61">
        <f>IF($B17="","",_xlfn.XLOOKUP($B17,[1]pillars_WIP!$B$7:$B$116,[1]pillars_WIP!$AE$7:$AE$116,"Missing",0))</f>
        <v>9.2110000000000003</v>
      </c>
      <c r="F17" s="61">
        <f>IF($B17="","",_xlfn.XLOOKUP($B17,[1]pillars_WIP!$B$7:$B$116,[1]pillars_WIP!$AH$7:$AH$116,"Missing",0))</f>
        <v>0.46267725760562084</v>
      </c>
      <c r="G17" s="58">
        <f>_xlfn.XLOOKUP($B17,[1]pillars_WIP!$B$7:$B$501,[1]pillars_WIP!$AF$7:$AF$501,"Missing",0)</f>
        <v>0</v>
      </c>
      <c r="H17" s="58">
        <f>_xlfn.XLOOKUP($B17,[1]pillars_WIP!$B$7:$B$501,[1]pillars_WIP!$AG$7:$AG$501,"Missing",0)</f>
        <v>0</v>
      </c>
      <c r="I17" s="11">
        <f>IF(ISNUMBER(C17),_xlfn.LET(_xlpm.cap,_xlfn.XLOOKUP("Domestic credit full-score cap",Params!$F:$F,Params!$G:$G),MAX(0,MIN(C17,_xlpm.cap))/_xlpm.cap*100),"")</f>
        <v>100</v>
      </c>
      <c r="J17" s="11">
        <f>IF(ISNUMBER(D17),_xlfn.LET(_xlpm.x,ABS(D17),_xlpm.bandOne,_xlfn.XLOOKUP("Inflation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7" s="11">
        <f>IF(ISNUMBER(E17),_xlfn.LET(_xlpm.cap,_xlfn.XLOOKUP("Sovereign debt zero-score cap",Params!$F:$F,Params!$G:$G),100-MAX(0,MIN(E17,_xlpm.cap))/_xlpm.cap*100),"")</f>
        <v>93.859333333333339</v>
      </c>
      <c r="L17" s="11">
        <f>IF(ISNUMBER(F17),_xlfn.LET(_xlpm.cap,_xlfn.XLOOKUP("Exchange-rate instability P95",Params!$F:$F,Params!$G:$G),IF(_xlpm.cap=0,100,(1-MIN(MAX(F17,0),_xlpm.cap)/_xlpm.cap)*100)),"")</f>
        <v>96.845274111031898</v>
      </c>
      <c r="M17" s="11">
        <f>IF(ISNUMBER(G17),_xlfn.LET(_xlpm.cap,_xlfn.XLOOKUP("PPI investment log1p ceiling",Params!$F:$F,Params!$G:$G),IF(_xlpm.cap=0,0,LN(1+MAX(0,MIN(G17,_xlpm.cap)))/LN(1+_xlpm.cap)*100)),"")</f>
        <v>0</v>
      </c>
      <c r="N17" s="11">
        <f>IF(ISNUMBER(H17),_xlfn.LET(_xlpm.cap,_xlfn.XLOOKUP("PPI project-count log1p ceiling",Params!$F:$F,Params!$G:$G),IF(_xlpm.cap=0,0,LN(1+MAX(0,MIN(H17,_xlpm.cap)))/LN(1+_xlpm.cap)*100)),"")</f>
        <v>0</v>
      </c>
      <c r="O17" s="12">
        <f t="shared" si="0"/>
        <v>97.983185194424635</v>
      </c>
      <c r="P17"/>
      <c r="Q17"/>
    </row>
    <row r="18" spans="1:17" s="2" customFormat="1" ht="20" customHeight="1">
      <c r="A18" s="35" t="str">
        <v>India</v>
      </c>
      <c r="B18" s="35" t="str">
        <v>IND</v>
      </c>
      <c r="C18" s="61">
        <f>IF($B18="","",_xlfn.XLOOKUP($B18,[1]pillars_WIP!$B$7:$B$116,[1]pillars_WIP!$AC$7:$AC$116,"Missing",0))</f>
        <v>40.02152248188802</v>
      </c>
      <c r="D18" s="61">
        <f>IF($B18="","",_xlfn.XLOOKUP($B18,[1]pillars_WIP!$B$7:$B$116,[1]pillars_WIP!$AD$7:$AD$116,"Missing",0))</f>
        <v>4.9530355097365568</v>
      </c>
      <c r="E18" s="61">
        <f>IF($B18="","",_xlfn.XLOOKUP($B18,[1]pillars_WIP!$B$7:$B$116,[1]pillars_WIP!$AE$7:$AE$116,"Missing",0))</f>
        <v>84.781999999999996</v>
      </c>
      <c r="F18" s="61">
        <f>IF($B18="","",_xlfn.XLOOKUP($B18,[1]pillars_WIP!$B$7:$B$116,[1]pillars_WIP!$AH$7:$AH$116,"Missing",0))</f>
        <v>3.5459208164331715</v>
      </c>
      <c r="G18" s="58">
        <f>_xlfn.XLOOKUP($B18,[1]pillars_WIP!$B$7:$B$501,[1]pillars_WIP!$AF$7:$AF$501,"Missing",0)</f>
        <v>15933570000</v>
      </c>
      <c r="H18" s="58">
        <f>_xlfn.XLOOKUP($B18,[1]pillars_WIP!$B$7:$B$501,[1]pillars_WIP!$AG$7:$AG$501,"Missing",0)</f>
        <v>59</v>
      </c>
      <c r="I18" s="11">
        <f>IF(ISNUMBER(C18),_xlfn.LET(_xlpm.cap,_xlfn.XLOOKUP("Domestic credit full-score cap",Params!$F:$F,Params!$G:$G),MAX(0,MIN(C18,_xlpm.cap))/_xlpm.cap*100),"")</f>
        <v>20.01076124094401</v>
      </c>
      <c r="J18" s="11">
        <f>IF(ISNUMBER(D18),_xlfn.LET(_xlpm.x,ABS(D18),_xlpm.bandOne,_xlfn.XLOOKUP("Inflation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8" s="11">
        <f>IF(ISNUMBER(E18),_xlfn.LET(_xlpm.cap,_xlfn.XLOOKUP("Sovereign debt zero-score cap",Params!$F:$F,Params!$G:$G),100-MAX(0,MIN(E18,_xlpm.cap))/_xlpm.cap*100),"")</f>
        <v>43.478666666666669</v>
      </c>
      <c r="L18" s="11">
        <f>IF(ISNUMBER(F18),_xlfn.LET(_xlpm.cap,_xlfn.XLOOKUP("Exchange-rate instability P95",Params!$F:$F,Params!$G:$G),IF(_xlpm.cap=0,100,(1-MIN(MAX(F18,0),_xlpm.cap)/_xlpm.cap)*100)),"")</f>
        <v>75.822437744783684</v>
      </c>
      <c r="M18" s="11">
        <f>IF(ISNUMBER(G18),_xlfn.LET(_xlpm.cap,_xlfn.XLOOKUP("PPI investment log1p ceiling",Params!$F:$F,Params!$G:$G),IF(_xlpm.cap=0,0,LN(1+MAX(0,MIN(G18,_xlpm.cap)))/LN(1+_xlpm.cap)*100)),"")</f>
        <v>93.743026720526018</v>
      </c>
      <c r="N18" s="11">
        <f>IF(ISNUMBER(H18),_xlfn.LET(_xlpm.cap,_xlfn.XLOOKUP("PPI project-count log1p ceiling",Params!$F:$F,Params!$G:$G),IF(_xlpm.cap=0,0,LN(1+MAX(0,MIN(H18,_xlpm.cap)))/LN(1+_xlpm.cap)*100)),"")</f>
        <v>80.773760932959362</v>
      </c>
      <c r="O18" s="12">
        <f t="shared" si="0"/>
        <v>58.654571141812461</v>
      </c>
      <c r="P18"/>
      <c r="Q18"/>
    </row>
    <row r="19" spans="1:17" s="2" customFormat="1" ht="20" customHeight="1">
      <c r="A19" s="35" t="str">
        <v>Indonesia</v>
      </c>
      <c r="B19" s="35" t="str">
        <v>IDN</v>
      </c>
      <c r="C19" s="61">
        <f>IF($B19="","",_xlfn.XLOOKUP($B19,[1]pillars_WIP!$B$7:$B$116,[1]pillars_WIP!$AC$7:$AC$116,"Missing",0))</f>
        <v>36.392450763811269</v>
      </c>
      <c r="D19" s="61">
        <f>IF($B19="","",_xlfn.XLOOKUP($B19,[1]pillars_WIP!$B$7:$B$116,[1]pillars_WIP!$AD$7:$AD$116,"Missing",0))</f>
        <v>2.181512736151888</v>
      </c>
      <c r="E19" s="61">
        <f>IF($B19="","",_xlfn.XLOOKUP($B19,[1]pillars_WIP!$B$7:$B$116,[1]pillars_WIP!$AE$7:$AE$116,"Missing",0))</f>
        <v>40.164999999999999</v>
      </c>
      <c r="F19" s="61">
        <f>IF($B19="","",_xlfn.XLOOKUP($B19,[1]pillars_WIP!$B$7:$B$116,[1]pillars_WIP!$AH$7:$AH$116,"Missing",0))</f>
        <v>3.0381814231638176</v>
      </c>
      <c r="G19" s="58">
        <f>_xlfn.XLOOKUP($B19,[1]pillars_WIP!$B$7:$B$501,[1]pillars_WIP!$AF$7:$AF$501,"Missing",0)</f>
        <v>444500000</v>
      </c>
      <c r="H19" s="58">
        <f>_xlfn.XLOOKUP($B19,[1]pillars_WIP!$B$7:$B$501,[1]pillars_WIP!$AG$7:$AG$501,"Missing",0)</f>
        <v>5</v>
      </c>
      <c r="I19" s="11">
        <f>IF(ISNUMBER(C19),_xlfn.LET(_xlpm.cap,_xlfn.XLOOKUP("Domestic credit full-score cap",Params!$F:$F,Params!$G:$G),MAX(0,MIN(C19,_xlpm.cap))/_xlpm.cap*100),"")</f>
        <v>18.196225381905634</v>
      </c>
      <c r="J19" s="11">
        <f>IF(ISNUMBER(D19),_xlfn.LET(_xlpm.x,ABS(D19),_xlpm.bandOne,_xlfn.XLOOKUP("Inflation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19" s="11">
        <f>IF(ISNUMBER(E19),_xlfn.LET(_xlpm.cap,_xlfn.XLOOKUP("Sovereign debt zero-score cap",Params!$F:$F,Params!$G:$G),100-MAX(0,MIN(E19,_xlpm.cap))/_xlpm.cap*100),"")</f>
        <v>73.223333333333329</v>
      </c>
      <c r="L19" s="11">
        <f>IF(ISNUMBER(F19),_xlfn.LET(_xlpm.cap,_xlfn.XLOOKUP("Exchange-rate instability P95",Params!$F:$F,Params!$G:$G),IF(_xlpm.cap=0,100,(1-MIN(MAX(F19,0),_xlpm.cap)/_xlpm.cap)*100)),"")</f>
        <v>79.28441600817419</v>
      </c>
      <c r="M19" s="11">
        <f>IF(ISNUMBER(G19),_xlfn.LET(_xlpm.cap,_xlfn.XLOOKUP("PPI investment log1p ceiling",Params!$F:$F,Params!$G:$G),IF(_xlpm.cap=0,0,LN(1+MAX(0,MIN(G19,_xlpm.cap)))/LN(1+_xlpm.cap)*100)),"")</f>
        <v>79.460183852157513</v>
      </c>
      <c r="N19" s="11">
        <f>IF(ISNUMBER(H19),_xlfn.LET(_xlpm.cap,_xlfn.XLOOKUP("PPI project-count log1p ceiling",Params!$F:$F,Params!$G:$G),IF(_xlpm.cap=0,0,LN(1+MAX(0,MIN(H19,_xlpm.cap)))/LN(1+_xlpm.cap)*100)),"")</f>
        <v>35.348063363344806</v>
      </c>
      <c r="O19" s="12">
        <f t="shared" si="0"/>
        <v>64.924638283281894</v>
      </c>
      <c r="P19"/>
      <c r="Q19"/>
    </row>
    <row r="20" spans="1:17" s="2" customFormat="1" ht="20" customHeight="1">
      <c r="A20" s="35" t="str">
        <v>Japan</v>
      </c>
      <c r="B20" s="35" t="str">
        <v>JPN</v>
      </c>
      <c r="C20" s="61">
        <f>IF($B20="","",_xlfn.XLOOKUP($B20,[1]pillars_WIP!$B$7:$B$116,[1]pillars_WIP!$AC$7:$AC$116,"Missing",0))</f>
        <v>194.61139930369026</v>
      </c>
      <c r="D20" s="61">
        <f>IF($B20="","",_xlfn.XLOOKUP($B20,[1]pillars_WIP!$B$7:$B$116,[1]pillars_WIP!$AD$7:$AD$116,"Missing",0))</f>
        <v>2.7385368163524069</v>
      </c>
      <c r="E20" s="61">
        <f>IF($B20="","",_xlfn.XLOOKUP($B20,[1]pillars_WIP!$B$7:$B$116,[1]pillars_WIP!$AE$7:$AE$116,"Missing",0))</f>
        <v>214.48699999999999</v>
      </c>
      <c r="F20" s="61">
        <f>IF($B20="","",_xlfn.XLOOKUP($B20,[1]pillars_WIP!$B$7:$B$116,[1]pillars_WIP!$AH$7:$AH$116,"Missing",0))</f>
        <v>7.393988341607141</v>
      </c>
      <c r="G20" s="58">
        <f>_xlfn.XLOOKUP($B20,[1]pillars_WIP!$B$7:$B$501,[1]pillars_WIP!$AF$7:$AF$501,"Missing",0)</f>
        <v>0</v>
      </c>
      <c r="H20" s="58">
        <f>_xlfn.XLOOKUP($B20,[1]pillars_WIP!$B$7:$B$501,[1]pillars_WIP!$AG$7:$AG$501,"Missing",0)</f>
        <v>0</v>
      </c>
      <c r="I20" s="11">
        <f>IF(ISNUMBER(C20),_xlfn.LET(_xlpm.cap,_xlfn.XLOOKUP("Domestic credit full-score cap",Params!$F:$F,Params!$G:$G),MAX(0,MIN(C20,_xlpm.cap))/_xlpm.cap*100),"")</f>
        <v>97.305699651845131</v>
      </c>
      <c r="J20" s="11">
        <f>IF(ISNUMBER(D20),_xlfn.LET(_xlpm.x,ABS(D20),_xlpm.bandOne,_xlfn.XLOOKUP("Inflation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20" s="11">
        <f>IF(ISNUMBER(E20),_xlfn.LET(_xlpm.cap,_xlfn.XLOOKUP("Sovereign debt zero-score cap",Params!$F:$F,Params!$G:$G),100-MAX(0,MIN(E20,_xlpm.cap))/_xlpm.cap*100),"")</f>
        <v>0</v>
      </c>
      <c r="L20" s="11">
        <f>IF(ISNUMBER(F20),_xlfn.LET(_xlpm.cap,_xlfn.XLOOKUP("Exchange-rate instability P95",Params!$F:$F,Params!$G:$G),IF(_xlpm.cap=0,100,(1-MIN(MAX(F20,0),_xlpm.cap)/_xlpm.cap)*100)),"")</f>
        <v>49.584713619360244</v>
      </c>
      <c r="M20" s="11">
        <f>IF(ISNUMBER(G20),_xlfn.LET(_xlpm.cap,_xlfn.XLOOKUP("PPI investment log1p ceiling",Params!$F:$F,Params!$G:$G),IF(_xlpm.cap=0,0,LN(1+MAX(0,MIN(G20,_xlpm.cap)))/LN(1+_xlpm.cap)*100)),"")</f>
        <v>0</v>
      </c>
      <c r="N20" s="11">
        <f>IF(ISNUMBER(H20),_xlfn.LET(_xlpm.cap,_xlfn.XLOOKUP("PPI project-count log1p ceiling",Params!$F:$F,Params!$G:$G),IF(_xlpm.cap=0,0,LN(1+MAX(0,MIN(H20,_xlpm.cap)))/LN(1+_xlpm.cap)*100)),"")</f>
        <v>0</v>
      </c>
      <c r="O20" s="12">
        <f t="shared" si="0"/>
        <v>66.587888300393601</v>
      </c>
      <c r="P20"/>
      <c r="Q20"/>
    </row>
    <row r="21" spans="1:17" s="2" customFormat="1" ht="20" customHeight="1">
      <c r="A21" s="35" t="str">
        <v>Kazakhstan</v>
      </c>
      <c r="B21" s="35" t="str">
        <v>KAZ</v>
      </c>
      <c r="C21" s="61">
        <f>IF($B21="","",_xlfn.XLOOKUP($B21,[1]pillars_WIP!$B$7:$B$116,[1]pillars_WIP!$AC$7:$AC$116,"Missing",0))</f>
        <v>27.279679577965325</v>
      </c>
      <c r="D21" s="61">
        <f>IF($B21="","",_xlfn.XLOOKUP($B21,[1]pillars_WIP!$B$7:$B$116,[1]pillars_WIP!$AD$7:$AD$116,"Missing",0))</f>
        <v>8.6908215610449435</v>
      </c>
      <c r="E21" s="61">
        <f>IF($B21="","",_xlfn.XLOOKUP($B21,[1]pillars_WIP!$B$7:$B$116,[1]pillars_WIP!$AE$7:$AE$116,"Missing",0))</f>
        <v>24.376999999999999</v>
      </c>
      <c r="F21" s="61">
        <f>IF($B21="","",_xlfn.XLOOKUP($B21,[1]pillars_WIP!$B$7:$B$116,[1]pillars_WIP!$AH$7:$AH$116,"Missing",0))</f>
        <v>4.4121773836153819</v>
      </c>
      <c r="G21" s="58">
        <f>_xlfn.XLOOKUP($B21,[1]pillars_WIP!$B$7:$B$501,[1]pillars_WIP!$AF$7:$AF$501,"Missing",0)</f>
        <v>727910000</v>
      </c>
      <c r="H21" s="58">
        <f>_xlfn.XLOOKUP($B21,[1]pillars_WIP!$B$7:$B$501,[1]pillars_WIP!$AG$7:$AG$501,"Missing",0)</f>
        <v>7</v>
      </c>
      <c r="I21" s="11">
        <f>IF(ISNUMBER(C21),_xlfn.LET(_xlpm.cap,_xlfn.XLOOKUP("Domestic credit full-score cap",Params!$F:$F,Params!$G:$G),MAX(0,MIN(C21,_xlpm.cap))/_xlpm.cap*100),"")</f>
        <v>13.639839788982663</v>
      </c>
      <c r="J21" s="11">
        <f>IF(ISNUMBER(D21),_xlfn.LET(_xlpm.x,ABS(D21),_xlpm.bandOne,_xlfn.XLOOKUP("Inflation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75</v>
      </c>
      <c r="K21" s="11">
        <f>IF(ISNUMBER(E21),_xlfn.LET(_xlpm.cap,_xlfn.XLOOKUP("Sovereign debt zero-score cap",Params!$F:$F,Params!$G:$G),100-MAX(0,MIN(E21,_xlpm.cap))/_xlpm.cap*100),"")</f>
        <v>83.748666666666665</v>
      </c>
      <c r="L21" s="11">
        <f>IF(ISNUMBER(F21),_xlfn.LET(_xlpm.cap,_xlfn.XLOOKUP("Exchange-rate instability P95",Params!$F:$F,Params!$G:$G),IF(_xlpm.cap=0,100,(1-MIN(MAX(F21,0),_xlpm.cap)/_xlpm.cap)*100)),"")</f>
        <v>69.915940345017916</v>
      </c>
      <c r="M21" s="11">
        <f>IF(ISNUMBER(G21),_xlfn.LET(_xlpm.cap,_xlfn.XLOOKUP("PPI investment log1p ceiling",Params!$F:$F,Params!$G:$G),IF(_xlpm.cap=0,0,LN(1+MAX(0,MIN(G21,_xlpm.cap)))/LN(1+_xlpm.cap)*100)),"")</f>
        <v>81.428395482698818</v>
      </c>
      <c r="N21" s="11">
        <f>IF(ISNUMBER(H21),_xlfn.LET(_xlpm.cap,_xlfn.XLOOKUP("PPI project-count log1p ceiling",Params!$F:$F,Params!$G:$G),IF(_xlpm.cap=0,0,LN(1+MAX(0,MIN(H21,_xlpm.cap)))/LN(1+_xlpm.cap)*100)),"")</f>
        <v>41.023492627243172</v>
      </c>
      <c r="O21" s="12">
        <f t="shared" si="0"/>
        <v>57.070670356282619</v>
      </c>
      <c r="P21"/>
      <c r="Q21"/>
    </row>
    <row r="22" spans="1:17" s="2" customFormat="1" ht="20" customHeight="1">
      <c r="A22" s="35" t="str">
        <v>Laos</v>
      </c>
      <c r="B22" s="35" t="str">
        <v>LAO</v>
      </c>
      <c r="C22" s="87">
        <v>82.979100724924407</v>
      </c>
      <c r="D22" s="61">
        <f>IF($B22="","",_xlfn.XLOOKUP($B22,[1]pillars_WIP!$B$7:$B$116,[1]pillars_WIP!$AD$7:$AD$116,"Missing",0))</f>
        <v>23.130569594258809</v>
      </c>
      <c r="E22" s="61">
        <f>IF($B22="","",_xlfn.XLOOKUP($B22,[1]pillars_WIP!$B$7:$B$116,[1]pillars_WIP!$AE$7:$AE$116,"Missing",0))</f>
        <v>94.682000000000002</v>
      </c>
      <c r="F22" s="61">
        <f>IF($B22="","",_xlfn.XLOOKUP($B22,[1]pillars_WIP!$B$7:$B$116,[1]pillars_WIP!$AH$7:$AH$116,"Missing",0))</f>
        <v>16.862211746201321</v>
      </c>
      <c r="G22" s="58">
        <f>_xlfn.XLOOKUP($B22,[1]pillars_WIP!$B$7:$B$501,[1]pillars_WIP!$AF$7:$AF$501,"Missing",0)</f>
        <v>959000000</v>
      </c>
      <c r="H22" s="58">
        <f>_xlfn.XLOOKUP($B22,[1]pillars_WIP!$B$7:$B$501,[1]pillars_WIP!$AG$7:$AG$501,"Missing",0)</f>
        <v>1</v>
      </c>
      <c r="I22" s="11">
        <f>IF(ISNUMBER(C22),_xlfn.LET(_xlpm.cap,_xlfn.XLOOKUP("Domestic credit full-score cap",Params!$F:$F,Params!$G:$G),MAX(0,MIN(C22,_xlpm.cap))/_xlpm.cap*100),"")</f>
        <v>41.489550362462204</v>
      </c>
      <c r="J22" s="11">
        <f>IF(ISNUMBER(D22),_xlfn.LET(_xlpm.x,ABS(D22),_xlpm.bandOne,_xlfn.XLOOKUP("Inflation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25</v>
      </c>
      <c r="K22" s="11">
        <f>IF(ISNUMBER(E22),_xlfn.LET(_xlpm.cap,_xlfn.XLOOKUP("Sovereign debt zero-score cap",Params!$F:$F,Params!$G:$G),100-MAX(0,MIN(E22,_xlpm.cap))/_xlpm.cap*100),"")</f>
        <v>36.878666666666668</v>
      </c>
      <c r="L22" s="11">
        <f>IF(ISNUMBER(F22),_xlfn.LET(_xlpm.cap,_xlfn.XLOOKUP("Exchange-rate instability P95",Params!$F:$F,Params!$G:$G),IF(_xlpm.cap=0,100,(1-MIN(MAX(F22,0),_xlpm.cap)/_xlpm.cap)*100)),"")</f>
        <v>0</v>
      </c>
      <c r="M22" s="11">
        <f>IF(ISNUMBER(G22),_xlfn.LET(_xlpm.cap,_xlfn.XLOOKUP("PPI investment log1p ceiling",Params!$F:$F,Params!$G:$G),IF(_xlpm.cap=0,0,LN(1+MAX(0,MIN(G22,_xlpm.cap)))/LN(1+_xlpm.cap)*100)),"")</f>
        <v>82.528624056509486</v>
      </c>
      <c r="N22" s="11">
        <f>IF(ISNUMBER(H22),_xlfn.LET(_xlpm.cap,_xlfn.XLOOKUP("PPI project-count log1p ceiling",Params!$F:$F,Params!$G:$G),IF(_xlpm.cap=0,0,LN(1+MAX(0,MIN(H22,_xlpm.cap)))/LN(1+_xlpm.cap)*100)),"")</f>
        <v>13.674497542414391</v>
      </c>
      <c r="O22" s="12">
        <f t="shared" si="0"/>
        <v>26.072598442071996</v>
      </c>
      <c r="P22"/>
      <c r="Q22"/>
    </row>
    <row r="23" spans="1:17" s="2" customFormat="1" ht="20" customHeight="1">
      <c r="A23" s="35" t="str">
        <v>Malaysia</v>
      </c>
      <c r="B23" s="35" t="str">
        <v>MYS</v>
      </c>
      <c r="C23" s="61">
        <f>IF($B23="","",_xlfn.XLOOKUP($B23,[1]pillars_WIP!$B$7:$B$116,[1]pillars_WIP!$AC$7:$AC$116,"Missing",0))</f>
        <v>116.10741080739186</v>
      </c>
      <c r="D23" s="61">
        <f>IF($B23="","",_xlfn.XLOOKUP($B23,[1]pillars_WIP!$B$7:$B$116,[1]pillars_WIP!$AD$7:$AD$116,"Missing",0))</f>
        <v>1.834100204499002</v>
      </c>
      <c r="E23" s="61">
        <f>IF($B23="","",_xlfn.XLOOKUP($B23,[1]pillars_WIP!$B$7:$B$116,[1]pillars_WIP!$AE$7:$AE$116,"Missing",0))</f>
        <v>69.838999999999999</v>
      </c>
      <c r="F23" s="61">
        <f>IF($B23="","",_xlfn.XLOOKUP($B23,[1]pillars_WIP!$B$7:$B$116,[1]pillars_WIP!$AH$7:$AH$116,"Missing",0))</f>
        <v>2.5693809477954836</v>
      </c>
      <c r="G23" s="58">
        <f>_xlfn.XLOOKUP($B23,[1]pillars_WIP!$B$7:$B$501,[1]pillars_WIP!$AF$7:$AF$501,"Missing",0)</f>
        <v>1921270000</v>
      </c>
      <c r="H23" s="58">
        <f>_xlfn.XLOOKUP($B23,[1]pillars_WIP!$B$7:$B$501,[1]pillars_WIP!$AG$7:$AG$501,"Missing",0)</f>
        <v>8</v>
      </c>
      <c r="I23" s="11">
        <f>IF(ISNUMBER(C23),_xlfn.LET(_xlpm.cap,_xlfn.XLOOKUP("Domestic credit full-score cap",Params!$F:$F,Params!$G:$G),MAX(0,MIN(C23,_xlpm.cap))/_xlpm.cap*100),"")</f>
        <v>58.053705403695929</v>
      </c>
      <c r="J23" s="11">
        <f>IF(ISNUMBER(D23),_xlfn.LET(_xlpm.x,ABS(D23),_xlpm.bandOne,_xlfn.XLOOKUP("Inflation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23" s="11">
        <f>IF(ISNUMBER(E23),_xlfn.LET(_xlpm.cap,_xlfn.XLOOKUP("Sovereign debt zero-score cap",Params!$F:$F,Params!$G:$G),100-MAX(0,MIN(E23,_xlpm.cap))/_xlpm.cap*100),"")</f>
        <v>53.440666666666672</v>
      </c>
      <c r="L23" s="11">
        <f>IF(ISNUMBER(F23),_xlfn.LET(_xlpm.cap,_xlfn.XLOOKUP("Exchange-rate instability P95",Params!$F:$F,Params!$G:$G),IF(_xlpm.cap=0,100,(1-MIN(MAX(F23,0),_xlpm.cap)/_xlpm.cap)*100)),"")</f>
        <v>82.480892541424637</v>
      </c>
      <c r="M23" s="11">
        <f>IF(ISNUMBER(G23),_xlfn.LET(_xlpm.cap,_xlfn.XLOOKUP("PPI investment log1p ceiling",Params!$F:$F,Params!$G:$G),IF(_xlpm.cap=0,0,LN(1+MAX(0,MIN(G23,_xlpm.cap)))/LN(1+_xlpm.cap)*100)),"")</f>
        <v>85.30140838586064</v>
      </c>
      <c r="N23" s="11">
        <f>IF(ISNUMBER(H23),_xlfn.LET(_xlpm.cap,_xlfn.XLOOKUP("PPI project-count log1p ceiling",Params!$F:$F,Params!$G:$G),IF(_xlpm.cap=0,0,LN(1+MAX(0,MIN(H23,_xlpm.cap)))/LN(1+_xlpm.cap)*100)),"")</f>
        <v>43.347131641860834</v>
      </c>
      <c r="O23" s="12">
        <f t="shared" si="0"/>
        <v>73.724468089798279</v>
      </c>
      <c r="P23"/>
      <c r="Q23"/>
    </row>
    <row r="24" spans="1:17" s="2" customFormat="1" ht="20" customHeight="1">
      <c r="A24" s="35" t="str">
        <v>Mexico</v>
      </c>
      <c r="B24" s="35" t="str">
        <v>MEX</v>
      </c>
      <c r="C24" s="61">
        <f>IF($B24="","",_xlfn.XLOOKUP($B24,[1]pillars_WIP!$B$7:$B$116,[1]pillars_WIP!$AC$7:$AC$116,"Missing",0))</f>
        <v>34.585904011010108</v>
      </c>
      <c r="D24" s="61">
        <f>IF($B24="","",_xlfn.XLOOKUP($B24,[1]pillars_WIP!$B$7:$B$116,[1]pillars_WIP!$AD$7:$AD$116,"Missing",0))</f>
        <v>4.7222558845293161</v>
      </c>
      <c r="E24" s="61">
        <f>IF($B24="","",_xlfn.XLOOKUP($B24,[1]pillars_WIP!$B$7:$B$116,[1]pillars_WIP!$AE$7:$AE$116,"Missing",0))</f>
        <v>59.134999999999998</v>
      </c>
      <c r="F24" s="61">
        <f>IF($B24="","",_xlfn.XLOOKUP($B24,[1]pillars_WIP!$B$7:$B$116,[1]pillars_WIP!$AH$7:$AH$116,"Missing",0))</f>
        <v>6.599223681220094</v>
      </c>
      <c r="G24" s="58">
        <f>_xlfn.XLOOKUP($B24,[1]pillars_WIP!$B$7:$B$501,[1]pillars_WIP!$AF$7:$AF$501,"Missing",0)</f>
        <v>5225610000</v>
      </c>
      <c r="H24" s="58">
        <f>_xlfn.XLOOKUP($B24,[1]pillars_WIP!$B$7:$B$501,[1]pillars_WIP!$AG$7:$AG$501,"Missing",0)</f>
        <v>8</v>
      </c>
      <c r="I24" s="11">
        <f>IF(ISNUMBER(C24),_xlfn.LET(_xlpm.cap,_xlfn.XLOOKUP("Domestic credit full-score cap",Params!$F:$F,Params!$G:$G),MAX(0,MIN(C24,_xlpm.cap))/_xlpm.cap*100),"")</f>
        <v>17.292952005505054</v>
      </c>
      <c r="J24" s="11">
        <f>IF(ISNUMBER(D24),_xlfn.LET(_xlpm.x,ABS(D24),_xlpm.bandOne,_xlfn.XLOOKUP("Inflation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24" s="11">
        <f>IF(ISNUMBER(E24),_xlfn.LET(_xlpm.cap,_xlfn.XLOOKUP("Sovereign debt zero-score cap",Params!$F:$F,Params!$G:$G),100-MAX(0,MIN(E24,_xlpm.cap))/_xlpm.cap*100),"")</f>
        <v>60.576666666666668</v>
      </c>
      <c r="L24" s="11">
        <f>IF(ISNUMBER(F24),_xlfn.LET(_xlpm.cap,_xlfn.XLOOKUP("Exchange-rate instability P95",Params!$F:$F,Params!$G:$G),IF(_xlpm.cap=0,100,(1-MIN(MAX(F24,0),_xlpm.cap)/_xlpm.cap)*100)),"")</f>
        <v>55.003749477606647</v>
      </c>
      <c r="M24" s="11">
        <f>IF(ISNUMBER(G24),_xlfn.LET(_xlpm.cap,_xlfn.XLOOKUP("PPI investment log1p ceiling",Params!$F:$F,Params!$G:$G),IF(_xlpm.cap=0,0,LN(1+MAX(0,MIN(G24,_xlpm.cap)))/LN(1+_xlpm.cap)*100)),"")</f>
        <v>89.294218639157378</v>
      </c>
      <c r="N24" s="11">
        <f>IF(ISNUMBER(H24),_xlfn.LET(_xlpm.cap,_xlfn.XLOOKUP("PPI project-count log1p ceiling",Params!$F:$F,Params!$G:$G),IF(_xlpm.cap=0,0,LN(1+MAX(0,MIN(H24,_xlpm.cap)))/LN(1+_xlpm.cap)*100)),"")</f>
        <v>43.347131641860834</v>
      </c>
      <c r="O24" s="12">
        <f t="shared" si="0"/>
        <v>56.05415630438651</v>
      </c>
      <c r="P24"/>
      <c r="Q24"/>
    </row>
    <row r="25" spans="1:17" s="2" customFormat="1" ht="20" customHeight="1">
      <c r="A25" s="35" t="str">
        <v>Mongolia</v>
      </c>
      <c r="B25" s="35" t="str">
        <v>MNG</v>
      </c>
      <c r="C25" s="61">
        <f>IF($B25="","",_xlfn.XLOOKUP($B25,[1]pillars_WIP!$B$7:$B$116,[1]pillars_WIP!$AC$7:$AC$116,"Missing",0))</f>
        <v>44.905883550905514</v>
      </c>
      <c r="D25" s="61">
        <f>IF($B25="","",_xlfn.XLOOKUP($B25,[1]pillars_WIP!$B$7:$B$116,[1]pillars_WIP!$AD$7:$AD$116,"Missing",0))</f>
        <v>6.197799016584197</v>
      </c>
      <c r="E25" s="61">
        <f>IF($B25="","",_xlfn.XLOOKUP($B25,[1]pillars_WIP!$B$7:$B$116,[1]pillars_WIP!$AE$7:$AE$116,"Missing",0))</f>
        <v>44.091000000000001</v>
      </c>
      <c r="F25" s="61">
        <f>IF($B25="","",_xlfn.XLOOKUP($B25,[1]pillars_WIP!$B$7:$B$116,[1]pillars_WIP!$AH$7:$AH$116,"Missing",0))</f>
        <v>5.707385782198541</v>
      </c>
      <c r="G25" s="58">
        <f>_xlfn.XLOOKUP($B25,[1]pillars_WIP!$B$7:$B$501,[1]pillars_WIP!$AF$7:$AF$501,"Missing",0)</f>
        <v>0</v>
      </c>
      <c r="H25" s="58">
        <f>_xlfn.XLOOKUP($B25,[1]pillars_WIP!$B$7:$B$501,[1]pillars_WIP!$AG$7:$AG$501,"Missing",0)</f>
        <v>0</v>
      </c>
      <c r="I25" s="11">
        <f>IF(ISNUMBER(C25),_xlfn.LET(_xlpm.cap,_xlfn.XLOOKUP("Domestic credit full-score cap",Params!$F:$F,Params!$G:$G),MAX(0,MIN(C25,_xlpm.cap))/_xlpm.cap*100),"")</f>
        <v>22.452941775452757</v>
      </c>
      <c r="J25" s="11">
        <f>IF(ISNUMBER(D25),_xlfn.LET(_xlpm.x,ABS(D25),_xlpm.bandOne,_xlfn.XLOOKUP("Inflation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75</v>
      </c>
      <c r="K25" s="11">
        <f>IF(ISNUMBER(E25),_xlfn.LET(_xlpm.cap,_xlfn.XLOOKUP("Sovereign debt zero-score cap",Params!$F:$F,Params!$G:$G),100-MAX(0,MIN(E25,_xlpm.cap))/_xlpm.cap*100),"")</f>
        <v>70.605999999999995</v>
      </c>
      <c r="L25" s="11">
        <f>IF(ISNUMBER(F25),_xlfn.LET(_xlpm.cap,_xlfn.XLOOKUP("Exchange-rate instability P95",Params!$F:$F,Params!$G:$G),IF(_xlpm.cap=0,100,(1-MIN(MAX(F25,0),_xlpm.cap)/_xlpm.cap)*100)),"")</f>
        <v>61.084671032658314</v>
      </c>
      <c r="M25" s="11">
        <f>IF(ISNUMBER(G25),_xlfn.LET(_xlpm.cap,_xlfn.XLOOKUP("PPI investment log1p ceiling",Params!$F:$F,Params!$G:$G),IF(_xlpm.cap=0,0,LN(1+MAX(0,MIN(G25,_xlpm.cap)))/LN(1+_xlpm.cap)*100)),"")</f>
        <v>0</v>
      </c>
      <c r="N25" s="11">
        <f>IF(ISNUMBER(H25),_xlfn.LET(_xlpm.cap,_xlfn.XLOOKUP("PPI project-count log1p ceiling",Params!$F:$F,Params!$G:$G),IF(_xlpm.cap=0,0,LN(1+MAX(0,MIN(H25,_xlpm.cap)))/LN(1+_xlpm.cap)*100)),"")</f>
        <v>0</v>
      </c>
      <c r="O25" s="12">
        <f t="shared" si="0"/>
        <v>54.878250290800409</v>
      </c>
      <c r="P25"/>
      <c r="Q25"/>
    </row>
    <row r="26" spans="1:17" s="2" customFormat="1" ht="20" customHeight="1">
      <c r="A26" s="35" t="str">
        <v>Morocco</v>
      </c>
      <c r="B26" s="35" t="str">
        <v>MAR</v>
      </c>
      <c r="C26" s="61">
        <f>IF($B26="","",_xlfn.XLOOKUP($B26,[1]pillars_WIP!$B$7:$B$116,[1]pillars_WIP!$AC$7:$AC$116,"Missing",0))</f>
        <v>77.763553381747116</v>
      </c>
      <c r="D26" s="61">
        <f>IF($B26="","",_xlfn.XLOOKUP($B26,[1]pillars_WIP!$B$7:$B$116,[1]pillars_WIP!$AD$7:$AD$116,"Missing",0))</f>
        <v>0.98525659200450688</v>
      </c>
      <c r="E26" s="61">
        <f>IF($B26="","",_xlfn.XLOOKUP($B26,[1]pillars_WIP!$B$7:$B$116,[1]pillars_WIP!$AE$7:$AE$116,"Missing",0))</f>
        <v>67.734999999999999</v>
      </c>
      <c r="F26" s="61">
        <f>IF($B26="","",_xlfn.XLOOKUP($B26,[1]pillars_WIP!$B$7:$B$116,[1]pillars_WIP!$AH$7:$AH$116,"Missing",0))</f>
        <v>4.2378875873029491</v>
      </c>
      <c r="G26" s="58">
        <f>_xlfn.XLOOKUP($B26,[1]pillars_WIP!$B$7:$B$501,[1]pillars_WIP!$AF$7:$AF$501,"Missing",0)</f>
        <v>1206690000</v>
      </c>
      <c r="H26" s="58">
        <f>_xlfn.XLOOKUP($B26,[1]pillars_WIP!$B$7:$B$501,[1]pillars_WIP!$AG$7:$AG$501,"Missing",0)</f>
        <v>4</v>
      </c>
      <c r="I26" s="11">
        <f>IF(ISNUMBER(C26),_xlfn.LET(_xlpm.cap,_xlfn.XLOOKUP("Domestic credit full-score cap",Params!$F:$F,Params!$G:$G),MAX(0,MIN(C26,_xlpm.cap))/_xlpm.cap*100),"")</f>
        <v>38.881776690873558</v>
      </c>
      <c r="J26" s="11">
        <f>IF(ISNUMBER(D26),_xlfn.LET(_xlpm.x,ABS(D26),_xlpm.bandOne,_xlfn.XLOOKUP("Inflation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26" s="11">
        <f>IF(ISNUMBER(E26),_xlfn.LET(_xlpm.cap,_xlfn.XLOOKUP("Sovereign debt zero-score cap",Params!$F:$F,Params!$G:$G),100-MAX(0,MIN(E26,_xlpm.cap))/_xlpm.cap*100),"")</f>
        <v>54.843333333333334</v>
      </c>
      <c r="L26" s="11">
        <f>IF(ISNUMBER(F26),_xlfn.LET(_xlpm.cap,_xlfn.XLOOKUP("Exchange-rate instability P95",Params!$F:$F,Params!$G:$G),IF(_xlpm.cap=0,100,(1-MIN(MAX(F26,0),_xlpm.cap)/_xlpm.cap)*100)),"")</f>
        <v>71.104320632943114</v>
      </c>
      <c r="M26" s="11">
        <f>IF(ISNUMBER(G26),_xlfn.LET(_xlpm.cap,_xlfn.XLOOKUP("PPI investment log1p ceiling",Params!$F:$F,Params!$G:$G),IF(_xlpm.cap=0,0,LN(1+MAX(0,MIN(G26,_xlpm.cap)))/LN(1+_xlpm.cap)*100)),"")</f>
        <v>83.44541693171594</v>
      </c>
      <c r="N26" s="11">
        <f>IF(ISNUMBER(H26),_xlfn.LET(_xlpm.cap,_xlfn.XLOOKUP("PPI project-count log1p ceiling",Params!$F:$F,Params!$G:$G),IF(_xlpm.cap=0,0,LN(1+MAX(0,MIN(H26,_xlpm.cap)))/LN(1+_xlpm.cap)*100)),"")</f>
        <v>31.751200027200159</v>
      </c>
      <c r="O26" s="12">
        <f t="shared" si="0"/>
        <v>65.409279832164515</v>
      </c>
      <c r="P26"/>
      <c r="Q26"/>
    </row>
    <row r="27" spans="1:17" s="2" customFormat="1" ht="20" customHeight="1">
      <c r="A27" s="35" t="str">
        <v>North Korea</v>
      </c>
      <c r="B27" s="35" t="str">
        <v>PRK</v>
      </c>
      <c r="C27" s="87">
        <v>160.34718267823618</v>
      </c>
      <c r="D27" s="87">
        <v>5.55</v>
      </c>
      <c r="E27" s="87">
        <v>46.896000000000001</v>
      </c>
      <c r="F27" s="87">
        <v>30</v>
      </c>
      <c r="G27" s="58">
        <f>_xlfn.XLOOKUP($B27,[1]pillars_WIP!$B$7:$B$501,[1]pillars_WIP!$AF$7:$AF$501,"Missing",0)</f>
        <v>0</v>
      </c>
      <c r="H27" s="58">
        <f>_xlfn.XLOOKUP($B27,[1]pillars_WIP!$B$7:$B$501,[1]pillars_WIP!$AG$7:$AG$501,"Missing",0)</f>
        <v>0</v>
      </c>
      <c r="I27" s="11">
        <f>IF(ISNUMBER(C27),_xlfn.LET(_xlpm.cap,_xlfn.XLOOKUP("Domestic credit full-score cap",Params!$F:$F,Params!$G:$G),MAX(0,MIN(C27,_xlpm.cap))/_xlpm.cap*100),"")</f>
        <v>80.17359133911809</v>
      </c>
      <c r="J27" s="11">
        <f>IF(ISNUMBER(D27),_xlfn.LET(_xlpm.x,ABS(D27),_xlpm.bandOne,_xlfn.XLOOKUP("Inflation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75</v>
      </c>
      <c r="K27" s="11">
        <f>IF(ISNUMBER(E27),_xlfn.LET(_xlpm.cap,_xlfn.XLOOKUP("Sovereign debt zero-score cap",Params!$F:$F,Params!$G:$G),100-MAX(0,MIN(E27,_xlpm.cap))/_xlpm.cap*100),"")</f>
        <v>68.73599999999999</v>
      </c>
      <c r="L27" s="85">
        <f>IF(ISNUMBER(F27),_xlfn.LET(_xlpm.cap,_xlfn.XLOOKUP("Exchange-rate instability P95",Params!$F:$F,Params!$G:$G),IF(_xlpm.cap=0,100,(1-MIN(MAX(F27,0),_xlpm.cap)/_xlpm.cap)*100)),"")</f>
        <v>0</v>
      </c>
      <c r="M27" s="11">
        <f>IF(ISNUMBER(G27),_xlfn.LET(_xlpm.cap,_xlfn.XLOOKUP("PPI investment log1p ceiling",Params!$F:$F,Params!$G:$G),IF(_xlpm.cap=0,0,LN(1+MAX(0,MIN(G27,_xlpm.cap)))/LN(1+_xlpm.cap)*100)),"")</f>
        <v>0</v>
      </c>
      <c r="N27" s="11">
        <f>IF(ISNUMBER(H27),_xlfn.LET(_xlpm.cap,_xlfn.XLOOKUP("PPI project-count log1p ceiling",Params!$F:$F,Params!$G:$G),IF(_xlpm.cap=0,0,LN(1+MAX(0,MIN(H27,_xlpm.cap)))/LN(1+_xlpm.cap)*100)),"")</f>
        <v>0</v>
      </c>
      <c r="O27" s="86">
        <f t="shared" si="0"/>
        <v>56.549277401735431</v>
      </c>
      <c r="P27"/>
      <c r="Q27" s="174" t="s">
        <v>900</v>
      </c>
    </row>
    <row r="28" spans="1:17" s="2" customFormat="1" ht="20" customHeight="1">
      <c r="A28" s="35" t="str">
        <v>Pakistan</v>
      </c>
      <c r="B28" s="35" t="str">
        <v>PAK</v>
      </c>
      <c r="C28" s="61">
        <f>IF($B28="","",_xlfn.XLOOKUP($B28,[1]pillars_WIP!$B$7:$B$116,[1]pillars_WIP!$AC$7:$AC$116,"Missing",0))</f>
        <v>11.466081613642674</v>
      </c>
      <c r="D28" s="61">
        <f>IF($B28="","",_xlfn.XLOOKUP($B28,[1]pillars_WIP!$B$7:$B$116,[1]pillars_WIP!$AD$7:$AD$116,"Missing",0))</f>
        <v>12.63253185304518</v>
      </c>
      <c r="E28" s="61">
        <f>IF($B28="","",_xlfn.XLOOKUP($B28,[1]pillars_WIP!$B$7:$B$116,[1]pillars_WIP!$AE$7:$AE$116,"Missing",0))</f>
        <v>70.22</v>
      </c>
      <c r="F28" s="61">
        <f>IF($B28="","",_xlfn.XLOOKUP($B28,[1]pillars_WIP!$B$7:$B$116,[1]pillars_WIP!$AH$7:$AH$116,"Missing",0))</f>
        <v>12.630728912979865</v>
      </c>
      <c r="G28" s="58">
        <f>_xlfn.XLOOKUP($B28,[1]pillars_WIP!$B$7:$B$501,[1]pillars_WIP!$AF$7:$AF$501,"Missing",0)</f>
        <v>2301750000</v>
      </c>
      <c r="H28" s="58">
        <f>_xlfn.XLOOKUP($B28,[1]pillars_WIP!$B$7:$B$501,[1]pillars_WIP!$AG$7:$AG$501,"Missing",0)</f>
        <v>5</v>
      </c>
      <c r="I28" s="11">
        <f>IF(ISNUMBER(C28),_xlfn.LET(_xlpm.cap,_xlfn.XLOOKUP("Domestic credit full-score cap",Params!$F:$F,Params!$G:$G),MAX(0,MIN(C28,_xlpm.cap))/_xlpm.cap*100),"")</f>
        <v>5.7330408068213368</v>
      </c>
      <c r="J28" s="11">
        <f>IF(ISNUMBER(D28),_xlfn.LET(_xlpm.x,ABS(D28),_xlpm.bandOne,_xlfn.XLOOKUP("Inflation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50</v>
      </c>
      <c r="K28" s="11">
        <f>IF(ISNUMBER(E28),_xlfn.LET(_xlpm.cap,_xlfn.XLOOKUP("Sovereign debt zero-score cap",Params!$F:$F,Params!$G:$G),100-MAX(0,MIN(E28,_xlpm.cap))/_xlpm.cap*100),"")</f>
        <v>53.186666666666667</v>
      </c>
      <c r="L28" s="11">
        <f>IF(ISNUMBER(F28),_xlfn.LET(_xlpm.cap,_xlfn.XLOOKUP("Exchange-rate instability P95",Params!$F:$F,Params!$G:$G),IF(_xlpm.cap=0,100,(1-MIN(MAX(F28,0),_xlpm.cap)/_xlpm.cap)*100)),"")</f>
        <v>13.878439358521211</v>
      </c>
      <c r="M28" s="11">
        <f>IF(ISNUMBER(G28),_xlfn.LET(_xlpm.cap,_xlfn.XLOOKUP("PPI investment log1p ceiling",Params!$F:$F,Params!$G:$G),IF(_xlpm.cap=0,0,LN(1+MAX(0,MIN(G28,_xlpm.cap)))/LN(1+_xlpm.cap)*100)),"")</f>
        <v>86.022420555988603</v>
      </c>
      <c r="N28" s="11">
        <f>IF(ISNUMBER(H28),_xlfn.LET(_xlpm.cap,_xlfn.XLOOKUP("PPI project-count log1p ceiling",Params!$F:$F,Params!$G:$G),IF(_xlpm.cap=0,0,LN(1+MAX(0,MIN(H28,_xlpm.cap)))/LN(1+_xlpm.cap)*100)),"")</f>
        <v>35.348063363344806</v>
      </c>
      <c r="O28" s="12">
        <f t="shared" si="0"/>
        <v>28.326855415010037</v>
      </c>
      <c r="P28"/>
      <c r="Q28"/>
    </row>
    <row r="29" spans="1:17" s="2" customFormat="1" ht="20" customHeight="1">
      <c r="A29" s="35" t="str">
        <v>Philippines</v>
      </c>
      <c r="B29" s="35" t="str">
        <v>PHL</v>
      </c>
      <c r="C29" s="61">
        <f>IF($B29="","",_xlfn.XLOOKUP($B29,[1]pillars_WIP!$B$7:$B$116,[1]pillars_WIP!$AC$7:$AC$116,"Missing",0))</f>
        <v>49.850790642456957</v>
      </c>
      <c r="D29" s="61">
        <f>IF($B29="","",_xlfn.XLOOKUP($B29,[1]pillars_WIP!$B$7:$B$116,[1]pillars_WIP!$AD$7:$AD$116,"Missing",0))</f>
        <v>3.21260487006347</v>
      </c>
      <c r="E29" s="61">
        <f>IF($B29="","",_xlfn.XLOOKUP($B29,[1]pillars_WIP!$B$7:$B$116,[1]pillars_WIP!$AE$7:$AE$116,"Missing",0))</f>
        <v>56.627000000000002</v>
      </c>
      <c r="F29" s="61">
        <f>IF($B29="","",_xlfn.XLOOKUP($B29,[1]pillars_WIP!$B$7:$B$116,[1]pillars_WIP!$AH$7:$AH$116,"Missing",0))</f>
        <v>4.0288163255077674</v>
      </c>
      <c r="G29" s="58">
        <f>_xlfn.XLOOKUP($B29,[1]pillars_WIP!$B$7:$B$501,[1]pillars_WIP!$AF$7:$AF$501,"Missing",0)</f>
        <v>6979210000</v>
      </c>
      <c r="H29" s="58">
        <f>_xlfn.XLOOKUP($B29,[1]pillars_WIP!$B$7:$B$501,[1]pillars_WIP!$AG$7:$AG$501,"Missing",0)</f>
        <v>29</v>
      </c>
      <c r="I29" s="11">
        <f>IF(ISNUMBER(C29),_xlfn.LET(_xlpm.cap,_xlfn.XLOOKUP("Domestic credit full-score cap",Params!$F:$F,Params!$G:$G),MAX(0,MIN(C29,_xlpm.cap))/_xlpm.cap*100),"")</f>
        <v>24.925395321228478</v>
      </c>
      <c r="J29" s="11">
        <f>IF(ISNUMBER(D29),_xlfn.LET(_xlpm.x,ABS(D29),_xlpm.bandOne,_xlfn.XLOOKUP("Inflation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29" s="11">
        <f>IF(ISNUMBER(E29),_xlfn.LET(_xlpm.cap,_xlfn.XLOOKUP("Sovereign debt zero-score cap",Params!$F:$F,Params!$G:$G),100-MAX(0,MIN(E29,_xlpm.cap))/_xlpm.cap*100),"")</f>
        <v>62.248666666666665</v>
      </c>
      <c r="L29" s="11">
        <f>IF(ISNUMBER(F29),_xlfn.LET(_xlpm.cap,_xlfn.XLOOKUP("Exchange-rate instability P95",Params!$F:$F,Params!$G:$G),IF(_xlpm.cap=0,100,(1-MIN(MAX(F29,0),_xlpm.cap)/_xlpm.cap)*100)),"")</f>
        <v>72.529855412062716</v>
      </c>
      <c r="M29" s="11">
        <f>IF(ISNUMBER(G29),_xlfn.LET(_xlpm.cap,_xlfn.XLOOKUP("PPI investment log1p ceiling",Params!$F:$F,Params!$G:$G),IF(_xlpm.cap=0,0,LN(1+MAX(0,MIN(G29,_xlpm.cap)))/LN(1+_xlpm.cap)*100)),"")</f>
        <v>90.448919324787624</v>
      </c>
      <c r="N29" s="11">
        <f>IF(ISNUMBER(H29),_xlfn.LET(_xlpm.cap,_xlfn.XLOOKUP("PPI project-count log1p ceiling",Params!$F:$F,Params!$G:$G),IF(_xlpm.cap=0,0,LN(1+MAX(0,MIN(H29,_xlpm.cap)))/LN(1+_xlpm.cap)*100)),"")</f>
        <v>67.099263390544976</v>
      </c>
      <c r="O29" s="12">
        <f t="shared" si="0"/>
        <v>63.059815782717557</v>
      </c>
      <c r="P29"/>
      <c r="Q29"/>
    </row>
    <row r="30" spans="1:17" s="2" customFormat="1" ht="20" customHeight="1">
      <c r="A30" s="35" t="str">
        <v>Poland</v>
      </c>
      <c r="B30" s="35" t="str">
        <v>POL</v>
      </c>
      <c r="C30" s="61">
        <f>IF($B30="","",_xlfn.XLOOKUP($B30,[1]pillars_WIP!$B$7:$B$116,[1]pillars_WIP!$AC$7:$AC$116,"Missing",0))</f>
        <v>33.58579001880971</v>
      </c>
      <c r="D30" s="61">
        <f>IF($B30="","",_xlfn.XLOOKUP($B30,[1]pillars_WIP!$B$7:$B$116,[1]pillars_WIP!$AD$7:$AD$116,"Missing",0))</f>
        <v>3.7906089763019661</v>
      </c>
      <c r="E30" s="61">
        <f>IF($B30="","",_xlfn.XLOOKUP($B30,[1]pillars_WIP!$B$7:$B$116,[1]pillars_WIP!$AE$7:$AE$116,"Missing",0))</f>
        <v>55.088999999999999</v>
      </c>
      <c r="F30" s="61">
        <f>IF($B30="","",_xlfn.XLOOKUP($B30,[1]pillars_WIP!$B$7:$B$116,[1]pillars_WIP!$AH$7:$AH$116,"Missing",0))</f>
        <v>5.6399449723408681</v>
      </c>
      <c r="G30" s="58">
        <f>_xlfn.XLOOKUP($B30,[1]pillars_WIP!$B$7:$B$501,[1]pillars_WIP!$AF$7:$AF$501,"Missing",0)</f>
        <v>0</v>
      </c>
      <c r="H30" s="58">
        <f>_xlfn.XLOOKUP($B30,[1]pillars_WIP!$B$7:$B$501,[1]pillars_WIP!$AG$7:$AG$501,"Missing",0)</f>
        <v>0</v>
      </c>
      <c r="I30" s="11">
        <f>IF(ISNUMBER(C30),_xlfn.LET(_xlpm.cap,_xlfn.XLOOKUP("Domestic credit full-score cap",Params!$F:$F,Params!$G:$G),MAX(0,MIN(C30,_xlpm.cap))/_xlpm.cap*100),"")</f>
        <v>16.792895009404855</v>
      </c>
      <c r="J30" s="11">
        <f>IF(ISNUMBER(D30),_xlfn.LET(_xlpm.x,ABS(D30),_xlpm.bandOne,_xlfn.XLOOKUP("Inflation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30" s="11">
        <f>IF(ISNUMBER(E30),_xlfn.LET(_xlpm.cap,_xlfn.XLOOKUP("Sovereign debt zero-score cap",Params!$F:$F,Params!$G:$G),100-MAX(0,MIN(E30,_xlpm.cap))/_xlpm.cap*100),"")</f>
        <v>63.274000000000001</v>
      </c>
      <c r="L30" s="11">
        <f>IF(ISNUMBER(F30),_xlfn.LET(_xlpm.cap,_xlfn.XLOOKUP("Exchange-rate instability P95",Params!$F:$F,Params!$G:$G),IF(_xlpm.cap=0,100,(1-MIN(MAX(F30,0),_xlpm.cap)/_xlpm.cap)*100)),"")</f>
        <v>61.544510511114645</v>
      </c>
      <c r="M30" s="11">
        <f>IF(ISNUMBER(G30),_xlfn.LET(_xlpm.cap,_xlfn.XLOOKUP("PPI investment log1p ceiling",Params!$F:$F,Params!$G:$G),IF(_xlpm.cap=0,0,LN(1+MAX(0,MIN(G30,_xlpm.cap)))/LN(1+_xlpm.cap)*100)),"")</f>
        <v>0</v>
      </c>
      <c r="N30" s="11">
        <f>IF(ISNUMBER(H30),_xlfn.LET(_xlpm.cap,_xlfn.XLOOKUP("PPI project-count log1p ceiling",Params!$F:$F,Params!$G:$G),IF(_xlpm.cap=0,0,LN(1+MAX(0,MIN(H30,_xlpm.cap)))/LN(1+_xlpm.cap)*100)),"")</f>
        <v>0</v>
      </c>
      <c r="O30" s="12">
        <f t="shared" si="0"/>
        <v>58.078796130600125</v>
      </c>
      <c r="P30"/>
      <c r="Q30"/>
    </row>
    <row r="31" spans="1:17" s="2" customFormat="1" ht="20" customHeight="1">
      <c r="A31" s="35" t="str">
        <v>Russia</v>
      </c>
      <c r="B31" s="35" t="str">
        <v>RUS</v>
      </c>
      <c r="C31" s="87">
        <v>48.14737625113581</v>
      </c>
      <c r="D31" s="61">
        <f>IF($B31="","",_xlfn.XLOOKUP($B31,[1]pillars_WIP!$B$7:$B$116,[1]pillars_WIP!$AD$7:$AD$116,"Missing",0))</f>
        <v>8.4348641049672324</v>
      </c>
      <c r="E31" s="61">
        <f>IF($B31="","",_xlfn.XLOOKUP($B31,[1]pillars_WIP!$B$7:$B$116,[1]pillars_WIP!$AE$7:$AE$116,"Missing",0))</f>
        <v>14.757999999999999</v>
      </c>
      <c r="F31" s="61">
        <f>IF($B31="","",_xlfn.XLOOKUP($B31,[1]pillars_WIP!$B$7:$B$116,[1]pillars_WIP!$AH$7:$AH$116,"Missing",0))</f>
        <v>10.059410377108591</v>
      </c>
      <c r="G31" s="58">
        <f>_xlfn.XLOOKUP($B31,[1]pillars_WIP!$B$7:$B$501,[1]pillars_WIP!$AF$7:$AF$501,"Missing",0)</f>
        <v>587970000</v>
      </c>
      <c r="H31" s="58">
        <f>_xlfn.XLOOKUP($B31,[1]pillars_WIP!$B$7:$B$501,[1]pillars_WIP!$AG$7:$AG$501,"Missing",0)</f>
        <v>11</v>
      </c>
      <c r="I31" s="85">
        <f>IF(ISNUMBER(C31),_xlfn.LET(_xlpm.cap,_xlfn.XLOOKUP("Domestic credit full-score cap",Params!$F:$F,Params!$G:$G),MAX(0,MIN(C31,_xlpm.cap))/_xlpm.cap*100),"")</f>
        <v>24.073688125567905</v>
      </c>
      <c r="J31" s="11">
        <f>IF(ISNUMBER(D31),_xlfn.LET(_xlpm.x,ABS(D31),_xlpm.bandOne,_xlfn.XLOOKUP("Inflation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75</v>
      </c>
      <c r="K31" s="11">
        <f>IF(ISNUMBER(E31),_xlfn.LET(_xlpm.cap,_xlfn.XLOOKUP("Sovereign debt zero-score cap",Params!$F:$F,Params!$G:$G),100-MAX(0,MIN(E31,_xlpm.cap))/_xlpm.cap*100),"")</f>
        <v>90.161333333333332</v>
      </c>
      <c r="L31" s="11">
        <f>IF(ISNUMBER(F31),_xlfn.LET(_xlpm.cap,_xlfn.XLOOKUP("Exchange-rate instability P95",Params!$F:$F,Params!$G:$G),IF(_xlpm.cap=0,100,(1-MIN(MAX(F31,0),_xlpm.cap)/_xlpm.cap)*100)),"")</f>
        <v>31.410758098101578</v>
      </c>
      <c r="M31" s="11">
        <f>IF(ISNUMBER(G31),_xlfn.LET(_xlpm.cap,_xlfn.XLOOKUP("PPI investment log1p ceiling",Params!$F:$F,Params!$G:$G),IF(_xlpm.cap=0,0,LN(1+MAX(0,MIN(G31,_xlpm.cap)))/LN(1+_xlpm.cap)*100)),"")</f>
        <v>80.576423052449059</v>
      </c>
      <c r="N31" s="11">
        <f>IF(ISNUMBER(H31),_xlfn.LET(_xlpm.cap,_xlfn.XLOOKUP("PPI project-count log1p ceiling",Params!$F:$F,Params!$G:$G),IF(_xlpm.cap=0,0,LN(1+MAX(0,MIN(H31,_xlpm.cap)))/LN(1+_xlpm.cap)*100)),"")</f>
        <v>49.0225609057592</v>
      </c>
      <c r="O31" s="86">
        <f t="shared" si="0"/>
        <v>51.85706262886243</v>
      </c>
      <c r="P31"/>
      <c r="Q31"/>
    </row>
    <row r="32" spans="1:17" s="2" customFormat="1" ht="20" customHeight="1">
      <c r="A32" s="35" t="str">
        <v>Serbia</v>
      </c>
      <c r="B32" s="35" t="str">
        <v>SRB</v>
      </c>
      <c r="C32" s="61">
        <f>IF($B32="","",_xlfn.XLOOKUP($B32,[1]pillars_WIP!$B$7:$B$116,[1]pillars_WIP!$AC$7:$AC$116,"Missing",0))</f>
        <v>32.636524490266147</v>
      </c>
      <c r="D32" s="61">
        <f>IF($B32="","",_xlfn.XLOOKUP($B32,[1]pillars_WIP!$B$7:$B$116,[1]pillars_WIP!$AD$7:$AD$116,"Missing",0))</f>
        <v>4.6705297488997006</v>
      </c>
      <c r="E32" s="61">
        <f>IF($B32="","",_xlfn.XLOOKUP($B32,[1]pillars_WIP!$B$7:$B$116,[1]pillars_WIP!$AE$7:$AE$116,"Missing",0))</f>
        <v>44.064</v>
      </c>
      <c r="F32" s="61">
        <f>IF($B32="","",_xlfn.XLOOKUP($B32,[1]pillars_WIP!$B$7:$B$116,[1]pillars_WIP!$AH$7:$AH$116,"Missing",0))</f>
        <v>4.1002995977231818</v>
      </c>
      <c r="G32" s="58">
        <f>_xlfn.XLOOKUP($B32,[1]pillars_WIP!$B$7:$B$501,[1]pillars_WIP!$AF$7:$AF$501,"Missing",0)</f>
        <v>592080000</v>
      </c>
      <c r="H32" s="58">
        <f>_xlfn.XLOOKUP($B32,[1]pillars_WIP!$B$7:$B$501,[1]pillars_WIP!$AG$7:$AG$501,"Missing",0)</f>
        <v>5</v>
      </c>
      <c r="I32" s="11">
        <f>IF(ISNUMBER(C32),_xlfn.LET(_xlpm.cap,_xlfn.XLOOKUP("Domestic credit full-score cap",Params!$F:$F,Params!$G:$G),MAX(0,MIN(C32,_xlpm.cap))/_xlpm.cap*100),"")</f>
        <v>16.318262245133074</v>
      </c>
      <c r="J32" s="11">
        <f>IF(ISNUMBER(D32),_xlfn.LET(_xlpm.x,ABS(D32),_xlpm.bandOne,_xlfn.XLOOKUP("Inflation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32" s="11">
        <f>IF(ISNUMBER(E32),_xlfn.LET(_xlpm.cap,_xlfn.XLOOKUP("Sovereign debt zero-score cap",Params!$F:$F,Params!$G:$G),100-MAX(0,MIN(E32,_xlpm.cap))/_xlpm.cap*100),"")</f>
        <v>70.623999999999995</v>
      </c>
      <c r="L32" s="11">
        <f>IF(ISNUMBER(F32),_xlfn.LET(_xlpm.cap,_xlfn.XLOOKUP("Exchange-rate instability P95",Params!$F:$F,Params!$G:$G),IF(_xlpm.cap=0,100,(1-MIN(MAX(F32,0),_xlpm.cap)/_xlpm.cap)*100)),"")</f>
        <v>72.04245274469767</v>
      </c>
      <c r="M32" s="11">
        <f>IF(ISNUMBER(G32),_xlfn.LET(_xlpm.cap,_xlfn.XLOOKUP("PPI investment log1p ceiling",Params!$F:$F,Params!$G:$G),IF(_xlpm.cap=0,0,LN(1+MAX(0,MIN(G32,_xlpm.cap)))/LN(1+_xlpm.cap)*100)),"")</f>
        <v>80.604220044279003</v>
      </c>
      <c r="N32" s="11">
        <f>IF(ISNUMBER(H32),_xlfn.LET(_xlpm.cap,_xlfn.XLOOKUP("PPI project-count log1p ceiling",Params!$F:$F,Params!$G:$G),IF(_xlpm.cap=0,0,LN(1+MAX(0,MIN(H32,_xlpm.cap)))/LN(1+_xlpm.cap)*100)),"")</f>
        <v>35.348063363344806</v>
      </c>
      <c r="O32" s="12">
        <f t="shared" si="0"/>
        <v>62.030891859714337</v>
      </c>
      <c r="P32"/>
      <c r="Q32"/>
    </row>
    <row r="33" spans="1:17" s="2" customFormat="1" ht="20" customHeight="1">
      <c r="A33" s="35" t="str">
        <v>South Africa</v>
      </c>
      <c r="B33" s="35" t="str">
        <v>ZAF</v>
      </c>
      <c r="C33" s="61">
        <f>IF($B33="","",_xlfn.XLOOKUP($B33,[1]pillars_WIP!$B$7:$B$116,[1]pillars_WIP!$AC$7:$AC$116,"Missing",0))</f>
        <v>89.447636017344308</v>
      </c>
      <c r="D33" s="61">
        <f>IF($B33="","",_xlfn.XLOOKUP($B33,[1]pillars_WIP!$B$7:$B$116,[1]pillars_WIP!$AD$7:$AD$116,"Missing",0))</f>
        <v>4.3611524651896207</v>
      </c>
      <c r="E33" s="61">
        <f>IF($B33="","",_xlfn.XLOOKUP($B33,[1]pillars_WIP!$B$7:$B$116,[1]pillars_WIP!$AE$7:$AE$116,"Missing",0))</f>
        <v>75.962999999999994</v>
      </c>
      <c r="F33" s="61">
        <f>IF($B33="","",_xlfn.XLOOKUP($B33,[1]pillars_WIP!$B$7:$B$116,[1]pillars_WIP!$AH$7:$AH$116,"Missing",0))</f>
        <v>9.3298111854910886</v>
      </c>
      <c r="G33" s="58">
        <f>_xlfn.XLOOKUP($B33,[1]pillars_WIP!$B$7:$B$501,[1]pillars_WIP!$AF$7:$AF$501,"Missing",0)</f>
        <v>5141140000</v>
      </c>
      <c r="H33" s="58">
        <f>_xlfn.XLOOKUP($B33,[1]pillars_WIP!$B$7:$B$501,[1]pillars_WIP!$AG$7:$AG$501,"Missing",0)</f>
        <v>21</v>
      </c>
      <c r="I33" s="11">
        <f>IF(ISNUMBER(C33),_xlfn.LET(_xlpm.cap,_xlfn.XLOOKUP("Domestic credit full-score cap",Params!$F:$F,Params!$G:$G),MAX(0,MIN(C33,_xlpm.cap))/_xlpm.cap*100),"")</f>
        <v>44.723818008672154</v>
      </c>
      <c r="J33" s="11">
        <f>IF(ISNUMBER(D33),_xlfn.LET(_xlpm.x,ABS(D33),_xlpm.bandOne,_xlfn.XLOOKUP("Inflation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33" s="11">
        <f>IF(ISNUMBER(E33),_xlfn.LET(_xlpm.cap,_xlfn.XLOOKUP("Sovereign debt zero-score cap",Params!$F:$F,Params!$G:$G),100-MAX(0,MIN(E33,_xlpm.cap))/_xlpm.cap*100),"")</f>
        <v>49.358000000000004</v>
      </c>
      <c r="L33" s="11">
        <f>IF(ISNUMBER(F33),_xlfn.LET(_xlpm.cap,_xlfn.XLOOKUP("Exchange-rate instability P95",Params!$F:$F,Params!$G:$G),IF(_xlpm.cap=0,100,(1-MIN(MAX(F33,0),_xlpm.cap)/_xlpm.cap)*100)),"")</f>
        <v>36.385468699347214</v>
      </c>
      <c r="M33" s="11">
        <f>IF(ISNUMBER(G33),_xlfn.LET(_xlpm.cap,_xlfn.XLOOKUP("PPI investment log1p ceiling",Params!$F:$F,Params!$G:$G),IF(_xlpm.cap=0,0,LN(1+MAX(0,MIN(G33,_xlpm.cap)))/LN(1+_xlpm.cap)*100)),"")</f>
        <v>89.229187088207453</v>
      </c>
      <c r="N33" s="11">
        <f>IF(ISNUMBER(H33),_xlfn.LET(_xlpm.cap,_xlfn.XLOOKUP("PPI project-count log1p ceiling",Params!$F:$F,Params!$G:$G),IF(_xlpm.cap=0,0,LN(1+MAX(0,MIN(H33,_xlpm.cap)))/LN(1+_xlpm.cap)*100)),"")</f>
        <v>60.980486709620749</v>
      </c>
      <c r="O33" s="12">
        <f t="shared" si="0"/>
        <v>57.385112577438449</v>
      </c>
      <c r="P33"/>
      <c r="Q33"/>
    </row>
    <row r="34" spans="1:17" s="2" customFormat="1" ht="20" customHeight="1">
      <c r="A34" s="35" t="str">
        <v>South Korea</v>
      </c>
      <c r="B34" s="35" t="str">
        <v>KOR</v>
      </c>
      <c r="C34" s="61">
        <f>IF($B34="","",_xlfn.XLOOKUP($B34,[1]pillars_WIP!$B$7:$B$116,[1]pillars_WIP!$AC$7:$AC$116,"Missing",0))</f>
        <v>160.34718267823618</v>
      </c>
      <c r="D34" s="61">
        <f>IF($B34="","",_xlfn.XLOOKUP($B34,[1]pillars_WIP!$B$7:$B$116,[1]pillars_WIP!$AD$7:$AD$116,"Missing",0))</f>
        <v>2.3217432864354208</v>
      </c>
      <c r="E34" s="61">
        <f>IF($B34="","",_xlfn.XLOOKUP($B34,[1]pillars_WIP!$B$7:$B$116,[1]pillars_WIP!$AE$7:$AE$116,"Missing",0))</f>
        <v>49.701000000000001</v>
      </c>
      <c r="F34" s="61">
        <f>IF($B34="","",_xlfn.XLOOKUP($B34,[1]pillars_WIP!$B$7:$B$116,[1]pillars_WIP!$AH$7:$AH$116,"Missing",0))</f>
        <v>4.3887488451403849</v>
      </c>
      <c r="G34" s="58">
        <f>_xlfn.XLOOKUP($B34,[1]pillars_WIP!$B$7:$B$501,[1]pillars_WIP!$AF$7:$AF$501,"Missing",0)</f>
        <v>0</v>
      </c>
      <c r="H34" s="58">
        <f>_xlfn.XLOOKUP($B34,[1]pillars_WIP!$B$7:$B$501,[1]pillars_WIP!$AG$7:$AG$501,"Missing",0)</f>
        <v>0</v>
      </c>
      <c r="I34" s="11">
        <f>IF(ISNUMBER(C34),_xlfn.LET(_xlpm.cap,_xlfn.XLOOKUP("Domestic credit full-score cap",Params!$F:$F,Params!$G:$G),MAX(0,MIN(C34,_xlpm.cap))/_xlpm.cap*100),"")</f>
        <v>80.17359133911809</v>
      </c>
      <c r="J34" s="11">
        <f>IF(ISNUMBER(D34),_xlfn.LET(_xlpm.x,ABS(D34),_xlpm.bandOne,_xlfn.XLOOKUP("Inflation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34" s="11">
        <f>IF(ISNUMBER(E34),_xlfn.LET(_xlpm.cap,_xlfn.XLOOKUP("Sovereign debt zero-score cap",Params!$F:$F,Params!$G:$G),100-MAX(0,MIN(E34,_xlpm.cap))/_xlpm.cap*100),"")</f>
        <v>66.866</v>
      </c>
      <c r="L34" s="11">
        <f>IF(ISNUMBER(F34),_xlfn.LET(_xlpm.cap,_xlfn.XLOOKUP("Exchange-rate instability P95",Params!$F:$F,Params!$G:$G),IF(_xlpm.cap=0,100,(1-MIN(MAX(F34,0),_xlpm.cap)/_xlpm.cap)*100)),"")</f>
        <v>70.07568586017517</v>
      </c>
      <c r="M34" s="11">
        <f>IF(ISNUMBER(G34),_xlfn.LET(_xlpm.cap,_xlfn.XLOOKUP("PPI investment log1p ceiling",Params!$F:$F,Params!$G:$G),IF(_xlpm.cap=0,0,LN(1+MAX(0,MIN(G34,_xlpm.cap)))/LN(1+_xlpm.cap)*100)),"")</f>
        <v>0</v>
      </c>
      <c r="N34" s="11">
        <f>IF(ISNUMBER(H34),_xlfn.LET(_xlpm.cap,_xlfn.XLOOKUP("PPI project-count log1p ceiling",Params!$F:$F,Params!$G:$G),IF(_xlpm.cap=0,0,LN(1+MAX(0,MIN(H34,_xlpm.cap)))/LN(1+_xlpm.cap)*100)),"")</f>
        <v>0</v>
      </c>
      <c r="O34" s="12">
        <f t="shared" si="0"/>
        <v>79.944198866779217</v>
      </c>
      <c r="P34"/>
      <c r="Q34"/>
    </row>
    <row r="35" spans="1:17" s="2" customFormat="1" ht="20" customHeight="1">
      <c r="A35" s="35" t="str">
        <v>Sri Lanka</v>
      </c>
      <c r="B35" s="35" t="str">
        <v>LKA</v>
      </c>
      <c r="C35" s="61">
        <v>35.811171578796269</v>
      </c>
      <c r="D35" s="61">
        <f>IF($B35="","",_xlfn.XLOOKUP($B35,[1]pillars_WIP!$B$7:$B$116,[1]pillars_WIP!$AD$7:$AD$116,"Missing",0))</f>
        <v>-0.42936004906973008</v>
      </c>
      <c r="E35" s="61">
        <f>IF($B35="","",_xlfn.XLOOKUP($B35,[1]pillars_WIP!$B$7:$B$116,[1]pillars_WIP!$AE$7:$AE$116,"Missing",0))</f>
        <v>100.84</v>
      </c>
      <c r="F35" s="87">
        <v>13.725</v>
      </c>
      <c r="G35" s="58">
        <f>_xlfn.XLOOKUP($B35,[1]pillars_WIP!$B$7:$B$501,[1]pillars_WIP!$AF$7:$AF$501,"Missing",0)</f>
        <v>8320000</v>
      </c>
      <c r="H35" s="58">
        <f>_xlfn.XLOOKUP($B35,[1]pillars_WIP!$B$7:$B$501,[1]pillars_WIP!$AG$7:$AG$501,"Missing",0)</f>
        <v>1</v>
      </c>
      <c r="I35" s="11">
        <f>IF(ISNUMBER(C35),_xlfn.LET(_xlpm.cap,_xlfn.XLOOKUP("Domestic credit full-score cap",Params!$F:$F,Params!$G:$G),MAX(0,MIN(C35,_xlpm.cap))/_xlpm.cap*100),"")</f>
        <v>17.905585789398135</v>
      </c>
      <c r="J35" s="11">
        <f>IF(ISNUMBER(D35),_xlfn.LET(_xlpm.x,ABS(D35),_xlpm.bandOne,_xlfn.XLOOKUP("Inflation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35" s="11">
        <f>IF(ISNUMBER(E35),_xlfn.LET(_xlpm.cap,_xlfn.XLOOKUP("Sovereign debt zero-score cap",Params!$F:$F,Params!$G:$G),100-MAX(0,MIN(E35,_xlpm.cap))/_xlpm.cap*100),"")</f>
        <v>32.773333333333326</v>
      </c>
      <c r="L35" s="85">
        <f>IF(ISNUMBER(F35),_xlfn.LET(_xlpm.cap,_xlfn.XLOOKUP("Exchange-rate instability P95",Params!$F:$F,Params!$G:$G),IF(_xlpm.cap=0,100,(1-MIN(MAX(F35,0),_xlpm.cap)/_xlpm.cap)*100)),"")</f>
        <v>6.4172441711099708</v>
      </c>
      <c r="M35" s="11">
        <f>IF(ISNUMBER(G35),_xlfn.LET(_xlpm.cap,_xlfn.XLOOKUP("PPI investment log1p ceiling",Params!$F:$F,Params!$G:$G),IF(_xlpm.cap=0,0,LN(1+MAX(0,MIN(G35,_xlpm.cap)))/LN(1+_xlpm.cap)*100)),"")</f>
        <v>63.58492479944843</v>
      </c>
      <c r="N35" s="11">
        <f>IF(ISNUMBER(H35),_xlfn.LET(_xlpm.cap,_xlfn.XLOOKUP("PPI project-count log1p ceiling",Params!$F:$F,Params!$G:$G),IF(_xlpm.cap=0,0,LN(1+MAX(0,MIN(H35,_xlpm.cap)))/LN(1+_xlpm.cap)*100)),"")</f>
        <v>13.674497542414391</v>
      </c>
      <c r="O35" s="86">
        <f t="shared" si="0"/>
        <v>38.530653446263599</v>
      </c>
      <c r="P35"/>
      <c r="Q35" s="174" t="s">
        <v>921</v>
      </c>
    </row>
    <row r="36" spans="1:17" s="2" customFormat="1" ht="20" customHeight="1">
      <c r="A36" s="35" t="str">
        <v>Taiwan, China</v>
      </c>
      <c r="B36" s="35" t="str">
        <v>TWN</v>
      </c>
      <c r="C36" s="87">
        <v>194.16599684481059</v>
      </c>
      <c r="D36" s="87">
        <v>2.0257322387472803</v>
      </c>
      <c r="E36" s="61">
        <f>IF($B36="","",_xlfn.XLOOKUP($B36,[1]pillars_WIP!$B$7:$B$116,[1]pillars_WIP!$AE$7:$AE$116,"Missing",0))</f>
        <v>26.782</v>
      </c>
      <c r="F36" s="87">
        <v>4.694</v>
      </c>
      <c r="G36" s="58" t="str">
        <f>_xlfn.XLOOKUP($B36,[1]pillars_WIP!$B$7:$B$501,[1]pillars_WIP!$AF$7:$AF$501,"Missing",0)</f>
        <v>Missing</v>
      </c>
      <c r="H36" s="58">
        <f>_xlfn.XLOOKUP($B36,[1]pillars_WIP!$B$7:$B$501,[1]pillars_WIP!$AG$7:$AG$501,"Missing",0)</f>
        <v>0</v>
      </c>
      <c r="I36" s="11">
        <f>IF(ISNUMBER(C36),_xlfn.LET(_xlpm.cap,_xlfn.XLOOKUP("Domestic credit full-score cap",Params!$F:$F,Params!$G:$G),MAX(0,MIN(C36,_xlpm.cap))/_xlpm.cap*100),"")</f>
        <v>97.082998422405296</v>
      </c>
      <c r="J36" s="11">
        <f>IF(ISNUMBER(D36),_xlfn.LET(_xlpm.x,ABS(D36),_xlpm.bandOne,_xlfn.XLOOKUP("Inflation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36" s="11">
        <f>IF(ISNUMBER(E36),_xlfn.LET(_xlpm.cap,_xlfn.XLOOKUP("Sovereign debt zero-score cap",Params!$F:$F,Params!$G:$G),100-MAX(0,MIN(E36,_xlpm.cap))/_xlpm.cap*100),"")</f>
        <v>82.145333333333326</v>
      </c>
      <c r="L36" s="85">
        <f>IF(ISNUMBER(F36),_xlfn.LET(_xlpm.cap,_xlfn.XLOOKUP("Exchange-rate instability P95",Params!$F:$F,Params!$G:$G),IF(_xlpm.cap=0,100,(1-MIN(MAX(F36,0),_xlpm.cap)/_xlpm.cap)*100)),"")</f>
        <v>67.994356585733343</v>
      </c>
      <c r="M36" s="11" t="str">
        <f>IF(ISNUMBER(G36),_xlfn.LET(_xlpm.cap,_xlfn.XLOOKUP("PPI investment log1p ceiling",Params!$F:$F,Params!$G:$G),IF(_xlpm.cap=0,0,LN(1+MAX(0,MIN(G36,_xlpm.cap)))/LN(1+_xlpm.cap)*100)),"")</f>
        <v/>
      </c>
      <c r="N36" s="11">
        <f>IF(ISNUMBER(H36),_xlfn.LET(_xlpm.cap,_xlfn.XLOOKUP("PPI project-count log1p ceiling",Params!$F:$F,Params!$G:$G),IF(_xlpm.cap=0,0,LN(1+MAX(0,MIN(H36,_xlpm.cap)))/LN(1+_xlpm.cap)*100)),"")</f>
        <v>0</v>
      </c>
      <c r="O36" s="86">
        <f t="shared" si="0"/>
        <v>87.552555339821595</v>
      </c>
      <c r="P36"/>
      <c r="Q36" s="174" t="s">
        <v>921</v>
      </c>
    </row>
    <row r="37" spans="1:17" s="2" customFormat="1" ht="20" customHeight="1">
      <c r="A37" s="35" t="str">
        <v>Thailand</v>
      </c>
      <c r="B37" s="35" t="str">
        <v>THA</v>
      </c>
      <c r="C37" s="61">
        <f>IF($B37="","",_xlfn.XLOOKUP($B37,[1]pillars_WIP!$B$7:$B$116,[1]pillars_WIP!$AC$7:$AC$116,"Missing",0))</f>
        <v>147.09192702825186</v>
      </c>
      <c r="D37" s="61">
        <f>IF($B37="","",_xlfn.XLOOKUP($B37,[1]pillars_WIP!$B$7:$B$116,[1]pillars_WIP!$AD$7:$AD$116,"Missing",0))</f>
        <v>1.365805407980367</v>
      </c>
      <c r="E37" s="61">
        <f>IF($B37="","",_xlfn.XLOOKUP($B37,[1]pillars_WIP!$B$7:$B$116,[1]pillars_WIP!$AE$7:$AE$116,"Missing",0))</f>
        <v>62.912999999999997</v>
      </c>
      <c r="F37" s="168">
        <f>IF($B37="","",_xlfn.XLOOKUP($B37,[1]pillars_WIP!$B$7:$B$116,[1]pillars_WIP!$AH$7:$AH$116,"Missing",0))</f>
        <v>2.8603284710925094</v>
      </c>
      <c r="G37" s="58">
        <f>_xlfn.XLOOKUP($B37,[1]pillars_WIP!$B$7:$B$501,[1]pillars_WIP!$AF$7:$AF$501,"Missing",0)</f>
        <v>2912010000</v>
      </c>
      <c r="H37" s="58">
        <f>_xlfn.XLOOKUP($B37,[1]pillars_WIP!$B$7:$B$501,[1]pillars_WIP!$AG$7:$AG$501,"Missing",0)</f>
        <v>8</v>
      </c>
      <c r="I37" s="11">
        <f>IF(ISNUMBER(C37),_xlfn.LET(_xlpm.cap,_xlfn.XLOOKUP("Domestic credit full-score cap",Params!$F:$F,Params!$G:$G),MAX(0,MIN(C37,_xlpm.cap))/_xlpm.cap*100),"")</f>
        <v>73.54596351412593</v>
      </c>
      <c r="J37" s="11">
        <f>IF(ISNUMBER(D37),_xlfn.LET(_xlpm.x,ABS(D37),_xlpm.bandOne,_xlfn.XLOOKUP("Inflation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37" s="11">
        <f>IF(ISNUMBER(E37),_xlfn.LET(_xlpm.cap,_xlfn.XLOOKUP("Sovereign debt zero-score cap",Params!$F:$F,Params!$G:$G),100-MAX(0,MIN(E37,_xlpm.cap))/_xlpm.cap*100),"")</f>
        <v>58.058000000000007</v>
      </c>
      <c r="L37" s="11">
        <f>IF(ISNUMBER(F37),_xlfn.LET(_xlpm.cap,_xlfn.XLOOKUP("Exchange-rate instability P95",Params!$F:$F,Params!$G:$G),IF(_xlpm.cap=0,100,(1-MIN(MAX(F37,0),_xlpm.cap)/_xlpm.cap)*100)),"")</f>
        <v>80.497091373357193</v>
      </c>
      <c r="M37" s="11">
        <f>IF(ISNUMBER(G37),_xlfn.LET(_xlpm.cap,_xlfn.XLOOKUP("PPI investment log1p ceiling",Params!$F:$F,Params!$G:$G),IF(_xlpm.cap=0,0,LN(1+MAX(0,MIN(G37,_xlpm.cap)))/LN(1+_xlpm.cap)*100)),"")</f>
        <v>86.960876058940997</v>
      </c>
      <c r="N37" s="11">
        <f>IF(ISNUMBER(H37),_xlfn.LET(_xlpm.cap,_xlfn.XLOOKUP("PPI project-count log1p ceiling",Params!$F:$F,Params!$G:$G),IF(_xlpm.cap=0,0,LN(1+MAX(0,MIN(H37,_xlpm.cap)))/LN(1+_xlpm.cap)*100)),"")</f>
        <v>43.347131641860834</v>
      </c>
      <c r="O37" s="12">
        <f t="shared" si="0"/>
        <v>78.799661897577067</v>
      </c>
      <c r="P37"/>
      <c r="Q37"/>
    </row>
    <row r="38" spans="1:17" s="2" customFormat="1" ht="20" customHeight="1">
      <c r="A38" s="35" t="str">
        <v>Türkiye</v>
      </c>
      <c r="B38" s="35" t="str">
        <v>TUR</v>
      </c>
      <c r="C38" s="61">
        <f>IF($B38="","",_xlfn.XLOOKUP($B38,[1]pillars_WIP!$B$7:$B$116,[1]pillars_WIP!$AC$7:$AC$116,"Missing",0))</f>
        <v>42.954665847803227</v>
      </c>
      <c r="D38" s="61">
        <f>IF($B38="","",_xlfn.XLOOKUP($B38,[1]pillars_WIP!$B$7:$B$116,[1]pillars_WIP!$AD$7:$AD$116,"Missing",0))</f>
        <v>58.506450730034153</v>
      </c>
      <c r="E38" s="61">
        <f>IF($B38="","",_xlfn.XLOOKUP($B38,[1]pillars_WIP!$B$7:$B$116,[1]pillars_WIP!$AE$7:$AE$116,"Missing",0))</f>
        <v>23.6</v>
      </c>
      <c r="F38" s="168">
        <f>IF($B38="","",_xlfn.XLOOKUP($B38,[1]pillars_WIP!$B$7:$B$116,[1]pillars_WIP!$AH$7:$AH$116,"Missing",0))</f>
        <v>35.094894232372305</v>
      </c>
      <c r="G38" s="58">
        <f>_xlfn.XLOOKUP($B38,[1]pillars_WIP!$B$7:$B$501,[1]pillars_WIP!$AF$7:$AF$501,"Missing",0)</f>
        <v>4173860000</v>
      </c>
      <c r="H38" s="58">
        <f>_xlfn.XLOOKUP($B38,[1]pillars_WIP!$B$7:$B$501,[1]pillars_WIP!$AG$7:$AG$501,"Missing",0)</f>
        <v>24</v>
      </c>
      <c r="I38" s="11">
        <f>IF(ISNUMBER(C38),_xlfn.LET(_xlpm.cap,_xlfn.XLOOKUP("Domestic credit full-score cap",Params!$F:$F,Params!$G:$G),MAX(0,MIN(C38,_xlpm.cap))/_xlpm.cap*100),"")</f>
        <v>21.477332923901614</v>
      </c>
      <c r="J38" s="11">
        <f>IF(ISNUMBER(D38),_xlfn.LET(_xlpm.x,ABS(D38),_xlpm.bandOne,_xlfn.XLOOKUP("Inflation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0</v>
      </c>
      <c r="K38" s="11">
        <f>IF(ISNUMBER(E38),_xlfn.LET(_xlpm.cap,_xlfn.XLOOKUP("Sovereign debt zero-score cap",Params!$F:$F,Params!$G:$G),100-MAX(0,MIN(E38,_xlpm.cap))/_xlpm.cap*100),"")</f>
        <v>84.266666666666666</v>
      </c>
      <c r="L38" s="11">
        <f>IF(ISNUMBER(F38),_xlfn.LET(_xlpm.cap,_xlfn.XLOOKUP("Exchange-rate instability P95",Params!$F:$F,Params!$G:$G),IF(_xlpm.cap=0,100,(1-MIN(MAX(F38,0),_xlpm.cap)/_xlpm.cap)*100)),"")</f>
        <v>0</v>
      </c>
      <c r="M38" s="11">
        <f>IF(ISNUMBER(G38),_xlfn.LET(_xlpm.cap,_xlfn.XLOOKUP("PPI investment log1p ceiling",Params!$F:$F,Params!$G:$G),IF(_xlpm.cap=0,0,LN(1+MAX(0,MIN(G38,_xlpm.cap)))/LN(1+_xlpm.cap)*100)),"")</f>
        <v>88.39743802834677</v>
      </c>
      <c r="N38" s="11">
        <f>IF(ISNUMBER(H38),_xlfn.LET(_xlpm.cap,_xlfn.XLOOKUP("PPI project-count log1p ceiling",Params!$F:$F,Params!$G:$G),IF(_xlpm.cap=0,0,LN(1+MAX(0,MIN(H38,_xlpm.cap)))/LN(1+_xlpm.cap)*100)),"")</f>
        <v>63.502400054400319</v>
      </c>
      <c r="O38" s="12">
        <f t="shared" si="0"/>
        <v>23.296533210503817</v>
      </c>
      <c r="P38"/>
      <c r="Q38"/>
    </row>
    <row r="39" spans="1:17" s="2" customFormat="1" ht="20" customHeight="1">
      <c r="A39" s="35" t="str">
        <v>United States</v>
      </c>
      <c r="B39" s="35" t="str">
        <v>USA</v>
      </c>
      <c r="C39" s="61">
        <f>IF($B39="","",_xlfn.XLOOKUP($B39,[1]pillars_WIP!$B$7:$B$116,[1]pillars_WIP!$AC$7:$AC$116,"Missing",0))</f>
        <v>201.21830587606436</v>
      </c>
      <c r="D39" s="61">
        <f>IF($B39="","",_xlfn.XLOOKUP($B39,[1]pillars_WIP!$B$7:$B$116,[1]pillars_WIP!$AD$7:$AD$116,"Missing",0))</f>
        <v>2.949525204852073</v>
      </c>
      <c r="E39" s="61">
        <f>IF($B39="","",_xlfn.XLOOKUP($B39,[1]pillars_WIP!$B$7:$B$116,[1]pillars_WIP!$AE$7:$AE$116,"Missing",0))</f>
        <v>122.27</v>
      </c>
      <c r="F39" s="168">
        <f>IF($B39="","",_xlfn.XLOOKUP($B39,[1]pillars_WIP!$B$7:$B$116,[1]pillars_WIP!$AH$7:$AH$116,"Missing",0))</f>
        <v>0</v>
      </c>
      <c r="G39" s="58">
        <f>_xlfn.XLOOKUP($B39,[1]pillars_WIP!$B$7:$B$501,[1]pillars_WIP!$AF$7:$AF$501,"Missing",0)</f>
        <v>0</v>
      </c>
      <c r="H39" s="58">
        <f>_xlfn.XLOOKUP($B39,[1]pillars_WIP!$B$7:$B$501,[1]pillars_WIP!$AG$7:$AG$501,"Missing",0)</f>
        <v>0</v>
      </c>
      <c r="I39" s="11">
        <f>IF(ISNUMBER(C39),_xlfn.LET(_xlpm.cap,_xlfn.XLOOKUP("Domestic credit full-score cap",Params!$F:$F,Params!$G:$G),MAX(0,MIN(C39,_xlpm.cap))/_xlpm.cap*100),"")</f>
        <v>100</v>
      </c>
      <c r="J39" s="11">
        <f>IF(ISNUMBER(D39),_xlfn.LET(_xlpm.x,ABS(D39),_xlpm.bandOne,_xlfn.XLOOKUP("Inflation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39" s="11">
        <f>IF(ISNUMBER(E39),_xlfn.LET(_xlpm.cap,_xlfn.XLOOKUP("Sovereign debt zero-score cap",Params!$F:$F,Params!$G:$G),100-MAX(0,MIN(E39,_xlpm.cap))/_xlpm.cap*100),"")</f>
        <v>18.486666666666679</v>
      </c>
      <c r="L39" s="11">
        <f>IF(ISNUMBER(F39),_xlfn.LET(_xlpm.cap,_xlfn.XLOOKUP("Exchange-rate instability P95",Params!$F:$F,Params!$G:$G),IF(_xlpm.cap=0,100,(1-MIN(MAX(F39,0),_xlpm.cap)/_xlpm.cap)*100)),"")</f>
        <v>100</v>
      </c>
      <c r="M39" s="11">
        <f>IF(ISNUMBER(G39),_xlfn.LET(_xlpm.cap,_xlfn.XLOOKUP("PPI investment log1p ceiling",Params!$F:$F,Params!$G:$G),IF(_xlpm.cap=0,0,LN(1+MAX(0,MIN(G39,_xlpm.cap)))/LN(1+_xlpm.cap)*100)),"")</f>
        <v>0</v>
      </c>
      <c r="N39" s="11">
        <f>IF(ISNUMBER(H39),_xlfn.LET(_xlpm.cap,_xlfn.XLOOKUP("PPI project-count log1p ceiling",Params!$F:$F,Params!$G:$G),IF(_xlpm.cap=0,0,LN(1+MAX(0,MIN(H39,_xlpm.cap)))/LN(1+_xlpm.cap)*100)),"")</f>
        <v>0</v>
      </c>
      <c r="O39" s="12">
        <f t="shared" si="0"/>
        <v>83.697333333333333</v>
      </c>
      <c r="P39"/>
      <c r="Q39"/>
    </row>
    <row r="40" spans="1:17" s="2" customFormat="1" ht="20" customHeight="1">
      <c r="A40" s="35" t="str">
        <v>Vietnam</v>
      </c>
      <c r="B40" s="35" t="str">
        <v>VNM</v>
      </c>
      <c r="C40" s="87">
        <v>82.979100724924407</v>
      </c>
      <c r="D40" s="61">
        <f>IF($B40="","",_xlfn.XLOOKUP($B40,[1]pillars_WIP!$B$7:$B$116,[1]pillars_WIP!$AD$7:$AD$116,"Missing",0))</f>
        <v>3.6210927388584349</v>
      </c>
      <c r="E40" s="61">
        <f>IF($B40="","",_xlfn.XLOOKUP($B40,[1]pillars_WIP!$B$7:$B$116,[1]pillars_WIP!$AE$7:$AE$116,"Missing",0))</f>
        <v>31.163</v>
      </c>
      <c r="F40" s="168">
        <f>IF($B40="","",_xlfn.XLOOKUP($B40,[1]pillars_WIP!$B$7:$B$116,[1]pillars_WIP!$AH$7:$AH$116,"Missing",0))</f>
        <v>1.0283126272157181</v>
      </c>
      <c r="G40" s="58">
        <f>_xlfn.XLOOKUP($B40,[1]pillars_WIP!$B$7:$B$501,[1]pillars_WIP!$AF$7:$AF$501,"Missing",0)</f>
        <v>10436970000</v>
      </c>
      <c r="H40" s="58">
        <f>_xlfn.XLOOKUP($B40,[1]pillars_WIP!$B$7:$B$501,[1]pillars_WIP!$AG$7:$AG$501,"Missing",0)</f>
        <v>35</v>
      </c>
      <c r="I40" s="11">
        <f>IF(ISNUMBER(C40),_xlfn.LET(_xlpm.cap,_xlfn.XLOOKUP("Domestic credit full-score cap",Params!$F:$F,Params!$G:$G),MAX(0,MIN(C40,_xlpm.cap))/_xlpm.cap*100),"")</f>
        <v>41.489550362462204</v>
      </c>
      <c r="J40" s="11">
        <f>IF(ISNUMBER(D40),_xlfn.LET(_xlpm.x,ABS(D40),_xlpm.bandOne,_xlfn.XLOOKUP("Inflation band 1 upper bound",Params!$F:$F,Params!$G:$G),_xlpm.bandTwo,_xlfn.XLOOKUP("Inflation band 2 upper bound",Params!$F:$F,Params!$G:$G),_xlpm.bandThree,_xlfn.XLOOKUP("Inflation band 3 upper bound",Params!$F:$F,Params!$G:$G),_xlpm.bandFour,_xlfn.XLOOKUP("Inflation band 4 upper bound",Params!$F:$F,Params!$G:$G),IF(_xlpm.x&lt;=_xlpm.bandOne,100,IF(_xlpm.x&lt;=_xlpm.bandTwo,75,IF(_xlpm.x&lt;=_xlpm.bandThree,50,IF(_xlpm.x&lt;=_xlpm.bandFour,25,0))))),"")</f>
        <v>100</v>
      </c>
      <c r="K40" s="11">
        <f>IF(ISNUMBER(E40),_xlfn.LET(_xlpm.cap,_xlfn.XLOOKUP("Sovereign debt zero-score cap",Params!$F:$F,Params!$G:$G),100-MAX(0,MIN(E40,_xlpm.cap))/_xlpm.cap*100),"")</f>
        <v>79.224666666666664</v>
      </c>
      <c r="L40" s="11">
        <f>IF(ISNUMBER(F40),_xlfn.LET(_xlpm.cap,_xlfn.XLOOKUP("Exchange-rate instability P95",Params!$F:$F,Params!$G:$G),IF(_xlpm.cap=0,100,(1-MIN(MAX(F40,0),_xlpm.cap)/_xlpm.cap)*100)),"")</f>
        <v>92.988537012131658</v>
      </c>
      <c r="M40" s="11">
        <f>IF(ISNUMBER(G40),_xlfn.LET(_xlpm.cap,_xlfn.XLOOKUP("PPI investment log1p ceiling",Params!$F:$F,Params!$G:$G),IF(_xlpm.cap=0,0,LN(1+MAX(0,MIN(G40,_xlpm.cap)))/LN(1+_xlpm.cap)*100)),"")</f>
        <v>92.05476076314774</v>
      </c>
      <c r="N40" s="11">
        <f>IF(ISNUMBER(H40),_xlfn.LET(_xlpm.cap,_xlfn.XLOOKUP("PPI project-count log1p ceiling",Params!$F:$F,Params!$G:$G),IF(_xlpm.cap=0,0,LN(1+MAX(0,MIN(H40,_xlpm.cap)))/LN(1+_xlpm.cap)*100)),"")</f>
        <v>70.696126726689613</v>
      </c>
      <c r="O40" s="12">
        <f t="shared" si="0"/>
        <v>76.538932695104904</v>
      </c>
      <c r="P40"/>
      <c r="Q40"/>
    </row>
    <row r="41" spans="1:17" s="69" customFormat="1" ht="20" customHeight="1">
      <c r="C41" s="169"/>
      <c r="D41" s="169"/>
      <c r="E41" s="169"/>
      <c r="F41" s="169"/>
      <c r="G41" s="169"/>
      <c r="H41" s="169"/>
      <c r="Q41" s="36"/>
    </row>
    <row r="42" spans="1:17" ht="20" customHeight="1">
      <c r="C42" s="30"/>
      <c r="D42" s="30"/>
      <c r="E42" s="30"/>
      <c r="F42" s="30"/>
      <c r="G42" s="58"/>
      <c r="H42" s="33"/>
    </row>
    <row r="43" spans="1:17" ht="20" customHeight="1">
      <c r="A43" s="78" t="s">
        <v>706</v>
      </c>
      <c r="B43" s="78"/>
      <c r="C43" s="30"/>
      <c r="D43" s="30"/>
      <c r="E43" s="30"/>
      <c r="F43" s="30"/>
      <c r="G43" s="30"/>
      <c r="H43" s="30"/>
    </row>
    <row r="44" spans="1:17" ht="20" customHeight="1">
      <c r="A44" s="77" t="s">
        <v>711</v>
      </c>
      <c r="B44" s="77"/>
      <c r="C44" s="30"/>
      <c r="D44" s="30"/>
      <c r="E44" s="30"/>
      <c r="F44" s="30"/>
      <c r="G44" s="30"/>
      <c r="H44" s="30"/>
    </row>
    <row r="45" spans="1:17" ht="20" customHeight="1">
      <c r="A45" s="10"/>
      <c r="B45" s="10"/>
      <c r="C45" s="30"/>
      <c r="D45" s="30"/>
      <c r="E45" s="30"/>
      <c r="F45" s="30"/>
      <c r="G45" s="30"/>
      <c r="H45" s="30"/>
    </row>
    <row r="46" spans="1:17" ht="20" customHeight="1">
      <c r="C46" s="30"/>
      <c r="D46" s="30"/>
      <c r="E46" s="30"/>
      <c r="F46" s="30"/>
      <c r="G46" s="30"/>
      <c r="H46" s="30"/>
    </row>
    <row r="47" spans="1:17" s="26" customFormat="1" ht="20" customHeight="1">
      <c r="A47" s="107" t="s">
        <v>745</v>
      </c>
      <c r="B47" s="106"/>
      <c r="C47" s="28"/>
      <c r="D47" s="28"/>
      <c r="E47" s="28"/>
      <c r="F47" s="28"/>
      <c r="G47" s="28"/>
      <c r="H47" s="28"/>
      <c r="Q47"/>
    </row>
    <row r="48" spans="1:17" s="26" customFormat="1" ht="20" customHeight="1">
      <c r="A48" s="35" t="s">
        <v>86</v>
      </c>
      <c r="B48" s="35" t="s">
        <v>87</v>
      </c>
      <c r="C48" s="87">
        <v>201.21830587606436</v>
      </c>
      <c r="D48" s="170"/>
      <c r="E48" s="170"/>
      <c r="F48" s="170"/>
      <c r="G48" s="71"/>
      <c r="H48" s="171"/>
      <c r="I48" s="108" t="s">
        <v>723</v>
      </c>
      <c r="J48" s="108"/>
      <c r="K48" s="108"/>
      <c r="L48" s="108"/>
      <c r="M48" s="108"/>
      <c r="N48" s="108"/>
      <c r="O48" s="108"/>
      <c r="Q48"/>
    </row>
    <row r="49" spans="1:17" s="26" customFormat="1" ht="20" customHeight="1">
      <c r="A49" s="35" t="s">
        <v>119</v>
      </c>
      <c r="B49" s="35" t="s">
        <v>120</v>
      </c>
      <c r="C49" s="87">
        <v>77.253484574492035</v>
      </c>
      <c r="D49" s="170"/>
      <c r="E49" s="170"/>
      <c r="F49" s="170"/>
      <c r="G49" s="71"/>
      <c r="H49" s="171"/>
      <c r="I49" s="108" t="s">
        <v>724</v>
      </c>
      <c r="J49" s="108"/>
      <c r="K49" s="108"/>
      <c r="L49" s="108"/>
      <c r="M49" s="108"/>
      <c r="N49" s="108"/>
      <c r="O49" s="108"/>
      <c r="Q49"/>
    </row>
    <row r="50" spans="1:17" s="26" customFormat="1" ht="20" customHeight="1">
      <c r="A50" s="35" t="s">
        <v>857</v>
      </c>
      <c r="B50" s="35" t="s">
        <v>227</v>
      </c>
      <c r="C50" s="87">
        <v>82.979100724924407</v>
      </c>
      <c r="D50" s="170"/>
      <c r="E50" s="170"/>
      <c r="F50" s="170"/>
      <c r="G50" s="71"/>
      <c r="H50" s="171"/>
      <c r="I50" s="108" t="s">
        <v>725</v>
      </c>
      <c r="J50" s="108"/>
      <c r="K50" s="108"/>
      <c r="L50" s="108"/>
      <c r="M50" s="108"/>
      <c r="N50" s="108"/>
      <c r="O50" s="108"/>
      <c r="Q50"/>
    </row>
    <row r="51" spans="1:17" s="26" customFormat="1" ht="20" hidden="1" customHeight="1">
      <c r="A51" s="35" t="s">
        <v>270</v>
      </c>
      <c r="B51" s="35" t="s">
        <v>271</v>
      </c>
      <c r="C51" s="87">
        <v>82.979100724924407</v>
      </c>
      <c r="D51" s="170"/>
      <c r="E51" s="170"/>
      <c r="F51" s="170"/>
      <c r="G51" s="71"/>
      <c r="H51" s="171"/>
      <c r="I51" s="108" t="s">
        <v>725</v>
      </c>
      <c r="J51" s="108"/>
      <c r="K51" s="108"/>
      <c r="L51" s="108"/>
      <c r="M51" s="108"/>
      <c r="N51" s="108"/>
      <c r="O51" s="108"/>
      <c r="Q51"/>
    </row>
    <row r="52" spans="1:17" s="26" customFormat="1" ht="20" hidden="1" customHeight="1">
      <c r="A52" s="35" t="s">
        <v>270</v>
      </c>
      <c r="B52" s="35" t="s">
        <v>271</v>
      </c>
      <c r="C52" s="87"/>
      <c r="D52" s="167">
        <v>26</v>
      </c>
      <c r="E52" s="170"/>
      <c r="F52" s="170"/>
      <c r="G52" s="71"/>
      <c r="H52" s="171"/>
      <c r="I52" s="108" t="s">
        <v>798</v>
      </c>
      <c r="J52" s="108"/>
      <c r="K52" s="108"/>
      <c r="L52" s="108"/>
      <c r="M52" s="108"/>
      <c r="N52" s="108"/>
      <c r="O52" s="108"/>
      <c r="Q52"/>
    </row>
    <row r="53" spans="1:17" s="26" customFormat="1" ht="20" hidden="1" customHeight="1">
      <c r="A53" s="35" t="s">
        <v>290</v>
      </c>
      <c r="B53" s="35" t="s">
        <v>291</v>
      </c>
      <c r="C53" s="87">
        <v>107.58266062477004</v>
      </c>
      <c r="D53" s="170"/>
      <c r="E53" s="170"/>
      <c r="F53" s="170"/>
      <c r="G53" s="71"/>
      <c r="H53" s="171"/>
      <c r="I53" s="108" t="s">
        <v>726</v>
      </c>
      <c r="J53" s="108"/>
      <c r="K53" s="108"/>
      <c r="L53" s="108"/>
      <c r="M53" s="108"/>
      <c r="N53" s="108"/>
      <c r="O53" s="108"/>
      <c r="Q53"/>
    </row>
    <row r="54" spans="1:17" s="26" customFormat="1" ht="20" hidden="1" customHeight="1">
      <c r="A54" s="35" t="s">
        <v>290</v>
      </c>
      <c r="B54" s="35" t="s">
        <v>291</v>
      </c>
      <c r="C54" s="87"/>
      <c r="D54" s="167">
        <v>1</v>
      </c>
      <c r="E54" s="170"/>
      <c r="F54" s="170"/>
      <c r="G54" s="71"/>
      <c r="H54" s="171"/>
      <c r="I54" s="108" t="s">
        <v>799</v>
      </c>
      <c r="J54" s="108"/>
      <c r="K54" s="108"/>
      <c r="L54" s="108"/>
      <c r="M54" s="108"/>
      <c r="N54" s="108"/>
      <c r="O54" s="108"/>
      <c r="Q54"/>
    </row>
    <row r="55" spans="1:17" s="26" customFormat="1" ht="20" hidden="1" customHeight="1">
      <c r="A55" s="35" t="s">
        <v>290</v>
      </c>
      <c r="B55" s="35" t="s">
        <v>291</v>
      </c>
      <c r="C55" s="87"/>
      <c r="D55" s="170"/>
      <c r="E55" s="167">
        <v>113.17100000000001</v>
      </c>
      <c r="F55" s="167"/>
      <c r="G55" s="71"/>
      <c r="H55" s="171"/>
      <c r="I55" s="108" t="s">
        <v>727</v>
      </c>
      <c r="J55" s="108"/>
      <c r="K55" s="108"/>
      <c r="L55" s="108"/>
      <c r="M55" s="108"/>
      <c r="N55" s="108"/>
      <c r="O55" s="108"/>
      <c r="Q55"/>
    </row>
    <row r="56" spans="1:17" s="26" customFormat="1" ht="20" hidden="1" customHeight="1">
      <c r="A56" s="35" t="s">
        <v>292</v>
      </c>
      <c r="B56" s="35" t="s">
        <v>293</v>
      </c>
      <c r="C56" s="87">
        <v>45.207810278670436</v>
      </c>
      <c r="D56" s="170"/>
      <c r="E56" s="170"/>
      <c r="F56" s="170"/>
      <c r="G56" s="71"/>
      <c r="H56" s="171"/>
      <c r="I56" s="108" t="s">
        <v>728</v>
      </c>
      <c r="J56" s="108"/>
      <c r="K56" s="108"/>
      <c r="L56" s="108"/>
      <c r="M56" s="108"/>
      <c r="N56" s="108"/>
      <c r="O56" s="108"/>
      <c r="Q56"/>
    </row>
    <row r="57" spans="1:17" s="26" customFormat="1" ht="20" hidden="1" customHeight="1">
      <c r="A57" s="35" t="s">
        <v>294</v>
      </c>
      <c r="B57" s="35" t="s">
        <v>295</v>
      </c>
      <c r="C57" s="87">
        <v>45.207810278670436</v>
      </c>
      <c r="D57" s="170"/>
      <c r="E57" s="170"/>
      <c r="F57" s="170"/>
      <c r="G57" s="71"/>
      <c r="H57" s="171"/>
      <c r="I57" s="108" t="s">
        <v>728</v>
      </c>
      <c r="J57" s="108"/>
      <c r="K57" s="108"/>
      <c r="L57" s="108"/>
      <c r="M57" s="108"/>
      <c r="N57" s="108"/>
      <c r="O57" s="108"/>
      <c r="Q57"/>
    </row>
    <row r="58" spans="1:17" s="26" customFormat="1" ht="20" customHeight="1">
      <c r="A58" s="35" t="s">
        <v>478</v>
      </c>
      <c r="B58" s="35" t="s">
        <v>328</v>
      </c>
      <c r="C58" s="87">
        <v>160.34718267823618</v>
      </c>
      <c r="D58" s="170"/>
      <c r="E58" s="170"/>
      <c r="F58" s="170"/>
      <c r="G58" s="71"/>
      <c r="H58" s="171"/>
      <c r="I58" s="108" t="s">
        <v>729</v>
      </c>
      <c r="J58" s="108"/>
      <c r="K58" s="108"/>
      <c r="L58" s="108"/>
      <c r="M58" s="108"/>
      <c r="N58" s="108"/>
      <c r="O58" s="108"/>
      <c r="Q58"/>
    </row>
    <row r="59" spans="1:17" s="26" customFormat="1" ht="20" customHeight="1">
      <c r="A59" s="35" t="s">
        <v>478</v>
      </c>
      <c r="B59" s="35" t="s">
        <v>328</v>
      </c>
      <c r="C59" s="170"/>
      <c r="D59" s="87">
        <v>5.55</v>
      </c>
      <c r="E59" s="170"/>
      <c r="F59" s="170"/>
      <c r="G59" s="71"/>
      <c r="H59" s="171"/>
      <c r="I59" s="108" t="s">
        <v>800</v>
      </c>
      <c r="J59" s="108"/>
      <c r="K59" s="108"/>
      <c r="L59" s="108"/>
      <c r="M59" s="108"/>
      <c r="N59" s="108"/>
      <c r="O59" s="108"/>
      <c r="Q59"/>
    </row>
    <row r="60" spans="1:17" s="26" customFormat="1" ht="20" customHeight="1">
      <c r="A60" s="35" t="s">
        <v>478</v>
      </c>
      <c r="B60" s="35" t="s">
        <v>328</v>
      </c>
      <c r="C60" s="170"/>
      <c r="D60" s="170"/>
      <c r="E60" s="87">
        <v>46.896000000000001</v>
      </c>
      <c r="F60" s="170"/>
      <c r="G60" s="71"/>
      <c r="H60" s="171"/>
      <c r="I60" s="108" t="s">
        <v>730</v>
      </c>
      <c r="J60" s="108"/>
      <c r="K60" s="108"/>
      <c r="L60" s="108"/>
      <c r="M60" s="108"/>
      <c r="N60" s="108"/>
      <c r="O60" s="108"/>
      <c r="Q60"/>
    </row>
    <row r="61" spans="1:17" s="26" customFormat="1" ht="20" customHeight="1">
      <c r="A61" s="35" t="s">
        <v>478</v>
      </c>
      <c r="B61" s="35" t="s">
        <v>328</v>
      </c>
      <c r="C61" s="170"/>
      <c r="D61" s="170"/>
      <c r="E61" s="170"/>
      <c r="F61" s="87">
        <v>30</v>
      </c>
      <c r="G61" s="71"/>
      <c r="H61" s="171"/>
      <c r="I61" s="108" t="s">
        <v>897</v>
      </c>
      <c r="J61" s="108"/>
      <c r="K61" s="108"/>
      <c r="L61" s="108"/>
      <c r="M61" s="108"/>
      <c r="N61" s="108"/>
      <c r="O61" s="108"/>
      <c r="Q61"/>
    </row>
    <row r="62" spans="1:17" s="26" customFormat="1" ht="20" hidden="1" customHeight="1">
      <c r="A62" s="35" t="s">
        <v>314</v>
      </c>
      <c r="B62" s="35" t="s">
        <v>315</v>
      </c>
      <c r="C62" s="87">
        <v>36.783486094618191</v>
      </c>
      <c r="D62" s="170"/>
      <c r="E62" s="170"/>
      <c r="F62" s="170"/>
      <c r="G62" s="71"/>
      <c r="H62" s="171"/>
      <c r="I62" s="108" t="s">
        <v>731</v>
      </c>
      <c r="J62" s="108"/>
      <c r="K62" s="108"/>
      <c r="L62" s="108"/>
      <c r="M62" s="108"/>
      <c r="N62" s="108"/>
      <c r="O62" s="108"/>
      <c r="Q62"/>
    </row>
    <row r="63" spans="1:17" s="26" customFormat="1" ht="20" customHeight="1">
      <c r="A63" s="35" t="s">
        <v>479</v>
      </c>
      <c r="B63" s="35" t="s">
        <v>343</v>
      </c>
      <c r="C63" s="87">
        <v>48.14737625113581</v>
      </c>
      <c r="D63" s="170"/>
      <c r="E63" s="170"/>
      <c r="F63" s="170"/>
      <c r="G63" s="71"/>
      <c r="H63" s="171"/>
      <c r="I63" s="108" t="s">
        <v>732</v>
      </c>
      <c r="J63" s="108"/>
      <c r="K63" s="108"/>
      <c r="L63" s="108"/>
      <c r="M63" s="108"/>
      <c r="N63" s="108"/>
      <c r="O63" s="108"/>
      <c r="Q63"/>
    </row>
    <row r="64" spans="1:17" s="26" customFormat="1" ht="20" hidden="1" customHeight="1">
      <c r="A64" s="35" t="s">
        <v>350</v>
      </c>
      <c r="B64" s="35" t="s">
        <v>351</v>
      </c>
      <c r="C64" s="87">
        <v>45.207810278670436</v>
      </c>
      <c r="D64" s="170"/>
      <c r="E64" s="170"/>
      <c r="F64" s="170"/>
      <c r="G64" s="71"/>
      <c r="H64" s="171"/>
      <c r="I64" s="108" t="s">
        <v>728</v>
      </c>
      <c r="J64" s="108"/>
      <c r="K64" s="108"/>
      <c r="L64" s="108"/>
      <c r="M64" s="108"/>
      <c r="N64" s="108"/>
      <c r="O64" s="108"/>
      <c r="Q64"/>
    </row>
    <row r="65" spans="1:17" s="26" customFormat="1" ht="20" customHeight="1">
      <c r="A65" s="35" t="s">
        <v>238</v>
      </c>
      <c r="B65" s="35" t="s">
        <v>239</v>
      </c>
      <c r="C65" s="87">
        <v>35.811171578796269</v>
      </c>
      <c r="D65" s="170"/>
      <c r="E65" s="170"/>
      <c r="F65" s="170"/>
      <c r="G65" s="71"/>
      <c r="H65" s="171"/>
      <c r="I65" s="108" t="s">
        <v>733</v>
      </c>
      <c r="J65" s="108"/>
      <c r="K65" s="108"/>
      <c r="L65" s="108"/>
      <c r="M65" s="108"/>
      <c r="N65" s="108"/>
      <c r="O65" s="108"/>
      <c r="Q65"/>
    </row>
    <row r="66" spans="1:17" s="26" customFormat="1" ht="20" customHeight="1">
      <c r="A66" s="35" t="s">
        <v>238</v>
      </c>
      <c r="B66" s="35" t="s">
        <v>239</v>
      </c>
      <c r="C66" s="170"/>
      <c r="D66" s="170"/>
      <c r="E66" s="170"/>
      <c r="F66" s="87">
        <v>13.725</v>
      </c>
      <c r="G66" s="71"/>
      <c r="H66" s="171"/>
      <c r="I66" s="108" t="s">
        <v>898</v>
      </c>
      <c r="J66" s="108"/>
      <c r="K66" s="108"/>
      <c r="L66" s="108"/>
      <c r="M66" s="108"/>
      <c r="N66" s="108"/>
      <c r="O66" s="108"/>
      <c r="Q66" s="2"/>
    </row>
    <row r="67" spans="1:17" s="26" customFormat="1" ht="20" customHeight="1">
      <c r="A67" s="35" t="s">
        <v>405</v>
      </c>
      <c r="B67" s="35" t="s">
        <v>406</v>
      </c>
      <c r="C67" s="87">
        <v>194.16599684481059</v>
      </c>
      <c r="D67" s="170"/>
      <c r="E67" s="170"/>
      <c r="F67" s="170"/>
      <c r="G67" s="71"/>
      <c r="H67" s="171"/>
      <c r="I67" s="108" t="s">
        <v>734</v>
      </c>
      <c r="J67" s="108"/>
      <c r="K67" s="108"/>
      <c r="L67" s="108"/>
      <c r="M67" s="108"/>
      <c r="N67" s="108"/>
      <c r="O67" s="108"/>
      <c r="Q67"/>
    </row>
    <row r="68" spans="1:17" s="26" customFormat="1" ht="20" customHeight="1">
      <c r="A68" s="35" t="s">
        <v>405</v>
      </c>
      <c r="B68" s="35" t="s">
        <v>406</v>
      </c>
      <c r="C68" s="170"/>
      <c r="D68" s="87">
        <v>2.0257322387472803</v>
      </c>
      <c r="E68" s="170"/>
      <c r="F68" s="170"/>
      <c r="G68" s="71"/>
      <c r="H68" s="171"/>
      <c r="I68" s="108" t="s">
        <v>735</v>
      </c>
      <c r="J68" s="108"/>
      <c r="K68" s="108"/>
      <c r="L68" s="108"/>
      <c r="M68" s="108"/>
      <c r="N68" s="108"/>
      <c r="O68" s="108"/>
      <c r="Q68"/>
    </row>
    <row r="69" spans="1:17" s="26" customFormat="1" ht="20" hidden="1" customHeight="1">
      <c r="A69" s="35" t="s">
        <v>405</v>
      </c>
      <c r="B69" s="35" t="s">
        <v>406</v>
      </c>
      <c r="C69" s="170"/>
      <c r="D69" s="170"/>
      <c r="E69" s="170"/>
      <c r="F69" s="170"/>
      <c r="G69" s="100">
        <v>0</v>
      </c>
      <c r="H69" s="171"/>
      <c r="I69" s="108" t="s">
        <v>736</v>
      </c>
      <c r="J69" s="108"/>
      <c r="K69" s="108"/>
      <c r="L69" s="108"/>
      <c r="M69" s="108"/>
      <c r="N69" s="108"/>
      <c r="O69" s="108"/>
      <c r="Q69"/>
    </row>
    <row r="70" spans="1:17" s="26" customFormat="1" ht="20" hidden="1" customHeight="1">
      <c r="A70" s="35" t="s">
        <v>389</v>
      </c>
      <c r="B70" s="35" t="s">
        <v>390</v>
      </c>
      <c r="C70" s="167">
        <v>12.222910692924202</v>
      </c>
      <c r="D70" s="170"/>
      <c r="E70" s="170"/>
      <c r="F70" s="170"/>
      <c r="G70" s="71"/>
      <c r="H70" s="171"/>
      <c r="I70" s="108" t="s">
        <v>724</v>
      </c>
      <c r="J70" s="108"/>
      <c r="K70" s="108"/>
      <c r="L70" s="108"/>
      <c r="M70" s="108"/>
      <c r="N70" s="108"/>
      <c r="O70" s="108"/>
      <c r="Q70"/>
    </row>
    <row r="71" spans="1:17" s="26" customFormat="1" ht="20" hidden="1" customHeight="1">
      <c r="A71" s="35" t="s">
        <v>389</v>
      </c>
      <c r="B71" s="35" t="s">
        <v>390</v>
      </c>
      <c r="C71" s="170"/>
      <c r="D71" s="167">
        <v>3.5</v>
      </c>
      <c r="E71" s="170"/>
      <c r="F71" s="170"/>
      <c r="G71" s="71"/>
      <c r="H71" s="171"/>
      <c r="I71" s="108" t="s">
        <v>801</v>
      </c>
      <c r="J71" s="108"/>
      <c r="K71" s="108"/>
      <c r="L71" s="108"/>
      <c r="M71" s="108"/>
      <c r="N71" s="108"/>
      <c r="O71" s="108"/>
      <c r="Q71"/>
    </row>
    <row r="72" spans="1:17" s="26" customFormat="1" ht="20" customHeight="1">
      <c r="A72" s="35" t="s">
        <v>405</v>
      </c>
      <c r="B72" s="35" t="s">
        <v>406</v>
      </c>
      <c r="C72" s="170"/>
      <c r="D72" s="170"/>
      <c r="E72" s="170"/>
      <c r="F72" s="87">
        <v>4.694</v>
      </c>
      <c r="G72" s="71"/>
      <c r="H72" s="171"/>
      <c r="I72" s="108" t="s">
        <v>899</v>
      </c>
      <c r="J72" s="108"/>
      <c r="K72" s="108"/>
      <c r="L72" s="108"/>
      <c r="M72" s="108"/>
      <c r="N72" s="108"/>
      <c r="O72" s="108"/>
      <c r="Q72"/>
    </row>
    <row r="73" spans="1:17" s="26" customFormat="1" ht="20" customHeight="1">
      <c r="A73" s="35" t="s">
        <v>482</v>
      </c>
      <c r="B73" s="35" t="s">
        <v>425</v>
      </c>
      <c r="C73" s="87">
        <v>82.979100724924407</v>
      </c>
      <c r="D73" s="170"/>
      <c r="E73" s="170"/>
      <c r="F73" s="170"/>
      <c r="G73" s="71"/>
      <c r="H73" s="171"/>
      <c r="I73" s="108" t="s">
        <v>725</v>
      </c>
      <c r="J73" s="108"/>
      <c r="K73" s="108"/>
      <c r="L73" s="108"/>
      <c r="M73" s="108"/>
      <c r="N73" s="108"/>
      <c r="O73" s="108"/>
      <c r="Q73"/>
    </row>
    <row r="74" spans="1:17" s="26" customFormat="1" ht="20" hidden="1" customHeight="1">
      <c r="A74" s="35" t="s">
        <v>438</v>
      </c>
      <c r="B74" s="35" t="s">
        <v>439</v>
      </c>
      <c r="C74" s="167">
        <v>6.477697264945327</v>
      </c>
      <c r="D74" s="170"/>
      <c r="E74" s="170"/>
      <c r="F74" s="170"/>
      <c r="G74" s="71"/>
      <c r="H74" s="171"/>
      <c r="I74" s="108" t="s">
        <v>724</v>
      </c>
      <c r="J74" s="108"/>
      <c r="K74" s="108"/>
      <c r="L74" s="108"/>
      <c r="M74" s="108"/>
      <c r="N74" s="108"/>
      <c r="O74" s="108"/>
      <c r="Q74"/>
    </row>
    <row r="75" spans="1:17" s="26" customFormat="1" ht="20" hidden="1" customHeight="1">
      <c r="A75" s="35" t="s">
        <v>438</v>
      </c>
      <c r="B75" s="35" t="s">
        <v>439</v>
      </c>
      <c r="C75" s="170"/>
      <c r="D75" s="167">
        <v>736.1</v>
      </c>
      <c r="E75" s="170"/>
      <c r="F75" s="170"/>
      <c r="G75" s="71"/>
      <c r="H75" s="171"/>
      <c r="I75" s="108" t="s">
        <v>802</v>
      </c>
      <c r="J75" s="108"/>
      <c r="K75" s="108"/>
      <c r="L75" s="108"/>
      <c r="M75" s="108"/>
      <c r="N75" s="108"/>
      <c r="O75" s="108"/>
      <c r="Q75"/>
    </row>
    <row r="76" spans="1:17" ht="20" customHeight="1">
      <c r="G76" s="101"/>
    </row>
    <row r="77" spans="1:17" ht="20" customHeight="1">
      <c r="G77" s="101"/>
    </row>
    <row r="78" spans="1:17" s="35" customFormat="1" ht="20" hidden="1" customHeight="1">
      <c r="A78" s="107" t="s">
        <v>925</v>
      </c>
      <c r="B78" s="106"/>
      <c r="C78" s="106"/>
      <c r="D78" s="106"/>
      <c r="E78" s="106"/>
      <c r="F78" s="106"/>
      <c r="G78" s="106"/>
    </row>
    <row r="79" spans="1:17" s="35" customFormat="1" ht="20" hidden="1" customHeight="1">
      <c r="A79" s="35" t="s">
        <v>2</v>
      </c>
      <c r="B79" s="35" t="s">
        <v>443</v>
      </c>
      <c r="C79" s="35" t="s">
        <v>457</v>
      </c>
      <c r="D79" s="35" t="s">
        <v>458</v>
      </c>
      <c r="E79" s="35" t="s">
        <v>459</v>
      </c>
      <c r="F79" s="35" t="s">
        <v>460</v>
      </c>
      <c r="G79" s="110" t="s">
        <v>805</v>
      </c>
    </row>
    <row r="80" spans="1:17" s="35" customFormat="1" ht="20" hidden="1" customHeight="1">
      <c r="A80" s="35" t="str">
        <f>A5</f>
        <v>Australia</v>
      </c>
      <c r="B80" s="35" t="str">
        <f>B5</f>
        <v>AUS</v>
      </c>
      <c r="C80" s="196" cm="1">
        <f t="array" ref="C80">--(SUMPRODUCT(($B$48:$B$75=$B80)*(LEN($C$48:$C$75)&gt;0))&gt;0)</f>
        <v>0</v>
      </c>
      <c r="D80" s="196" cm="1">
        <f t="array" ref="D80">--(SUMPRODUCT(($B$48:$B$75=$B80)*(LEN($D$48:$D$75)&gt;0))&gt;0)</f>
        <v>0</v>
      </c>
      <c r="E80" s="196" cm="1">
        <f t="array" ref="E80">--(SUMPRODUCT(($B$48:$B$75=$B80)*(LEN($E$48:$E$75)&gt;0))&gt;0)</f>
        <v>0</v>
      </c>
      <c r="F80" s="196" cm="1">
        <f t="array" ref="F80">--(SUMPRODUCT(($B$48:$B$75=$B80)*(LEN($F$48:$F$75)&gt;0))&gt;0)</f>
        <v>0</v>
      </c>
      <c r="G80" s="196">
        <f>SUM(C80:F80)</f>
        <v>0</v>
      </c>
    </row>
    <row r="81" spans="1:7" s="35" customFormat="1" ht="20" hidden="1" customHeight="1">
      <c r="A81" s="35" t="str">
        <f t="shared" ref="A81:B81" si="1">A6</f>
        <v>Bangladesh</v>
      </c>
      <c r="B81" s="35" t="str">
        <f t="shared" si="1"/>
        <v>BGD</v>
      </c>
      <c r="C81" s="196" cm="1">
        <f t="array" ref="C81">--(SUMPRODUCT(($B$48:$B$75=$B81)*(LEN($C$48:$C$75)&gt;0))&gt;0)</f>
        <v>0</v>
      </c>
      <c r="D81" s="196" cm="1">
        <f t="array" ref="D81">--(SUMPRODUCT(($B$48:$B$75=$B81)*(LEN($D$48:$D$75)&gt;0))&gt;0)</f>
        <v>0</v>
      </c>
      <c r="E81" s="196" cm="1">
        <f t="array" ref="E81">--(SUMPRODUCT(($B$48:$B$75=$B81)*(LEN($E$48:$E$75)&gt;0))&gt;0)</f>
        <v>0</v>
      </c>
      <c r="F81" s="196" cm="1">
        <f t="array" ref="F81">--(SUMPRODUCT(($B$48:$B$75=$B81)*(LEN($F$48:$F$75)&gt;0))&gt;0)</f>
        <v>0</v>
      </c>
      <c r="G81" s="196">
        <f t="shared" ref="G81:G115" si="2">SUM(C81:F81)</f>
        <v>0</v>
      </c>
    </row>
    <row r="82" spans="1:7" s="35" customFormat="1" ht="20" hidden="1" customHeight="1">
      <c r="A82" s="35" t="str">
        <f t="shared" ref="A82:B82" si="3">A7</f>
        <v>Bosnia and Herzegovina</v>
      </c>
      <c r="B82" s="35" t="str">
        <f t="shared" si="3"/>
        <v>BIH</v>
      </c>
      <c r="C82" s="196" cm="1">
        <f t="array" ref="C82">--(SUMPRODUCT(($B$48:$B$75=$B82)*(LEN($C$48:$C$75)&gt;0))&gt;0)</f>
        <v>0</v>
      </c>
      <c r="D82" s="196" cm="1">
        <f t="array" ref="D82">--(SUMPRODUCT(($B$48:$B$75=$B82)*(LEN($D$48:$D$75)&gt;0))&gt;0)</f>
        <v>0</v>
      </c>
      <c r="E82" s="196" cm="1">
        <f t="array" ref="E82">--(SUMPRODUCT(($B$48:$B$75=$B82)*(LEN($E$48:$E$75)&gt;0))&gt;0)</f>
        <v>0</v>
      </c>
      <c r="F82" s="196" cm="1">
        <f t="array" ref="F82">--(SUMPRODUCT(($B$48:$B$75=$B82)*(LEN($F$48:$F$75)&gt;0))&gt;0)</f>
        <v>0</v>
      </c>
      <c r="G82" s="196">
        <f t="shared" si="2"/>
        <v>0</v>
      </c>
    </row>
    <row r="83" spans="1:7" s="35" customFormat="1" ht="20" hidden="1" customHeight="1">
      <c r="A83" s="35" t="str">
        <f t="shared" ref="A83:B83" si="4">A8</f>
        <v>Brazil</v>
      </c>
      <c r="B83" s="35" t="str">
        <f t="shared" si="4"/>
        <v>BRA</v>
      </c>
      <c r="C83" s="196" cm="1">
        <f t="array" ref="C83">--(SUMPRODUCT(($B$48:$B$75=$B83)*(LEN($C$48:$C$75)&gt;0))&gt;0)</f>
        <v>0</v>
      </c>
      <c r="D83" s="196" cm="1">
        <f t="array" ref="D83">--(SUMPRODUCT(($B$48:$B$75=$B83)*(LEN($D$48:$D$75)&gt;0))&gt;0)</f>
        <v>0</v>
      </c>
      <c r="E83" s="196" cm="1">
        <f t="array" ref="E83">--(SUMPRODUCT(($B$48:$B$75=$B83)*(LEN($E$48:$E$75)&gt;0))&gt;0)</f>
        <v>0</v>
      </c>
      <c r="F83" s="196" cm="1">
        <f t="array" ref="F83">--(SUMPRODUCT(($B$48:$B$75=$B83)*(LEN($F$48:$F$75)&gt;0))&gt;0)</f>
        <v>0</v>
      </c>
      <c r="G83" s="196">
        <f t="shared" si="2"/>
        <v>0</v>
      </c>
    </row>
    <row r="84" spans="1:7" s="35" customFormat="1" ht="20" hidden="1" customHeight="1">
      <c r="A84" s="35" t="str">
        <f t="shared" ref="A84:B84" si="5">A9</f>
        <v>Bulgaria</v>
      </c>
      <c r="B84" s="35" t="str">
        <f t="shared" si="5"/>
        <v>BGR</v>
      </c>
      <c r="C84" s="196" cm="1">
        <f t="array" ref="C84">--(SUMPRODUCT(($B$48:$B$75=$B84)*(LEN($C$48:$C$75)&gt;0))&gt;0)</f>
        <v>0</v>
      </c>
      <c r="D84" s="196" cm="1">
        <f t="array" ref="D84">--(SUMPRODUCT(($B$48:$B$75=$B84)*(LEN($D$48:$D$75)&gt;0))&gt;0)</f>
        <v>0</v>
      </c>
      <c r="E84" s="196" cm="1">
        <f t="array" ref="E84">--(SUMPRODUCT(($B$48:$B$75=$B84)*(LEN($E$48:$E$75)&gt;0))&gt;0)</f>
        <v>0</v>
      </c>
      <c r="F84" s="196" cm="1">
        <f t="array" ref="F84">--(SUMPRODUCT(($B$48:$B$75=$B84)*(LEN($F$48:$F$75)&gt;0))&gt;0)</f>
        <v>0</v>
      </c>
      <c r="G84" s="196">
        <f t="shared" si="2"/>
        <v>0</v>
      </c>
    </row>
    <row r="85" spans="1:7" s="35" customFormat="1" ht="20" hidden="1" customHeight="1">
      <c r="A85" s="35" t="str">
        <f t="shared" ref="A85:B85" si="6">A10</f>
        <v>Cambodia</v>
      </c>
      <c r="B85" s="35" t="str">
        <f t="shared" si="6"/>
        <v>KHM</v>
      </c>
      <c r="C85" s="196" cm="1">
        <f t="array" ref="C85">--(SUMPRODUCT(($B$48:$B$75=$B85)*(LEN($C$48:$C$75)&gt;0))&gt;0)</f>
        <v>0</v>
      </c>
      <c r="D85" s="196" cm="1">
        <f t="array" ref="D85">--(SUMPRODUCT(($B$48:$B$75=$B85)*(LEN($D$48:$D$75)&gt;0))&gt;0)</f>
        <v>0</v>
      </c>
      <c r="E85" s="196" cm="1">
        <f t="array" ref="E85">--(SUMPRODUCT(($B$48:$B$75=$B85)*(LEN($E$48:$E$75)&gt;0))&gt;0)</f>
        <v>0</v>
      </c>
      <c r="F85" s="196" cm="1">
        <f t="array" ref="F85">--(SUMPRODUCT(($B$48:$B$75=$B85)*(LEN($F$48:$F$75)&gt;0))&gt;0)</f>
        <v>0</v>
      </c>
      <c r="G85" s="196">
        <f t="shared" si="2"/>
        <v>0</v>
      </c>
    </row>
    <row r="86" spans="1:7" s="35" customFormat="1" ht="20" hidden="1" customHeight="1">
      <c r="A86" s="35" t="str">
        <f t="shared" ref="A86:B86" si="7">A11</f>
        <v>Canada</v>
      </c>
      <c r="B86" s="35" t="str">
        <f t="shared" si="7"/>
        <v>CAN</v>
      </c>
      <c r="C86" s="196" cm="1">
        <f t="array" ref="C86">--(SUMPRODUCT(($B$48:$B$75=$B86)*(LEN($C$48:$C$75)&gt;0))&gt;0)</f>
        <v>1</v>
      </c>
      <c r="D86" s="196" cm="1">
        <f t="array" ref="D86">--(SUMPRODUCT(($B$48:$B$75=$B86)*(LEN($D$48:$D$75)&gt;0))&gt;0)</f>
        <v>0</v>
      </c>
      <c r="E86" s="196" cm="1">
        <f t="array" ref="E86">--(SUMPRODUCT(($B$48:$B$75=$B86)*(LEN($E$48:$E$75)&gt;0))&gt;0)</f>
        <v>0</v>
      </c>
      <c r="F86" s="196" cm="1">
        <f t="array" ref="F86">--(SUMPRODUCT(($B$48:$B$75=$B86)*(LEN($F$48:$F$75)&gt;0))&gt;0)</f>
        <v>0</v>
      </c>
      <c r="G86" s="196">
        <f t="shared" si="2"/>
        <v>1</v>
      </c>
    </row>
    <row r="87" spans="1:7" s="35" customFormat="1" ht="20" hidden="1" customHeight="1">
      <c r="A87" s="35" t="str">
        <f t="shared" ref="A87:B87" si="8">A12</f>
        <v>Chile</v>
      </c>
      <c r="B87" s="35" t="str">
        <f t="shared" si="8"/>
        <v>CHL</v>
      </c>
      <c r="C87" s="196" cm="1">
        <f t="array" ref="C87">--(SUMPRODUCT(($B$48:$B$75=$B87)*(LEN($C$48:$C$75)&gt;0))&gt;0)</f>
        <v>0</v>
      </c>
      <c r="D87" s="196" cm="1">
        <f t="array" ref="D87">--(SUMPRODUCT(($B$48:$B$75=$B87)*(LEN($D$48:$D$75)&gt;0))&gt;0)</f>
        <v>0</v>
      </c>
      <c r="E87" s="196" cm="1">
        <f t="array" ref="E87">--(SUMPRODUCT(($B$48:$B$75=$B87)*(LEN($E$48:$E$75)&gt;0))&gt;0)</f>
        <v>0</v>
      </c>
      <c r="F87" s="196" cm="1">
        <f t="array" ref="F87">--(SUMPRODUCT(($B$48:$B$75=$B87)*(LEN($F$48:$F$75)&gt;0))&gt;0)</f>
        <v>0</v>
      </c>
      <c r="G87" s="196">
        <f t="shared" si="2"/>
        <v>0</v>
      </c>
    </row>
    <row r="88" spans="1:7" s="35" customFormat="1" ht="20" hidden="1" customHeight="1">
      <c r="A88" s="35" t="str">
        <f t="shared" ref="A88:B88" si="9">A13</f>
        <v>China</v>
      </c>
      <c r="B88" s="35" t="str">
        <f t="shared" si="9"/>
        <v>CHN</v>
      </c>
      <c r="C88" s="196" cm="1">
        <f t="array" ref="C88">--(SUMPRODUCT(($B$48:$B$75=$B88)*(LEN($C$48:$C$75)&gt;0))&gt;0)</f>
        <v>0</v>
      </c>
      <c r="D88" s="196" cm="1">
        <f t="array" ref="D88">--(SUMPRODUCT(($B$48:$B$75=$B88)*(LEN($D$48:$D$75)&gt;0))&gt;0)</f>
        <v>0</v>
      </c>
      <c r="E88" s="196" cm="1">
        <f t="array" ref="E88">--(SUMPRODUCT(($B$48:$B$75=$B88)*(LEN($E$48:$E$75)&gt;0))&gt;0)</f>
        <v>0</v>
      </c>
      <c r="F88" s="196" cm="1">
        <f t="array" ref="F88">--(SUMPRODUCT(($B$48:$B$75=$B88)*(LEN($F$48:$F$75)&gt;0))&gt;0)</f>
        <v>0</v>
      </c>
      <c r="G88" s="196">
        <f t="shared" si="2"/>
        <v>0</v>
      </c>
    </row>
    <row r="89" spans="1:7" s="35" customFormat="1" ht="20" hidden="1" customHeight="1">
      <c r="A89" s="35" t="str">
        <f t="shared" ref="A89:B89" si="10">A14</f>
        <v>Czech Republic</v>
      </c>
      <c r="B89" s="35" t="str">
        <f t="shared" si="10"/>
        <v>CZE</v>
      </c>
      <c r="C89" s="196" cm="1">
        <f t="array" ref="C89">--(SUMPRODUCT(($B$48:$B$75=$B89)*(LEN($C$48:$C$75)&gt;0))&gt;0)</f>
        <v>0</v>
      </c>
      <c r="D89" s="196" cm="1">
        <f t="array" ref="D89">--(SUMPRODUCT(($B$48:$B$75=$B89)*(LEN($D$48:$D$75)&gt;0))&gt;0)</f>
        <v>0</v>
      </c>
      <c r="E89" s="196" cm="1">
        <f t="array" ref="E89">--(SUMPRODUCT(($B$48:$B$75=$B89)*(LEN($E$48:$E$75)&gt;0))&gt;0)</f>
        <v>0</v>
      </c>
      <c r="F89" s="196" cm="1">
        <f t="array" ref="F89">--(SUMPRODUCT(($B$48:$B$75=$B89)*(LEN($F$48:$F$75)&gt;0))&gt;0)</f>
        <v>0</v>
      </c>
      <c r="G89" s="196">
        <f t="shared" si="2"/>
        <v>0</v>
      </c>
    </row>
    <row r="90" spans="1:7" s="35" customFormat="1" ht="20" hidden="1" customHeight="1">
      <c r="A90" s="35" t="str">
        <f t="shared" ref="A90:B90" si="11">A15</f>
        <v>Dominican Republic</v>
      </c>
      <c r="B90" s="35" t="str">
        <f t="shared" si="11"/>
        <v>DOM</v>
      </c>
      <c r="C90" s="196" cm="1">
        <f t="array" ref="C90">--(SUMPRODUCT(($B$48:$B$75=$B90)*(LEN($C$48:$C$75)&gt;0))&gt;0)</f>
        <v>0</v>
      </c>
      <c r="D90" s="196" cm="1">
        <f t="array" ref="D90">--(SUMPRODUCT(($B$48:$B$75=$B90)*(LEN($D$48:$D$75)&gt;0))&gt;0)</f>
        <v>0</v>
      </c>
      <c r="E90" s="196" cm="1">
        <f t="array" ref="E90">--(SUMPRODUCT(($B$48:$B$75=$B90)*(LEN($E$48:$E$75)&gt;0))&gt;0)</f>
        <v>0</v>
      </c>
      <c r="F90" s="196" cm="1">
        <f t="array" ref="F90">--(SUMPRODUCT(($B$48:$B$75=$B90)*(LEN($F$48:$F$75)&gt;0))&gt;0)</f>
        <v>0</v>
      </c>
      <c r="G90" s="196">
        <f t="shared" si="2"/>
        <v>0</v>
      </c>
    </row>
    <row r="91" spans="1:7" s="35" customFormat="1" ht="20" hidden="1" customHeight="1">
      <c r="A91" s="35" t="str">
        <f t="shared" ref="A91:B91" si="12">A16</f>
        <v>Germany</v>
      </c>
      <c r="B91" s="35" t="str">
        <f t="shared" si="12"/>
        <v>DEU</v>
      </c>
      <c r="C91" s="196" cm="1">
        <f t="array" ref="C91">--(SUMPRODUCT(($B$48:$B$75=$B91)*(LEN($C$48:$C$75)&gt;0))&gt;0)</f>
        <v>1</v>
      </c>
      <c r="D91" s="196" cm="1">
        <f t="array" ref="D91">--(SUMPRODUCT(($B$48:$B$75=$B91)*(LEN($D$48:$D$75)&gt;0))&gt;0)</f>
        <v>0</v>
      </c>
      <c r="E91" s="196" cm="1">
        <f t="array" ref="E91">--(SUMPRODUCT(($B$48:$B$75=$B91)*(LEN($E$48:$E$75)&gt;0))&gt;0)</f>
        <v>0</v>
      </c>
      <c r="F91" s="196" cm="1">
        <f t="array" ref="F91">--(SUMPRODUCT(($B$48:$B$75=$B91)*(LEN($F$48:$F$75)&gt;0))&gt;0)</f>
        <v>0</v>
      </c>
      <c r="G91" s="196">
        <f t="shared" si="2"/>
        <v>1</v>
      </c>
    </row>
    <row r="92" spans="1:7" s="35" customFormat="1" ht="20" hidden="1" customHeight="1">
      <c r="A92" s="35" t="str">
        <f t="shared" ref="A92:B92" si="13">A17</f>
        <v>Hong Kong</v>
      </c>
      <c r="B92" s="35" t="str">
        <f t="shared" si="13"/>
        <v>HKG</v>
      </c>
      <c r="C92" s="196" cm="1">
        <f t="array" ref="C92">--(SUMPRODUCT(($B$48:$B$75=$B92)*(LEN($C$48:$C$75)&gt;0))&gt;0)</f>
        <v>0</v>
      </c>
      <c r="D92" s="196" cm="1">
        <f t="array" ref="D92">--(SUMPRODUCT(($B$48:$B$75=$B92)*(LEN($D$48:$D$75)&gt;0))&gt;0)</f>
        <v>0</v>
      </c>
      <c r="E92" s="196" cm="1">
        <f t="array" ref="E92">--(SUMPRODUCT(($B$48:$B$75=$B92)*(LEN($E$48:$E$75)&gt;0))&gt;0)</f>
        <v>0</v>
      </c>
      <c r="F92" s="196" cm="1">
        <f t="array" ref="F92">--(SUMPRODUCT(($B$48:$B$75=$B92)*(LEN($F$48:$F$75)&gt;0))&gt;0)</f>
        <v>0</v>
      </c>
      <c r="G92" s="196">
        <f t="shared" si="2"/>
        <v>0</v>
      </c>
    </row>
    <row r="93" spans="1:7" s="35" customFormat="1" ht="20" hidden="1" customHeight="1">
      <c r="A93" s="35" t="str">
        <f t="shared" ref="A93:B93" si="14">A18</f>
        <v>India</v>
      </c>
      <c r="B93" s="35" t="str">
        <f t="shared" si="14"/>
        <v>IND</v>
      </c>
      <c r="C93" s="196" cm="1">
        <f t="array" ref="C93">--(SUMPRODUCT(($B$48:$B$75=$B93)*(LEN($C$48:$C$75)&gt;0))&gt;0)</f>
        <v>0</v>
      </c>
      <c r="D93" s="196" cm="1">
        <f t="array" ref="D93">--(SUMPRODUCT(($B$48:$B$75=$B93)*(LEN($D$48:$D$75)&gt;0))&gt;0)</f>
        <v>0</v>
      </c>
      <c r="E93" s="196" cm="1">
        <f t="array" ref="E93">--(SUMPRODUCT(($B$48:$B$75=$B93)*(LEN($E$48:$E$75)&gt;0))&gt;0)</f>
        <v>0</v>
      </c>
      <c r="F93" s="196" cm="1">
        <f t="array" ref="F93">--(SUMPRODUCT(($B$48:$B$75=$B93)*(LEN($F$48:$F$75)&gt;0))&gt;0)</f>
        <v>0</v>
      </c>
      <c r="G93" s="196">
        <f t="shared" si="2"/>
        <v>0</v>
      </c>
    </row>
    <row r="94" spans="1:7" s="35" customFormat="1" ht="20" hidden="1" customHeight="1">
      <c r="A94" s="35" t="str">
        <f t="shared" ref="A94:B94" si="15">A19</f>
        <v>Indonesia</v>
      </c>
      <c r="B94" s="35" t="str">
        <f t="shared" si="15"/>
        <v>IDN</v>
      </c>
      <c r="C94" s="196" cm="1">
        <f t="array" ref="C94">--(SUMPRODUCT(($B$48:$B$75=$B94)*(LEN($C$48:$C$75)&gt;0))&gt;0)</f>
        <v>0</v>
      </c>
      <c r="D94" s="196" cm="1">
        <f t="array" ref="D94">--(SUMPRODUCT(($B$48:$B$75=$B94)*(LEN($D$48:$D$75)&gt;0))&gt;0)</f>
        <v>0</v>
      </c>
      <c r="E94" s="196" cm="1">
        <f t="array" ref="E94">--(SUMPRODUCT(($B$48:$B$75=$B94)*(LEN($E$48:$E$75)&gt;0))&gt;0)</f>
        <v>0</v>
      </c>
      <c r="F94" s="196" cm="1">
        <f t="array" ref="F94">--(SUMPRODUCT(($B$48:$B$75=$B94)*(LEN($F$48:$F$75)&gt;0))&gt;0)</f>
        <v>0</v>
      </c>
      <c r="G94" s="196">
        <f t="shared" si="2"/>
        <v>0</v>
      </c>
    </row>
    <row r="95" spans="1:7" s="35" customFormat="1" ht="20" hidden="1" customHeight="1">
      <c r="A95" s="35" t="str">
        <f t="shared" ref="A95:B95" si="16">A20</f>
        <v>Japan</v>
      </c>
      <c r="B95" s="35" t="str">
        <f t="shared" si="16"/>
        <v>JPN</v>
      </c>
      <c r="C95" s="196" cm="1">
        <f t="array" ref="C95">--(SUMPRODUCT(($B$48:$B$75=$B95)*(LEN($C$48:$C$75)&gt;0))&gt;0)</f>
        <v>0</v>
      </c>
      <c r="D95" s="196" cm="1">
        <f t="array" ref="D95">--(SUMPRODUCT(($B$48:$B$75=$B95)*(LEN($D$48:$D$75)&gt;0))&gt;0)</f>
        <v>0</v>
      </c>
      <c r="E95" s="196" cm="1">
        <f t="array" ref="E95">--(SUMPRODUCT(($B$48:$B$75=$B95)*(LEN($E$48:$E$75)&gt;0))&gt;0)</f>
        <v>0</v>
      </c>
      <c r="F95" s="196" cm="1">
        <f t="array" ref="F95">--(SUMPRODUCT(($B$48:$B$75=$B95)*(LEN($F$48:$F$75)&gt;0))&gt;0)</f>
        <v>0</v>
      </c>
      <c r="G95" s="196">
        <f t="shared" si="2"/>
        <v>0</v>
      </c>
    </row>
    <row r="96" spans="1:7" s="35" customFormat="1" ht="20" hidden="1" customHeight="1">
      <c r="A96" s="35" t="str">
        <f t="shared" ref="A96:B96" si="17">A21</f>
        <v>Kazakhstan</v>
      </c>
      <c r="B96" s="35" t="str">
        <f t="shared" si="17"/>
        <v>KAZ</v>
      </c>
      <c r="C96" s="196" cm="1">
        <f t="array" ref="C96">--(SUMPRODUCT(($B$48:$B$75=$B96)*(LEN($C$48:$C$75)&gt;0))&gt;0)</f>
        <v>0</v>
      </c>
      <c r="D96" s="196" cm="1">
        <f t="array" ref="D96">--(SUMPRODUCT(($B$48:$B$75=$B96)*(LEN($D$48:$D$75)&gt;0))&gt;0)</f>
        <v>0</v>
      </c>
      <c r="E96" s="196" cm="1">
        <f t="array" ref="E96">--(SUMPRODUCT(($B$48:$B$75=$B96)*(LEN($E$48:$E$75)&gt;0))&gt;0)</f>
        <v>0</v>
      </c>
      <c r="F96" s="196" cm="1">
        <f t="array" ref="F96">--(SUMPRODUCT(($B$48:$B$75=$B96)*(LEN($F$48:$F$75)&gt;0))&gt;0)</f>
        <v>0</v>
      </c>
      <c r="G96" s="196">
        <f t="shared" si="2"/>
        <v>0</v>
      </c>
    </row>
    <row r="97" spans="1:7" s="35" customFormat="1" ht="20" hidden="1" customHeight="1">
      <c r="A97" s="35" t="str">
        <f t="shared" ref="A97:B97" si="18">A22</f>
        <v>Laos</v>
      </c>
      <c r="B97" s="35" t="str">
        <f t="shared" si="18"/>
        <v>LAO</v>
      </c>
      <c r="C97" s="196" cm="1">
        <f t="array" ref="C97">--(SUMPRODUCT(($B$48:$B$75=$B97)*(LEN($C$48:$C$75)&gt;0))&gt;0)</f>
        <v>1</v>
      </c>
      <c r="D97" s="196" cm="1">
        <f t="array" ref="D97">--(SUMPRODUCT(($B$48:$B$75=$B97)*(LEN($D$48:$D$75)&gt;0))&gt;0)</f>
        <v>0</v>
      </c>
      <c r="E97" s="196" cm="1">
        <f t="array" ref="E97">--(SUMPRODUCT(($B$48:$B$75=$B97)*(LEN($E$48:$E$75)&gt;0))&gt;0)</f>
        <v>0</v>
      </c>
      <c r="F97" s="196" cm="1">
        <f t="array" ref="F97">--(SUMPRODUCT(($B$48:$B$75=$B97)*(LEN($F$48:$F$75)&gt;0))&gt;0)</f>
        <v>0</v>
      </c>
      <c r="G97" s="196">
        <f t="shared" si="2"/>
        <v>1</v>
      </c>
    </row>
    <row r="98" spans="1:7" s="35" customFormat="1" ht="20" hidden="1" customHeight="1">
      <c r="A98" s="35" t="str">
        <f t="shared" ref="A98:B98" si="19">A23</f>
        <v>Malaysia</v>
      </c>
      <c r="B98" s="35" t="str">
        <f t="shared" si="19"/>
        <v>MYS</v>
      </c>
      <c r="C98" s="196" cm="1">
        <f t="array" ref="C98">--(SUMPRODUCT(($B$48:$B$75=$B98)*(LEN($C$48:$C$75)&gt;0))&gt;0)</f>
        <v>0</v>
      </c>
      <c r="D98" s="196" cm="1">
        <f t="array" ref="D98">--(SUMPRODUCT(($B$48:$B$75=$B98)*(LEN($D$48:$D$75)&gt;0))&gt;0)</f>
        <v>0</v>
      </c>
      <c r="E98" s="196" cm="1">
        <f t="array" ref="E98">--(SUMPRODUCT(($B$48:$B$75=$B98)*(LEN($E$48:$E$75)&gt;0))&gt;0)</f>
        <v>0</v>
      </c>
      <c r="F98" s="196" cm="1">
        <f t="array" ref="F98">--(SUMPRODUCT(($B$48:$B$75=$B98)*(LEN($F$48:$F$75)&gt;0))&gt;0)</f>
        <v>0</v>
      </c>
      <c r="G98" s="196">
        <f t="shared" si="2"/>
        <v>0</v>
      </c>
    </row>
    <row r="99" spans="1:7" s="35" customFormat="1" ht="20" hidden="1" customHeight="1">
      <c r="A99" s="35" t="str">
        <f t="shared" ref="A99:B99" si="20">A24</f>
        <v>Mexico</v>
      </c>
      <c r="B99" s="35" t="str">
        <f t="shared" si="20"/>
        <v>MEX</v>
      </c>
      <c r="C99" s="196" cm="1">
        <f t="array" ref="C99">--(SUMPRODUCT(($B$48:$B$75=$B99)*(LEN($C$48:$C$75)&gt;0))&gt;0)</f>
        <v>0</v>
      </c>
      <c r="D99" s="196" cm="1">
        <f t="array" ref="D99">--(SUMPRODUCT(($B$48:$B$75=$B99)*(LEN($D$48:$D$75)&gt;0))&gt;0)</f>
        <v>0</v>
      </c>
      <c r="E99" s="196" cm="1">
        <f t="array" ref="E99">--(SUMPRODUCT(($B$48:$B$75=$B99)*(LEN($E$48:$E$75)&gt;0))&gt;0)</f>
        <v>0</v>
      </c>
      <c r="F99" s="196" cm="1">
        <f t="array" ref="F99">--(SUMPRODUCT(($B$48:$B$75=$B99)*(LEN($F$48:$F$75)&gt;0))&gt;0)</f>
        <v>0</v>
      </c>
      <c r="G99" s="196">
        <f t="shared" si="2"/>
        <v>0</v>
      </c>
    </row>
    <row r="100" spans="1:7" s="35" customFormat="1" ht="20" hidden="1" customHeight="1">
      <c r="A100" s="35" t="str">
        <f t="shared" ref="A100:B100" si="21">A25</f>
        <v>Mongolia</v>
      </c>
      <c r="B100" s="35" t="str">
        <f t="shared" si="21"/>
        <v>MNG</v>
      </c>
      <c r="C100" s="196" cm="1">
        <f t="array" ref="C100">--(SUMPRODUCT(($B$48:$B$75=$B100)*(LEN($C$48:$C$75)&gt;0))&gt;0)</f>
        <v>0</v>
      </c>
      <c r="D100" s="196" cm="1">
        <f t="array" ref="D100">--(SUMPRODUCT(($B$48:$B$75=$B100)*(LEN($D$48:$D$75)&gt;0))&gt;0)</f>
        <v>0</v>
      </c>
      <c r="E100" s="196" cm="1">
        <f t="array" ref="E100">--(SUMPRODUCT(($B$48:$B$75=$B100)*(LEN($E$48:$E$75)&gt;0))&gt;0)</f>
        <v>0</v>
      </c>
      <c r="F100" s="196" cm="1">
        <f t="array" ref="F100">--(SUMPRODUCT(($B$48:$B$75=$B100)*(LEN($F$48:$F$75)&gt;0))&gt;0)</f>
        <v>0</v>
      </c>
      <c r="G100" s="196">
        <f t="shared" si="2"/>
        <v>0</v>
      </c>
    </row>
    <row r="101" spans="1:7" s="35" customFormat="1" ht="20" hidden="1" customHeight="1">
      <c r="A101" s="35" t="str">
        <f t="shared" ref="A101:B101" si="22">A26</f>
        <v>Morocco</v>
      </c>
      <c r="B101" s="35" t="str">
        <f t="shared" si="22"/>
        <v>MAR</v>
      </c>
      <c r="C101" s="196" cm="1">
        <f t="array" ref="C101">--(SUMPRODUCT(($B$48:$B$75=$B101)*(LEN($C$48:$C$75)&gt;0))&gt;0)</f>
        <v>0</v>
      </c>
      <c r="D101" s="196" cm="1">
        <f t="array" ref="D101">--(SUMPRODUCT(($B$48:$B$75=$B101)*(LEN($D$48:$D$75)&gt;0))&gt;0)</f>
        <v>0</v>
      </c>
      <c r="E101" s="196" cm="1">
        <f t="array" ref="E101">--(SUMPRODUCT(($B$48:$B$75=$B101)*(LEN($E$48:$E$75)&gt;0))&gt;0)</f>
        <v>0</v>
      </c>
      <c r="F101" s="196" cm="1">
        <f t="array" ref="F101">--(SUMPRODUCT(($B$48:$B$75=$B101)*(LEN($F$48:$F$75)&gt;0))&gt;0)</f>
        <v>0</v>
      </c>
      <c r="G101" s="196">
        <f t="shared" si="2"/>
        <v>0</v>
      </c>
    </row>
    <row r="102" spans="1:7" s="35" customFormat="1" ht="20" hidden="1" customHeight="1">
      <c r="A102" s="35" t="str">
        <f t="shared" ref="A102:B102" si="23">A27</f>
        <v>North Korea</v>
      </c>
      <c r="B102" s="35" t="str">
        <f t="shared" si="23"/>
        <v>PRK</v>
      </c>
      <c r="C102" s="196" cm="1">
        <f t="array" ref="C102">--(SUMPRODUCT(($B$48:$B$75=$B102)*(LEN($C$48:$C$75)&gt;0))&gt;0)</f>
        <v>1</v>
      </c>
      <c r="D102" s="196" cm="1">
        <f t="array" ref="D102">--(SUMPRODUCT(($B$48:$B$75=$B102)*(LEN($D$48:$D$75)&gt;0))&gt;0)</f>
        <v>1</v>
      </c>
      <c r="E102" s="196" cm="1">
        <f t="array" ref="E102">--(SUMPRODUCT(($B$48:$B$75=$B102)*(LEN($E$48:$E$75)&gt;0))&gt;0)</f>
        <v>1</v>
      </c>
      <c r="F102" s="196" cm="1">
        <f t="array" ref="F102">--(SUMPRODUCT(($B$48:$B$75=$B102)*(LEN($F$48:$F$75)&gt;0))&gt;0)</f>
        <v>1</v>
      </c>
      <c r="G102" s="196">
        <f t="shared" si="2"/>
        <v>4</v>
      </c>
    </row>
    <row r="103" spans="1:7" s="35" customFormat="1" ht="20" hidden="1" customHeight="1">
      <c r="A103" s="35" t="str">
        <f t="shared" ref="A103:B103" si="24">A28</f>
        <v>Pakistan</v>
      </c>
      <c r="B103" s="35" t="str">
        <f t="shared" si="24"/>
        <v>PAK</v>
      </c>
      <c r="C103" s="196" cm="1">
        <f t="array" ref="C103">--(SUMPRODUCT(($B$48:$B$75=$B103)*(LEN($C$48:$C$75)&gt;0))&gt;0)</f>
        <v>0</v>
      </c>
      <c r="D103" s="196" cm="1">
        <f t="array" ref="D103">--(SUMPRODUCT(($B$48:$B$75=$B103)*(LEN($D$48:$D$75)&gt;0))&gt;0)</f>
        <v>0</v>
      </c>
      <c r="E103" s="196" cm="1">
        <f t="array" ref="E103">--(SUMPRODUCT(($B$48:$B$75=$B103)*(LEN($E$48:$E$75)&gt;0))&gt;0)</f>
        <v>0</v>
      </c>
      <c r="F103" s="196" cm="1">
        <f t="array" ref="F103">--(SUMPRODUCT(($B$48:$B$75=$B103)*(LEN($F$48:$F$75)&gt;0))&gt;0)</f>
        <v>0</v>
      </c>
      <c r="G103" s="196">
        <f t="shared" si="2"/>
        <v>0</v>
      </c>
    </row>
    <row r="104" spans="1:7" s="35" customFormat="1" ht="20" hidden="1" customHeight="1">
      <c r="A104" s="35" t="str">
        <f t="shared" ref="A104:B104" si="25">A29</f>
        <v>Philippines</v>
      </c>
      <c r="B104" s="35" t="str">
        <f t="shared" si="25"/>
        <v>PHL</v>
      </c>
      <c r="C104" s="196" cm="1">
        <f t="array" ref="C104">--(SUMPRODUCT(($B$48:$B$75=$B104)*(LEN($C$48:$C$75)&gt;0))&gt;0)</f>
        <v>0</v>
      </c>
      <c r="D104" s="196" cm="1">
        <f t="array" ref="D104">--(SUMPRODUCT(($B$48:$B$75=$B104)*(LEN($D$48:$D$75)&gt;0))&gt;0)</f>
        <v>0</v>
      </c>
      <c r="E104" s="196" cm="1">
        <f t="array" ref="E104">--(SUMPRODUCT(($B$48:$B$75=$B104)*(LEN($E$48:$E$75)&gt;0))&gt;0)</f>
        <v>0</v>
      </c>
      <c r="F104" s="196" cm="1">
        <f t="array" ref="F104">--(SUMPRODUCT(($B$48:$B$75=$B104)*(LEN($F$48:$F$75)&gt;0))&gt;0)</f>
        <v>0</v>
      </c>
      <c r="G104" s="196">
        <f t="shared" si="2"/>
        <v>0</v>
      </c>
    </row>
    <row r="105" spans="1:7" s="35" customFormat="1" ht="20" hidden="1" customHeight="1">
      <c r="A105" s="35" t="str">
        <f t="shared" ref="A105:B105" si="26">A30</f>
        <v>Poland</v>
      </c>
      <c r="B105" s="35" t="str">
        <f t="shared" si="26"/>
        <v>POL</v>
      </c>
      <c r="C105" s="196" cm="1">
        <f t="array" ref="C105">--(SUMPRODUCT(($B$48:$B$75=$B105)*(LEN($C$48:$C$75)&gt;0))&gt;0)</f>
        <v>0</v>
      </c>
      <c r="D105" s="196" cm="1">
        <f t="array" ref="D105">--(SUMPRODUCT(($B$48:$B$75=$B105)*(LEN($D$48:$D$75)&gt;0))&gt;0)</f>
        <v>0</v>
      </c>
      <c r="E105" s="196" cm="1">
        <f t="array" ref="E105">--(SUMPRODUCT(($B$48:$B$75=$B105)*(LEN($E$48:$E$75)&gt;0))&gt;0)</f>
        <v>0</v>
      </c>
      <c r="F105" s="196" cm="1">
        <f t="array" ref="F105">--(SUMPRODUCT(($B$48:$B$75=$B105)*(LEN($F$48:$F$75)&gt;0))&gt;0)</f>
        <v>0</v>
      </c>
      <c r="G105" s="196">
        <f t="shared" si="2"/>
        <v>0</v>
      </c>
    </row>
    <row r="106" spans="1:7" s="35" customFormat="1" ht="20" hidden="1" customHeight="1">
      <c r="A106" s="35" t="str">
        <f t="shared" ref="A106:B106" si="27">A31</f>
        <v>Russia</v>
      </c>
      <c r="B106" s="35" t="str">
        <f t="shared" si="27"/>
        <v>RUS</v>
      </c>
      <c r="C106" s="196" cm="1">
        <f t="array" ref="C106">--(SUMPRODUCT(($B$48:$B$75=$B106)*(LEN($C$48:$C$75)&gt;0))&gt;0)</f>
        <v>1</v>
      </c>
      <c r="D106" s="196" cm="1">
        <f t="array" ref="D106">--(SUMPRODUCT(($B$48:$B$75=$B106)*(LEN($D$48:$D$75)&gt;0))&gt;0)</f>
        <v>0</v>
      </c>
      <c r="E106" s="196" cm="1">
        <f t="array" ref="E106">--(SUMPRODUCT(($B$48:$B$75=$B106)*(LEN($E$48:$E$75)&gt;0))&gt;0)</f>
        <v>0</v>
      </c>
      <c r="F106" s="196" cm="1">
        <f t="array" ref="F106">--(SUMPRODUCT(($B$48:$B$75=$B106)*(LEN($F$48:$F$75)&gt;0))&gt;0)</f>
        <v>0</v>
      </c>
      <c r="G106" s="196">
        <f t="shared" si="2"/>
        <v>1</v>
      </c>
    </row>
    <row r="107" spans="1:7" s="35" customFormat="1" ht="20" hidden="1" customHeight="1">
      <c r="A107" s="35" t="str">
        <f t="shared" ref="A107:B107" si="28">A32</f>
        <v>Serbia</v>
      </c>
      <c r="B107" s="35" t="str">
        <f t="shared" si="28"/>
        <v>SRB</v>
      </c>
      <c r="C107" s="196" cm="1">
        <f t="array" ref="C107">--(SUMPRODUCT(($B$48:$B$75=$B107)*(LEN($C$48:$C$75)&gt;0))&gt;0)</f>
        <v>0</v>
      </c>
      <c r="D107" s="196" cm="1">
        <f t="array" ref="D107">--(SUMPRODUCT(($B$48:$B$75=$B107)*(LEN($D$48:$D$75)&gt;0))&gt;0)</f>
        <v>0</v>
      </c>
      <c r="E107" s="196" cm="1">
        <f t="array" ref="E107">--(SUMPRODUCT(($B$48:$B$75=$B107)*(LEN($E$48:$E$75)&gt;0))&gt;0)</f>
        <v>0</v>
      </c>
      <c r="F107" s="196" cm="1">
        <f t="array" ref="F107">--(SUMPRODUCT(($B$48:$B$75=$B107)*(LEN($F$48:$F$75)&gt;0))&gt;0)</f>
        <v>0</v>
      </c>
      <c r="G107" s="196">
        <f t="shared" si="2"/>
        <v>0</v>
      </c>
    </row>
    <row r="108" spans="1:7" s="35" customFormat="1" ht="20" hidden="1" customHeight="1">
      <c r="A108" s="35" t="str">
        <f t="shared" ref="A108:B108" si="29">A33</f>
        <v>South Africa</v>
      </c>
      <c r="B108" s="35" t="str">
        <f t="shared" si="29"/>
        <v>ZAF</v>
      </c>
      <c r="C108" s="196" cm="1">
        <f t="array" ref="C108">--(SUMPRODUCT(($B$48:$B$75=$B108)*(LEN($C$48:$C$75)&gt;0))&gt;0)</f>
        <v>0</v>
      </c>
      <c r="D108" s="196" cm="1">
        <f t="array" ref="D108">--(SUMPRODUCT(($B$48:$B$75=$B108)*(LEN($D$48:$D$75)&gt;0))&gt;0)</f>
        <v>0</v>
      </c>
      <c r="E108" s="196" cm="1">
        <f t="array" ref="E108">--(SUMPRODUCT(($B$48:$B$75=$B108)*(LEN($E$48:$E$75)&gt;0))&gt;0)</f>
        <v>0</v>
      </c>
      <c r="F108" s="196" cm="1">
        <f t="array" ref="F108">--(SUMPRODUCT(($B$48:$B$75=$B108)*(LEN($F$48:$F$75)&gt;0))&gt;0)</f>
        <v>0</v>
      </c>
      <c r="G108" s="196">
        <f t="shared" si="2"/>
        <v>0</v>
      </c>
    </row>
    <row r="109" spans="1:7" s="35" customFormat="1" ht="20" hidden="1" customHeight="1">
      <c r="A109" s="35" t="str">
        <f t="shared" ref="A109:B109" si="30">A34</f>
        <v>South Korea</v>
      </c>
      <c r="B109" s="35" t="str">
        <f t="shared" si="30"/>
        <v>KOR</v>
      </c>
      <c r="C109" s="196" cm="1">
        <f t="array" ref="C109">--(SUMPRODUCT(($B$48:$B$75=$B109)*(LEN($C$48:$C$75)&gt;0))&gt;0)</f>
        <v>0</v>
      </c>
      <c r="D109" s="196" cm="1">
        <f t="array" ref="D109">--(SUMPRODUCT(($B$48:$B$75=$B109)*(LEN($D$48:$D$75)&gt;0))&gt;0)</f>
        <v>0</v>
      </c>
      <c r="E109" s="196" cm="1">
        <f t="array" ref="E109">--(SUMPRODUCT(($B$48:$B$75=$B109)*(LEN($E$48:$E$75)&gt;0))&gt;0)</f>
        <v>0</v>
      </c>
      <c r="F109" s="196" cm="1">
        <f t="array" ref="F109">--(SUMPRODUCT(($B$48:$B$75=$B109)*(LEN($F$48:$F$75)&gt;0))&gt;0)</f>
        <v>0</v>
      </c>
      <c r="G109" s="196">
        <f t="shared" si="2"/>
        <v>0</v>
      </c>
    </row>
    <row r="110" spans="1:7" s="35" customFormat="1" ht="20" hidden="1" customHeight="1">
      <c r="A110" s="35" t="str">
        <f t="shared" ref="A110:B110" si="31">A35</f>
        <v>Sri Lanka</v>
      </c>
      <c r="B110" s="35" t="str">
        <f t="shared" si="31"/>
        <v>LKA</v>
      </c>
      <c r="C110" s="196" cm="1">
        <f t="array" ref="C110">--(SUMPRODUCT(($B$48:$B$75=$B110)*(LEN($C$48:$C$75)&gt;0))&gt;0)</f>
        <v>1</v>
      </c>
      <c r="D110" s="196" cm="1">
        <f t="array" ref="D110">--(SUMPRODUCT(($B$48:$B$75=$B110)*(LEN($D$48:$D$75)&gt;0))&gt;0)</f>
        <v>0</v>
      </c>
      <c r="E110" s="196" cm="1">
        <f t="array" ref="E110">--(SUMPRODUCT(($B$48:$B$75=$B110)*(LEN($E$48:$E$75)&gt;0))&gt;0)</f>
        <v>0</v>
      </c>
      <c r="F110" s="196" cm="1">
        <f t="array" ref="F110">--(SUMPRODUCT(($B$48:$B$75=$B110)*(LEN($F$48:$F$75)&gt;0))&gt;0)</f>
        <v>1</v>
      </c>
      <c r="G110" s="196">
        <f t="shared" si="2"/>
        <v>2</v>
      </c>
    </row>
    <row r="111" spans="1:7" s="35" customFormat="1" ht="20" hidden="1" customHeight="1">
      <c r="A111" s="35" t="str">
        <f t="shared" ref="A111:B111" si="32">A36</f>
        <v>Taiwan, China</v>
      </c>
      <c r="B111" s="35" t="str">
        <f t="shared" si="32"/>
        <v>TWN</v>
      </c>
      <c r="C111" s="196" cm="1">
        <f t="array" ref="C111">--(SUMPRODUCT(($B$48:$B$75=$B111)*(LEN($C$48:$C$75)&gt;0))&gt;0)</f>
        <v>1</v>
      </c>
      <c r="D111" s="196" cm="1">
        <f t="array" ref="D111">--(SUMPRODUCT(($B$48:$B$75=$B111)*(LEN($D$48:$D$75)&gt;0))&gt;0)</f>
        <v>1</v>
      </c>
      <c r="E111" s="196" cm="1">
        <f t="array" ref="E111">--(SUMPRODUCT(($B$48:$B$75=$B111)*(LEN($E$48:$E$75)&gt;0))&gt;0)</f>
        <v>0</v>
      </c>
      <c r="F111" s="196" cm="1">
        <f t="array" ref="F111">--(SUMPRODUCT(($B$48:$B$75=$B111)*(LEN($F$48:$F$75)&gt;0))&gt;0)</f>
        <v>1</v>
      </c>
      <c r="G111" s="196">
        <f t="shared" si="2"/>
        <v>3</v>
      </c>
    </row>
    <row r="112" spans="1:7" s="35" customFormat="1" ht="20" hidden="1" customHeight="1">
      <c r="A112" s="35" t="str">
        <f t="shared" ref="A112:B112" si="33">A37</f>
        <v>Thailand</v>
      </c>
      <c r="B112" s="35" t="str">
        <f t="shared" si="33"/>
        <v>THA</v>
      </c>
      <c r="C112" s="196" cm="1">
        <f t="array" ref="C112">--(SUMPRODUCT(($B$48:$B$75=$B112)*(LEN($C$48:$C$75)&gt;0))&gt;0)</f>
        <v>0</v>
      </c>
      <c r="D112" s="196" cm="1">
        <f t="array" ref="D112">--(SUMPRODUCT(($B$48:$B$75=$B112)*(LEN($D$48:$D$75)&gt;0))&gt;0)</f>
        <v>0</v>
      </c>
      <c r="E112" s="196" cm="1">
        <f t="array" ref="E112">--(SUMPRODUCT(($B$48:$B$75=$B112)*(LEN($E$48:$E$75)&gt;0))&gt;0)</f>
        <v>0</v>
      </c>
      <c r="F112" s="196" cm="1">
        <f t="array" ref="F112">--(SUMPRODUCT(($B$48:$B$75=$B112)*(LEN($F$48:$F$75)&gt;0))&gt;0)</f>
        <v>0</v>
      </c>
      <c r="G112" s="196">
        <f t="shared" si="2"/>
        <v>0</v>
      </c>
    </row>
    <row r="113" spans="1:7" s="35" customFormat="1" ht="20" hidden="1" customHeight="1">
      <c r="A113" s="35" t="str">
        <f t="shared" ref="A113:B113" si="34">A38</f>
        <v>Türkiye</v>
      </c>
      <c r="B113" s="35" t="str">
        <f t="shared" si="34"/>
        <v>TUR</v>
      </c>
      <c r="C113" s="196" cm="1">
        <f t="array" ref="C113">--(SUMPRODUCT(($B$48:$B$75=$B113)*(LEN($C$48:$C$75)&gt;0))&gt;0)</f>
        <v>0</v>
      </c>
      <c r="D113" s="196" cm="1">
        <f t="array" ref="D113">--(SUMPRODUCT(($B$48:$B$75=$B113)*(LEN($D$48:$D$75)&gt;0))&gt;0)</f>
        <v>0</v>
      </c>
      <c r="E113" s="196" cm="1">
        <f t="array" ref="E113">--(SUMPRODUCT(($B$48:$B$75=$B113)*(LEN($E$48:$E$75)&gt;0))&gt;0)</f>
        <v>0</v>
      </c>
      <c r="F113" s="196" cm="1">
        <f t="array" ref="F113">--(SUMPRODUCT(($B$48:$B$75=$B113)*(LEN($F$48:$F$75)&gt;0))&gt;0)</f>
        <v>0</v>
      </c>
      <c r="G113" s="196">
        <f t="shared" si="2"/>
        <v>0</v>
      </c>
    </row>
    <row r="114" spans="1:7" s="35" customFormat="1" ht="20" hidden="1" customHeight="1">
      <c r="A114" s="35" t="str">
        <f t="shared" ref="A114:B114" si="35">A39</f>
        <v>United States</v>
      </c>
      <c r="B114" s="35" t="str">
        <f t="shared" si="35"/>
        <v>USA</v>
      </c>
      <c r="C114" s="196" cm="1">
        <f t="array" ref="C114">--(SUMPRODUCT(($B$48:$B$75=$B114)*(LEN($C$48:$C$75)&gt;0))&gt;0)</f>
        <v>0</v>
      </c>
      <c r="D114" s="196" cm="1">
        <f t="array" ref="D114">--(SUMPRODUCT(($B$48:$B$75=$B114)*(LEN($D$48:$D$75)&gt;0))&gt;0)</f>
        <v>0</v>
      </c>
      <c r="E114" s="196" cm="1">
        <f t="array" ref="E114">--(SUMPRODUCT(($B$48:$B$75=$B114)*(LEN($E$48:$E$75)&gt;0))&gt;0)</f>
        <v>0</v>
      </c>
      <c r="F114" s="196" cm="1">
        <f t="array" ref="F114">--(SUMPRODUCT(($B$48:$B$75=$B114)*(LEN($F$48:$F$75)&gt;0))&gt;0)</f>
        <v>0</v>
      </c>
      <c r="G114" s="196">
        <f t="shared" si="2"/>
        <v>0</v>
      </c>
    </row>
    <row r="115" spans="1:7" s="35" customFormat="1" ht="20" hidden="1" customHeight="1">
      <c r="A115" s="35" t="str">
        <f t="shared" ref="A115:B115" si="36">A40</f>
        <v>Vietnam</v>
      </c>
      <c r="B115" s="35" t="str">
        <f t="shared" si="36"/>
        <v>VNM</v>
      </c>
      <c r="C115" s="196" cm="1">
        <f t="array" ref="C115">--(SUMPRODUCT(($B$48:$B$75=$B115)*(LEN($C$48:$C$75)&gt;0))&gt;0)</f>
        <v>1</v>
      </c>
      <c r="D115" s="196" cm="1">
        <f t="array" ref="D115">--(SUMPRODUCT(($B$48:$B$75=$B115)*(LEN($D$48:$D$75)&gt;0))&gt;0)</f>
        <v>0</v>
      </c>
      <c r="E115" s="196" cm="1">
        <f t="array" ref="E115">--(SUMPRODUCT(($B$48:$B$75=$B115)*(LEN($E$48:$E$75)&gt;0))&gt;0)</f>
        <v>0</v>
      </c>
      <c r="F115" s="196" cm="1">
        <f t="array" ref="F115">--(SUMPRODUCT(($B$48:$B$75=$B115)*(LEN($F$48:$F$75)&gt;0))&gt;0)</f>
        <v>0</v>
      </c>
      <c r="G115" s="196">
        <f t="shared" si="2"/>
        <v>1</v>
      </c>
    </row>
    <row r="116" spans="1:7" ht="20" customHeight="1">
      <c r="G116" s="101"/>
    </row>
    <row r="117" spans="1:7" ht="20" customHeight="1">
      <c r="G117" s="101"/>
    </row>
    <row r="118" spans="1:7" ht="20" customHeight="1">
      <c r="G118" s="101"/>
    </row>
    <row r="119" spans="1:7" ht="20" customHeight="1">
      <c r="G119" s="101"/>
    </row>
    <row r="120" spans="1:7" ht="20" customHeight="1">
      <c r="G120" s="101"/>
    </row>
  </sheetData>
  <mergeCells count="3">
    <mergeCell ref="C1:H1"/>
    <mergeCell ref="I1:O1"/>
    <mergeCell ref="A1:B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F014-CBD5-4849-90E3-AFE12E6CF027}">
  <dimension ref="A1:Q109"/>
  <sheetViews>
    <sheetView zoomScaleNormal="130" workbookViewId="0">
      <pane xSplit="2" ySplit="4" topLeftCell="C110" activePane="bottomRight" state="frozen"/>
      <selection pane="topRight" activeCell="C1" sqref="C1"/>
      <selection pane="bottomLeft" activeCell="A5" sqref="A5"/>
      <selection pane="bottomRight" activeCell="A72" sqref="A72:XFD109"/>
    </sheetView>
  </sheetViews>
  <sheetFormatPr baseColWidth="10" defaultColWidth="8.83203125" defaultRowHeight="16"/>
  <cols>
    <col min="1" max="1" width="25.83203125" style="2" customWidth="1"/>
    <col min="2" max="2" width="15.83203125" style="2" customWidth="1"/>
    <col min="3" max="3" width="20.83203125" style="2" customWidth="1"/>
    <col min="4" max="4" width="20.83203125" style="2" hidden="1" customWidth="1"/>
    <col min="5" max="6" width="20.83203125" style="2" customWidth="1"/>
    <col min="7" max="8" width="20.83203125" style="2" hidden="1" customWidth="1"/>
    <col min="9" max="9" width="20.83203125" style="2" customWidth="1"/>
    <col min="10" max="10" width="20.83203125" style="2" hidden="1" customWidth="1"/>
    <col min="11" max="12" width="20.83203125" style="2" customWidth="1"/>
    <col min="13" max="14" width="20.83203125" style="2" hidden="1" customWidth="1"/>
    <col min="15" max="15" width="20.83203125" style="2" customWidth="1"/>
    <col min="16" max="16" width="8.83203125" style="2"/>
    <col min="17" max="17" width="20.83203125" customWidth="1"/>
    <col min="18" max="16384" width="8.83203125" style="2"/>
  </cols>
  <sheetData>
    <row r="1" spans="1:17" s="18" customFormat="1" ht="35" customHeight="1">
      <c r="A1" s="206" t="s">
        <v>612</v>
      </c>
      <c r="B1" s="207"/>
      <c r="C1" s="225" t="s">
        <v>0</v>
      </c>
      <c r="D1" s="226"/>
      <c r="E1" s="226"/>
      <c r="F1" s="226"/>
      <c r="G1" s="226"/>
      <c r="H1" s="226"/>
      <c r="I1" s="235" t="s">
        <v>1</v>
      </c>
      <c r="J1" s="228"/>
      <c r="K1" s="228"/>
      <c r="L1" s="228"/>
      <c r="M1" s="228"/>
      <c r="N1" s="228"/>
      <c r="O1" s="172"/>
      <c r="Q1"/>
    </row>
    <row r="2" spans="1:17" s="18" customFormat="1" ht="35" customHeight="1">
      <c r="A2" s="207"/>
      <c r="B2" s="207"/>
      <c r="C2" s="3">
        <v>1</v>
      </c>
      <c r="D2" s="4" t="s">
        <v>904</v>
      </c>
      <c r="E2" s="4">
        <v>2</v>
      </c>
      <c r="F2" s="4">
        <v>3</v>
      </c>
      <c r="G2" s="4" t="s">
        <v>766</v>
      </c>
      <c r="H2" s="4" t="s">
        <v>770</v>
      </c>
      <c r="I2" s="53">
        <v>0.35</v>
      </c>
      <c r="J2" s="53">
        <v>0</v>
      </c>
      <c r="K2" s="53">
        <v>0.45</v>
      </c>
      <c r="L2" s="53">
        <v>0.2</v>
      </c>
      <c r="M2" s="53">
        <v>0</v>
      </c>
      <c r="N2" s="53">
        <v>0</v>
      </c>
      <c r="O2" s="21">
        <f>SUM(I2:N2)</f>
        <v>1</v>
      </c>
      <c r="Q2"/>
    </row>
    <row r="3" spans="1:17" ht="50" customHeight="1">
      <c r="A3" s="230"/>
      <c r="B3" s="230"/>
      <c r="C3" s="8" t="s">
        <v>467</v>
      </c>
      <c r="D3" s="158" t="s">
        <v>901</v>
      </c>
      <c r="E3" s="8" t="s">
        <v>902</v>
      </c>
      <c r="F3" s="8" t="s">
        <v>468</v>
      </c>
      <c r="G3" s="158" t="s">
        <v>903</v>
      </c>
      <c r="H3" s="158" t="s">
        <v>834</v>
      </c>
      <c r="I3" s="22" t="s">
        <v>467</v>
      </c>
      <c r="J3" s="158" t="s">
        <v>901</v>
      </c>
      <c r="K3" s="22" t="s">
        <v>902</v>
      </c>
      <c r="L3" s="22" t="s">
        <v>468</v>
      </c>
      <c r="M3" s="157" t="s">
        <v>903</v>
      </c>
      <c r="N3" s="157" t="s">
        <v>836</v>
      </c>
      <c r="O3" s="47" t="s">
        <v>612</v>
      </c>
      <c r="Q3" s="8" t="s">
        <v>819</v>
      </c>
    </row>
    <row r="4" spans="1:17" ht="50" customHeight="1">
      <c r="A4" s="8" t="s">
        <v>840</v>
      </c>
      <c r="B4" s="8" t="s">
        <v>3</v>
      </c>
      <c r="C4" s="8" t="s">
        <v>613</v>
      </c>
      <c r="D4" s="158" t="s">
        <v>906</v>
      </c>
      <c r="E4" s="8" t="s">
        <v>907</v>
      </c>
      <c r="F4" s="8" t="s">
        <v>614</v>
      </c>
      <c r="G4" s="158" t="s">
        <v>908</v>
      </c>
      <c r="H4" s="158" t="s">
        <v>835</v>
      </c>
      <c r="I4" s="22" t="s">
        <v>470</v>
      </c>
      <c r="J4" s="157" t="s">
        <v>905</v>
      </c>
      <c r="K4" s="22" t="s">
        <v>471</v>
      </c>
      <c r="L4" s="22" t="s">
        <v>472</v>
      </c>
      <c r="M4" s="157" t="s">
        <v>909</v>
      </c>
      <c r="N4" s="157" t="s">
        <v>837</v>
      </c>
      <c r="O4" s="47" t="s">
        <v>473</v>
      </c>
    </row>
    <row r="5" spans="1:17" ht="20" customHeight="1">
      <c r="A5" s="35" t="str" cm="1">
        <f t="array" ref="A5:B40">_xlfn._xlws.FILTER(Screening!$A$2:$B$216,Screening!$L$2:$L$216="Yes","")</f>
        <v>Australia</v>
      </c>
      <c r="B5" s="35" t="str">
        <v>AUS</v>
      </c>
      <c r="C5" s="58">
        <f>IF($B5="","",_xlfn.XLOOKUP($B5,[1]pillars_WIP!$B$7:$B$116,[1]pillars_WIP!$AI$7:$AI$116,"Missing",0))</f>
        <v>3</v>
      </c>
      <c r="D5" s="33">
        <f>IF($B5="","",_xlfn.XLOOKUP($B5,[1]pillars_WIP!$B$7:$B$116,[1]pillars_WIP!$AJ$7:$AJ$116,"Missing",0))</f>
        <v>94</v>
      </c>
      <c r="E5" s="33">
        <f>IF($B5="","",_xlfn.XLOOKUP($B5,[1]pillars_WIP!$B$7:$B$116,[1]pillars_WIP!$AL$7:$AL$116,"Missing",0))</f>
        <v>94.63</v>
      </c>
      <c r="F5" s="33">
        <f>IF($B5="","",_xlfn.XLOOKUP($B5,[1]pillars_WIP!$B$7:$B$116,[1]pillars_WIP!$AM$7:$AM$116,"Missing",0))</f>
        <v>3.9420000000000002</v>
      </c>
      <c r="G5" s="33">
        <f>IF($B5="","",_xlfn.XLOOKUP($B5,[1]pillars_WIP!$B$7:$B$116,[1]pillars_WIP!$AK$7:$AK$116,"Missing",0))</f>
        <v>0.95799999999999996</v>
      </c>
      <c r="H5" s="33">
        <f>IF($B5="","",_xlfn.XLOOKUP($B5,[1]pillars_WIP!$B$7:$B$116,[1]pillars_WIP!$AN$7:$AN$116,"Missing",0))</f>
        <v>832.0460501032253</v>
      </c>
      <c r="I5" s="11">
        <f>_xlfn.LET(_xlpm.r,IF(C5="5+",6,IFERROR(1*C5,"")),IF(_xlpm.r="","",_xlfn.LET(_xlpm.base,MAX(0,(6-_xlpm.r)*20),_xlpm.trend,_xlfn.XLOOKUP($B5,[1]comp_ITUC!$B$2:$B$150,[1]comp_ITUC!$D$2:$D$150,"",0),_xlpm.up,_xlfn.XLOOKUP("ITUC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5" s="11">
        <f>IF(ISNUMBER(D5),MIN(100,MAX(0,D5)),"")</f>
        <v>94</v>
      </c>
      <c r="K5" s="11">
        <f>IF(ISNUMBER(E5),MIN(100,MAX(0,E5)),"")</f>
        <v>94.63</v>
      </c>
      <c r="L5" s="11">
        <f>IF(ISNUMBER(F5),_xlfn.LET(_xlpm.x,MAX(0,F5),_xlpm.bandOne,_xlfn.XLOOKUP("Unemployment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5" s="11">
        <f>IF(ISNUMBER(G5),MIN(100,MAX(0,G5*100)),"")</f>
        <v>95.8</v>
      </c>
      <c r="N5" s="11">
        <f>IF(ISNUMBER(H5),_xlfn.LET(_xlpm.cap,_xlfn.XLOOKUP("Coal exposure log1p ceiling",Params!$F:$F,Params!$G:$G),IF(_xlpm.cap=0,100,100-LN(1+MAX(0,MIN(H5,_xlpm.cap)))/LN(1+_xlpm.cap)*100)),"")</f>
        <v>0.81504011769183649</v>
      </c>
      <c r="O5" s="123">
        <f>IF(COUNT(I5,K5,L5)=3,I5*$I$2+K5*$K$2+L5*$L$2,"")</f>
        <v>83.583500000000001</v>
      </c>
    </row>
    <row r="6" spans="1:17" ht="20" customHeight="1">
      <c r="A6" s="35" t="str">
        <v>Bangladesh</v>
      </c>
      <c r="B6" s="35" t="str">
        <v>BGD</v>
      </c>
      <c r="C6" s="58">
        <f>IF($B6="","",_xlfn.XLOOKUP($B6,[1]pillars_WIP!$B$7:$B$116,[1]pillars_WIP!$AI$7:$AI$116,"Missing",0))</f>
        <v>5</v>
      </c>
      <c r="D6" s="33">
        <f>IF($B6="","",_xlfn.XLOOKUP($B6,[1]pillars_WIP!$B$7:$B$116,[1]pillars_WIP!$AJ$7:$AJ$116,"Missing",0))</f>
        <v>22</v>
      </c>
      <c r="E6" s="33">
        <f>IF($B6="","",_xlfn.XLOOKUP($B6,[1]pillars_WIP!$B$7:$B$116,[1]pillars_WIP!$AL$7:$AL$116,"Missing",0))</f>
        <v>38.274999999999999</v>
      </c>
      <c r="F6" s="33">
        <f>IF($B6="","",_xlfn.XLOOKUP($B6,[1]pillars_WIP!$B$7:$B$116,[1]pillars_WIP!$AM$7:$AM$116,"Missing",0))</f>
        <v>3.6349999999999998</v>
      </c>
      <c r="G6" s="33">
        <f>IF($B6="","",_xlfn.XLOOKUP($B6,[1]pillars_WIP!$B$7:$B$116,[1]pillars_WIP!$AK$7:$AK$116,"Missing",0))</f>
        <v>0.68500000000000005</v>
      </c>
      <c r="H6" s="33">
        <f>IF($B6="","",_xlfn.XLOOKUP($B6,[1]pillars_WIP!$B$7:$B$116,[1]pillars_WIP!$AN$7:$AN$116,"Missing",0))</f>
        <v>41.656496451039352</v>
      </c>
      <c r="I6" s="11">
        <f>_xlfn.LET(_xlpm.r,IF(C6="5+",6,IFERROR(1*C6,"")),IF(_xlpm.r="","",_xlfn.LET(_xlpm.base,MAX(0,(6-_xlpm.r)*20),_xlpm.trend,_xlfn.XLOOKUP($B6,[1]comp_ITUC!$B$2:$B$150,[1]comp_ITUC!$D$2:$D$150,"",0),_xlpm.up,_xlfn.XLOOKUP("ITUC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6" s="11">
        <f t="shared" ref="J6:J40" si="0">IF(ISNUMBER(D6),MIN(100,MAX(0,D6)),"")</f>
        <v>22</v>
      </c>
      <c r="K6" s="11">
        <f t="shared" ref="K6:K40" si="1">IF(ISNUMBER(E6),MIN(100,MAX(0,E6)),"")</f>
        <v>38.274999999999999</v>
      </c>
      <c r="L6" s="11">
        <f>IF(ISNUMBER(F6),_xlfn.LET(_xlpm.x,MAX(0,F6),_xlpm.bandOne,_xlfn.XLOOKUP("Unemployment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6" s="11">
        <f t="shared" ref="M6:M40" si="2">IF(ISNUMBER(G6),MIN(100,MAX(0,G6*100)),"")</f>
        <v>68.5</v>
      </c>
      <c r="N6" s="11">
        <f>IF(ISNUMBER(H6),_xlfn.LET(_xlpm.cap,_xlfn.XLOOKUP("Coal exposure log1p ceiling",Params!$F:$F,Params!$G:$G),IF(_xlpm.cap=0,100,100-LN(1+MAX(0,MIN(H6,_xlpm.cap)))/LN(1+_xlpm.cap)*100)),"")</f>
        <v>44.646238796021485</v>
      </c>
      <c r="O6" s="123">
        <f t="shared" ref="O6:O40" si="3">IF(COUNT(I6,K6,L6)=3,I6*$I$2+K6*$K$2+L6*$L$2,"")</f>
        <v>44.223749999999995</v>
      </c>
    </row>
    <row r="7" spans="1:17" ht="20" customHeight="1">
      <c r="A7" s="35" t="str">
        <v>Bosnia and Herzegovina</v>
      </c>
      <c r="B7" s="35" t="str">
        <v>BIH</v>
      </c>
      <c r="C7" s="58">
        <f>IF($B7="","",_xlfn.XLOOKUP($B7,[1]pillars_WIP!$B$7:$B$116,[1]pillars_WIP!$AI$7:$AI$116,"Missing",0))</f>
        <v>3</v>
      </c>
      <c r="D7" s="33">
        <f>IF($B7="","",_xlfn.XLOOKUP($B7,[1]pillars_WIP!$B$7:$B$116,[1]pillars_WIP!$AJ$7:$AJ$116,"Missing",0))</f>
        <v>54.5</v>
      </c>
      <c r="E7" s="33">
        <f>IF($B7="","",_xlfn.XLOOKUP($B7,[1]pillars_WIP!$B$7:$B$116,[1]pillars_WIP!$AL$7:$AL$116,"Missing",0))</f>
        <v>63.565000000000005</v>
      </c>
      <c r="F7" s="33">
        <f>IF($B7="","",_xlfn.XLOOKUP($B7,[1]pillars_WIP!$B$7:$B$116,[1]pillars_WIP!$AM$7:$AM$116,"Missing",0))</f>
        <v>10.69</v>
      </c>
      <c r="G7" s="33">
        <f>IF($B7="","",_xlfn.XLOOKUP($B7,[1]pillars_WIP!$B$7:$B$116,[1]pillars_WIP!$AK$7:$AK$116,"Missing",0))</f>
        <v>0.80400000000000005</v>
      </c>
      <c r="H7" s="33">
        <f>IF($B7="","",_xlfn.XLOOKUP($B7,[1]pillars_WIP!$B$7:$B$116,[1]pillars_WIP!$AN$7:$AN$116,"Missing",0))</f>
        <v>628.90040714190684</v>
      </c>
      <c r="I7" s="11">
        <f>_xlfn.LET(_xlpm.r,IF(C7="5+",6,IFERROR(1*C7,"")),IF(_xlpm.r="","",_xlfn.LET(_xlpm.base,MAX(0,(6-_xlpm.r)*20),_xlpm.trend,_xlfn.XLOOKUP($B7,[1]comp_ITUC!$B$2:$B$150,[1]comp_ITUC!$D$2:$D$150,"",0),_xlpm.up,_xlfn.XLOOKUP("ITUC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7" s="11">
        <f t="shared" si="0"/>
        <v>54.5</v>
      </c>
      <c r="K7" s="11">
        <f t="shared" si="1"/>
        <v>63.565000000000005</v>
      </c>
      <c r="L7" s="11">
        <f>IF(ISNUMBER(F7),_xlfn.LET(_xlpm.x,MAX(0,F7),_xlpm.bandOne,_xlfn.XLOOKUP("Unemployment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50</v>
      </c>
      <c r="M7" s="11">
        <f t="shared" si="2"/>
        <v>80.400000000000006</v>
      </c>
      <c r="N7" s="11">
        <f>IF(ISNUMBER(H7),_xlfn.LET(_xlpm.cap,_xlfn.XLOOKUP("Coal exposure log1p ceiling",Params!$F:$F,Params!$G:$G),IF(_xlpm.cap=0,100,100-LN(1+MAX(0,MIN(H7,_xlpm.cap)))/LN(1+_xlpm.cap)*100)),"")</f>
        <v>4.937646439317021</v>
      </c>
      <c r="O7" s="123">
        <f t="shared" si="3"/>
        <v>59.604250000000008</v>
      </c>
    </row>
    <row r="8" spans="1:17" ht="20" customHeight="1">
      <c r="A8" s="35" t="str">
        <v>Brazil</v>
      </c>
      <c r="B8" s="35" t="str">
        <v>BRA</v>
      </c>
      <c r="C8" s="58">
        <f>IF($B8="","",_xlfn.XLOOKUP($B8,[1]pillars_WIP!$B$7:$B$116,[1]pillars_WIP!$AI$7:$AI$116,"Missing",0))</f>
        <v>4</v>
      </c>
      <c r="D8" s="33">
        <f>IF($B8="","",_xlfn.XLOOKUP($B8,[1]pillars_WIP!$B$7:$B$116,[1]pillars_WIP!$AJ$7:$AJ$116,"Missing",0))</f>
        <v>71.2</v>
      </c>
      <c r="E8" s="33">
        <f>IF($B8="","",_xlfn.XLOOKUP($B8,[1]pillars_WIP!$B$7:$B$116,[1]pillars_WIP!$AL$7:$AL$116,"Missing",0))</f>
        <v>73.790000000000006</v>
      </c>
      <c r="F8" s="33">
        <f>IF($B8="","",_xlfn.XLOOKUP($B8,[1]pillars_WIP!$B$7:$B$116,[1]pillars_WIP!$AM$7:$AM$116,"Missing",0))</f>
        <v>6.8010000000000002</v>
      </c>
      <c r="G8" s="33">
        <f>IF($B8="","",_xlfn.XLOOKUP($B8,[1]pillars_WIP!$B$7:$B$116,[1]pillars_WIP!$AK$7:$AK$116,"Missing",0))</f>
        <v>0.78600000000000003</v>
      </c>
      <c r="H8" s="33">
        <f>IF($B8="","",_xlfn.XLOOKUP($B8,[1]pillars_WIP!$B$7:$B$116,[1]pillars_WIP!$AN$7:$AN$116,"Missing",0))</f>
        <v>14.136887610087829</v>
      </c>
      <c r="I8" s="11">
        <f>_xlfn.LET(_xlpm.r,IF(C8="5+",6,IFERROR(1*C8,"")),IF(_xlpm.r="","",_xlfn.LET(_xlpm.base,MAX(0,(6-_xlpm.r)*20),_xlpm.trend,_xlfn.XLOOKUP($B8,[1]comp_ITUC!$B$2:$B$150,[1]comp_ITUC!$D$2:$D$150,"",0),_xlpm.up,_xlfn.XLOOKUP("ITUC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45</v>
      </c>
      <c r="J8" s="11">
        <f t="shared" si="0"/>
        <v>71.2</v>
      </c>
      <c r="K8" s="11">
        <f t="shared" si="1"/>
        <v>73.790000000000006</v>
      </c>
      <c r="L8" s="11">
        <f>IF(ISNUMBER(F8),_xlfn.LET(_xlpm.x,MAX(0,F8),_xlpm.bandOne,_xlfn.XLOOKUP("Unemployment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8" s="11">
        <f t="shared" si="2"/>
        <v>78.600000000000009</v>
      </c>
      <c r="N8" s="11">
        <f>IF(ISNUMBER(H8),_xlfn.LET(_xlpm.cap,_xlfn.XLOOKUP("Coal exposure log1p ceiling",Params!$F:$F,Params!$G:$G),IF(_xlpm.cap=0,100,100-LN(1+MAX(0,MIN(H8,_xlpm.cap)))/LN(1+_xlpm.cap)*100)),"")</f>
        <v>59.926345267113426</v>
      </c>
      <c r="O8" s="123">
        <f t="shared" si="3"/>
        <v>63.955500000000001</v>
      </c>
    </row>
    <row r="9" spans="1:17" ht="20" customHeight="1">
      <c r="A9" s="35" t="str">
        <v>Bulgaria</v>
      </c>
      <c r="B9" s="35" t="str">
        <v>BGR</v>
      </c>
      <c r="C9" s="58">
        <f>IF($B9="","",_xlfn.XLOOKUP($B9,[1]pillars_WIP!$B$7:$B$116,[1]pillars_WIP!$AI$7:$AI$116,"Missing",0))</f>
        <v>3</v>
      </c>
      <c r="D9" s="33">
        <f>IF($B9="","",_xlfn.XLOOKUP($B9,[1]pillars_WIP!$B$7:$B$116,[1]pillars_WIP!$AJ$7:$AJ$116,"Missing",0))</f>
        <v>82.8</v>
      </c>
      <c r="E9" s="33">
        <f>IF($B9="","",_xlfn.XLOOKUP($B9,[1]pillars_WIP!$B$7:$B$116,[1]pillars_WIP!$AL$7:$AL$116,"Missing",0))</f>
        <v>83.394999999999996</v>
      </c>
      <c r="F9" s="33">
        <f>IF($B9="","",_xlfn.XLOOKUP($B9,[1]pillars_WIP!$B$7:$B$116,[1]pillars_WIP!$AM$7:$AM$116,"Missing",0))</f>
        <v>4.2</v>
      </c>
      <c r="G9" s="33">
        <f>IF($B9="","",_xlfn.XLOOKUP($B9,[1]pillars_WIP!$B$7:$B$116,[1]pillars_WIP!$AK$7:$AK$116,"Missing",0))</f>
        <v>0.84499999999999997</v>
      </c>
      <c r="H9" s="33">
        <f>IF($B9="","",_xlfn.XLOOKUP($B9,[1]pillars_WIP!$B$7:$B$116,[1]pillars_WIP!$AN$7:$AN$116,"Missing",0))</f>
        <v>638.83419512557862</v>
      </c>
      <c r="I9" s="11">
        <f>_xlfn.LET(_xlpm.r,IF(C9="5+",6,IFERROR(1*C9,"")),IF(_xlpm.r="","",_xlfn.LET(_xlpm.base,MAX(0,(6-_xlpm.r)*20),_xlpm.trend,_xlfn.XLOOKUP($B9,[1]comp_ITUC!$B$2:$B$150,[1]comp_ITUC!$D$2:$D$150,"",0),_xlpm.up,_xlfn.XLOOKUP("ITUC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9" s="11">
        <f t="shared" si="0"/>
        <v>82.8</v>
      </c>
      <c r="K9" s="11">
        <f t="shared" si="1"/>
        <v>83.394999999999996</v>
      </c>
      <c r="L9" s="11">
        <f>IF(ISNUMBER(F9),_xlfn.LET(_xlpm.x,MAX(0,F9),_xlpm.bandOne,_xlfn.XLOOKUP("Unemployment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9" s="11">
        <f t="shared" si="2"/>
        <v>84.5</v>
      </c>
      <c r="N9" s="11">
        <f>IF(ISNUMBER(H9),_xlfn.LET(_xlpm.cap,_xlfn.XLOOKUP("Coal exposure log1p ceiling",Params!$F:$F,Params!$G:$G),IF(_xlpm.cap=0,100,100-LN(1+MAX(0,MIN(H9,_xlpm.cap)))/LN(1+_xlpm.cap)*100)),"")</f>
        <v>4.7068715352763633</v>
      </c>
      <c r="O9" s="123">
        <f t="shared" si="3"/>
        <v>78.527749999999997</v>
      </c>
    </row>
    <row r="10" spans="1:17" ht="20" customHeight="1">
      <c r="A10" s="35" t="str">
        <v>Cambodia</v>
      </c>
      <c r="B10" s="35" t="str">
        <v>KHM</v>
      </c>
      <c r="C10" s="58">
        <f>IF($B10="","",_xlfn.XLOOKUP($B10,[1]pillars_WIP!$B$7:$B$116,[1]pillars_WIP!$AI$7:$AI$116,"Missing",0))</f>
        <v>5</v>
      </c>
      <c r="D10" s="33">
        <f>IF($B10="","",_xlfn.XLOOKUP($B10,[1]pillars_WIP!$B$7:$B$116,[1]pillars_WIP!$AJ$7:$AJ$116,"Missing",0))</f>
        <v>20.8</v>
      </c>
      <c r="E10" s="33">
        <f>IF($B10="","",_xlfn.XLOOKUP($B10,[1]pillars_WIP!$B$7:$B$116,[1]pillars_WIP!$AL$7:$AL$116,"Missing",0))</f>
        <v>34.730000000000004</v>
      </c>
      <c r="F10" s="33">
        <f>IF($B10="","",_xlfn.XLOOKUP($B10,[1]pillars_WIP!$B$7:$B$116,[1]pillars_WIP!$AM$7:$AM$116,"Missing",0))</f>
        <v>0.254</v>
      </c>
      <c r="G10" s="33">
        <f>IF($B10="","",_xlfn.XLOOKUP($B10,[1]pillars_WIP!$B$7:$B$116,[1]pillars_WIP!$AK$7:$AK$116,"Missing",0))</f>
        <v>0.60599999999999998</v>
      </c>
      <c r="H10" s="33">
        <f>IF($B10="","",_xlfn.XLOOKUP($B10,[1]pillars_WIP!$B$7:$B$116,[1]pillars_WIP!$AN$7:$AN$116,"Missing",0))</f>
        <v>82.488599990441529</v>
      </c>
      <c r="I10" s="11">
        <f>_xlfn.LET(_xlpm.r,IF(C10="5+",6,IFERROR(1*C10,"")),IF(_xlpm.r="","",_xlfn.LET(_xlpm.base,MAX(0,(6-_xlpm.r)*20),_xlpm.trend,_xlfn.XLOOKUP($B10,[1]comp_ITUC!$B$2:$B$150,[1]comp_ITUC!$D$2:$D$150,"",0),_xlpm.up,_xlfn.XLOOKUP("ITUC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10" s="11">
        <f t="shared" si="0"/>
        <v>20.8</v>
      </c>
      <c r="K10" s="11">
        <f t="shared" si="1"/>
        <v>34.730000000000004</v>
      </c>
      <c r="L10" s="11">
        <f>IF(ISNUMBER(F10),_xlfn.LET(_xlpm.x,MAX(0,F10),_xlpm.bandOne,_xlfn.XLOOKUP("Unemployment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10" s="11">
        <f t="shared" si="2"/>
        <v>60.6</v>
      </c>
      <c r="N10" s="11">
        <f>IF(ISNUMBER(H10),_xlfn.LET(_xlpm.cap,_xlfn.XLOOKUP("Coal exposure log1p ceiling",Params!$F:$F,Params!$G:$G),IF(_xlpm.cap=0,100,100-LN(1+MAX(0,MIN(H10,_xlpm.cap)))/LN(1+_xlpm.cap)*100)),"")</f>
        <v>34.742172431687038</v>
      </c>
      <c r="O10" s="123">
        <f t="shared" si="3"/>
        <v>42.628500000000003</v>
      </c>
    </row>
    <row r="11" spans="1:17" ht="20" customHeight="1">
      <c r="A11" s="35" t="str">
        <v>Canada</v>
      </c>
      <c r="B11" s="35" t="str">
        <v>CAN</v>
      </c>
      <c r="C11" s="58">
        <f>IF($B11="","",_xlfn.XLOOKUP($B11,[1]pillars_WIP!$B$7:$B$116,[1]pillars_WIP!$AI$7:$AI$116,"Missing",0))</f>
        <v>3</v>
      </c>
      <c r="D11" s="33">
        <f>IF($B11="","",_xlfn.XLOOKUP($B11,[1]pillars_WIP!$B$7:$B$116,[1]pillars_WIP!$AJ$7:$AJ$116,"Missing",0))</f>
        <v>95.6</v>
      </c>
      <c r="E11" s="33">
        <f>IF($B11="","",_xlfn.XLOOKUP($B11,[1]pillars_WIP!$B$7:$B$116,[1]pillars_WIP!$AL$7:$AL$116,"Missing",0))</f>
        <v>95.004999999999995</v>
      </c>
      <c r="F11" s="33">
        <f>IF($B11="","",_xlfn.XLOOKUP($B11,[1]pillars_WIP!$B$7:$B$116,[1]pillars_WIP!$AM$7:$AM$116,"Missing",0))</f>
        <v>6.351</v>
      </c>
      <c r="G11" s="33">
        <f>IF($B11="","",_xlfn.XLOOKUP($B11,[1]pillars_WIP!$B$7:$B$116,[1]pillars_WIP!$AK$7:$AK$116,"Missing",0))</f>
        <v>0.93899999999999995</v>
      </c>
      <c r="H11" s="33">
        <f>IF($B11="","",_xlfn.XLOOKUP($B11,[1]pillars_WIP!$B$7:$B$116,[1]pillars_WIP!$AN$7:$AN$116,"Missing",0))</f>
        <v>74.616239703362183</v>
      </c>
      <c r="I11" s="11">
        <f>_xlfn.LET(_xlpm.r,IF(C11="5+",6,IFERROR(1*C11,"")),IF(_xlpm.r="","",_xlfn.LET(_xlpm.base,MAX(0,(6-_xlpm.r)*20),_xlpm.trend,_xlfn.XLOOKUP($B11,[1]comp_ITUC!$B$2:$B$150,[1]comp_ITUC!$D$2:$D$150,"",0),_xlpm.up,_xlfn.XLOOKUP("ITUC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11" s="11">
        <f t="shared" si="0"/>
        <v>95.6</v>
      </c>
      <c r="K11" s="11">
        <f t="shared" si="1"/>
        <v>95.004999999999995</v>
      </c>
      <c r="L11" s="11">
        <f>IF(ISNUMBER(F11),_xlfn.LET(_xlpm.x,MAX(0,F11),_xlpm.bandOne,_xlfn.XLOOKUP("Unemployment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11" s="11">
        <f t="shared" si="2"/>
        <v>93.899999999999991</v>
      </c>
      <c r="N11" s="11">
        <f>IF(ISNUMBER(H11),_xlfn.LET(_xlpm.cap,_xlfn.XLOOKUP("Coal exposure log1p ceiling",Params!$F:$F,Params!$G:$G),IF(_xlpm.cap=0,100,100-LN(1+MAX(0,MIN(H11,_xlpm.cap)))/LN(1+_xlpm.cap)*100)),"")</f>
        <v>36.2028492764478</v>
      </c>
      <c r="O11" s="123">
        <f t="shared" si="3"/>
        <v>78.752250000000004</v>
      </c>
    </row>
    <row r="12" spans="1:17" ht="20" customHeight="1">
      <c r="A12" s="35" t="str">
        <v>Chile</v>
      </c>
      <c r="B12" s="35" t="str">
        <v>CHL</v>
      </c>
      <c r="C12" s="58">
        <f>IF($B12="","",_xlfn.XLOOKUP($B12,[1]pillars_WIP!$B$7:$B$116,[1]pillars_WIP!$AI$7:$AI$116,"Missing",0))</f>
        <v>3</v>
      </c>
      <c r="D12" s="33">
        <f>IF($B12="","",_xlfn.XLOOKUP($B12,[1]pillars_WIP!$B$7:$B$116,[1]pillars_WIP!$AJ$7:$AJ$116,"Missing",0))</f>
        <v>75.3</v>
      </c>
      <c r="E12" s="33">
        <f>IF($B12="","",_xlfn.XLOOKUP($B12,[1]pillars_WIP!$B$7:$B$116,[1]pillars_WIP!$AL$7:$AL$116,"Missing",0))</f>
        <v>79.674999999999997</v>
      </c>
      <c r="F12" s="33">
        <f>IF($B12="","",_xlfn.XLOOKUP($B12,[1]pillars_WIP!$B$7:$B$116,[1]pillars_WIP!$AM$7:$AM$116,"Missing",0))</f>
        <v>8.718</v>
      </c>
      <c r="G12" s="33">
        <f>IF($B12="","",_xlfn.XLOOKUP($B12,[1]pillars_WIP!$B$7:$B$116,[1]pillars_WIP!$AK$7:$AK$116,"Missing",0))</f>
        <v>0.878</v>
      </c>
      <c r="H12" s="33">
        <f>IF($B12="","",_xlfn.XLOOKUP($B12,[1]pillars_WIP!$B$7:$B$116,[1]pillars_WIP!$AN$7:$AN$116,"Missing",0))</f>
        <v>157.70483756174053</v>
      </c>
      <c r="I12" s="11">
        <f>_xlfn.LET(_xlpm.r,IF(C12="5+",6,IFERROR(1*C12,"")),IF(_xlpm.r="","",_xlfn.LET(_xlpm.base,MAX(0,(6-_xlpm.r)*20),_xlpm.trend,_xlfn.XLOOKUP($B12,[1]comp_ITUC!$B$2:$B$150,[1]comp_ITUC!$D$2:$D$150,"",0),_xlpm.up,_xlfn.XLOOKUP("ITUC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12" s="11">
        <f t="shared" si="0"/>
        <v>75.3</v>
      </c>
      <c r="K12" s="11">
        <f t="shared" si="1"/>
        <v>79.674999999999997</v>
      </c>
      <c r="L12" s="11">
        <f>IF(ISNUMBER(F12),_xlfn.LET(_xlpm.x,MAX(0,F12),_xlpm.bandOne,_xlfn.XLOOKUP("Unemployment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12" s="11">
        <f t="shared" si="2"/>
        <v>87.8</v>
      </c>
      <c r="N12" s="11">
        <f>IF(ISNUMBER(H12),_xlfn.LET(_xlpm.cap,_xlfn.XLOOKUP("Coal exposure log1p ceiling",Params!$F:$F,Params!$G:$G),IF(_xlpm.cap=0,100,100-LN(1+MAX(0,MIN(H12,_xlpm.cap)))/LN(1+_xlpm.cap)*100)),"")</f>
        <v>25.268681075296769</v>
      </c>
      <c r="O12" s="123">
        <f t="shared" si="3"/>
        <v>71.853749999999991</v>
      </c>
    </row>
    <row r="13" spans="1:17" ht="20" customHeight="1">
      <c r="A13" s="35" t="str">
        <v>China</v>
      </c>
      <c r="B13" s="35" t="str">
        <v>CHN</v>
      </c>
      <c r="C13" s="58">
        <f>IF($B13="","",_xlfn.XLOOKUP($B13,[1]pillars_WIP!$B$7:$B$116,[1]pillars_WIP!$AI$7:$AI$116,"Missing",0))</f>
        <v>5</v>
      </c>
      <c r="D13" s="33">
        <f>IF($B13="","",_xlfn.XLOOKUP($B13,[1]pillars_WIP!$B$7:$B$116,[1]pillars_WIP!$AJ$7:$AJ$116,"Missing",0))</f>
        <v>75.599999999999994</v>
      </c>
      <c r="E13" s="33">
        <f>IF($B13="","",_xlfn.XLOOKUP($B13,[1]pillars_WIP!$B$7:$B$116,[1]pillars_WIP!$AL$7:$AL$116,"Missing",0))</f>
        <v>82.564999999999998</v>
      </c>
      <c r="F13" s="33">
        <f>IF($B13="","",_xlfn.XLOOKUP($B13,[1]pillars_WIP!$B$7:$B$116,[1]pillars_WIP!$AM$7:$AM$116,"Missing",0))</f>
        <v>4.59</v>
      </c>
      <c r="G13" s="33">
        <f>IF($B13="","",_xlfn.XLOOKUP($B13,[1]pillars_WIP!$B$7:$B$116,[1]pillars_WIP!$AK$7:$AK$116,"Missing",0))</f>
        <v>0.95499999999999996</v>
      </c>
      <c r="H13" s="33">
        <f>IF($B13="","",_xlfn.XLOOKUP($B13,[1]pillars_WIP!$B$7:$B$116,[1]pillars_WIP!$AN$7:$AN$116,"Missing",0))</f>
        <v>879.37812949129693</v>
      </c>
      <c r="I13" s="11">
        <f>_xlfn.LET(_xlpm.r,IF(C13="5+",6,IFERROR(1*C13,"")),IF(_xlpm.r="","",_xlfn.LET(_xlpm.base,MAX(0,(6-_xlpm.r)*20),_xlpm.trend,_xlfn.XLOOKUP($B13,[1]comp_ITUC!$B$2:$B$150,[1]comp_ITUC!$D$2:$D$150,"",0),_xlpm.up,_xlfn.XLOOKUP("ITUC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13" s="11">
        <f t="shared" si="0"/>
        <v>75.599999999999994</v>
      </c>
      <c r="K13" s="11">
        <f t="shared" si="1"/>
        <v>82.564999999999998</v>
      </c>
      <c r="L13" s="11">
        <f>IF(ISNUMBER(F13),_xlfn.LET(_xlpm.x,MAX(0,F13),_xlpm.bandOne,_xlfn.XLOOKUP("Unemployment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13" s="11">
        <f t="shared" si="2"/>
        <v>95.5</v>
      </c>
      <c r="N13" s="11">
        <f>IF(ISNUMBER(H13),_xlfn.LET(_xlpm.cap,_xlfn.XLOOKUP("Coal exposure log1p ceiling",Params!$F:$F,Params!$G:$G),IF(_xlpm.cap=0,100,100-LN(1+MAX(0,MIN(H13,_xlpm.cap)))/LN(1+_xlpm.cap)*100)),"")</f>
        <v>0</v>
      </c>
      <c r="O13" s="123">
        <f t="shared" si="3"/>
        <v>64.15424999999999</v>
      </c>
    </row>
    <row r="14" spans="1:17" ht="20" customHeight="1">
      <c r="A14" s="35" t="str">
        <v>Czech Republic</v>
      </c>
      <c r="B14" s="35" t="str">
        <v>CZE</v>
      </c>
      <c r="C14" s="58">
        <f>IF($B14="","",_xlfn.XLOOKUP($B14,[1]pillars_WIP!$B$7:$B$116,[1]pillars_WIP!$AI$7:$AI$116,"Missing",0))</f>
        <v>2</v>
      </c>
      <c r="D14" s="33">
        <f>IF($B14="","",_xlfn.XLOOKUP($B14,[1]pillars_WIP!$B$7:$B$116,[1]pillars_WIP!$AJ$7:$AJ$116,"Missing",0))</f>
        <v>78.900000000000006</v>
      </c>
      <c r="E14" s="33">
        <f>IF($B14="","",_xlfn.XLOOKUP($B14,[1]pillars_WIP!$B$7:$B$116,[1]pillars_WIP!$AL$7:$AL$116,"Missing",0))</f>
        <v>83.31</v>
      </c>
      <c r="F14" s="33">
        <f>IF($B14="","",_xlfn.XLOOKUP($B14,[1]pillars_WIP!$B$7:$B$116,[1]pillars_WIP!$AM$7:$AM$116,"Missing",0))</f>
        <v>2.6</v>
      </c>
      <c r="G14" s="33">
        <f>IF($B14="","",_xlfn.XLOOKUP($B14,[1]pillars_WIP!$B$7:$B$116,[1]pillars_WIP!$AK$7:$AK$116,"Missing",0))</f>
        <v>0.91500000000000004</v>
      </c>
      <c r="H14" s="33">
        <f>IF($B14="","",_xlfn.XLOOKUP($B14,[1]pillars_WIP!$B$7:$B$116,[1]pillars_WIP!$AN$7:$AN$116,"Missing",0))</f>
        <v>623.89569288588723</v>
      </c>
      <c r="I14" s="11">
        <f>_xlfn.LET(_xlpm.r,IF(C14="5+",6,IFERROR(1*C14,"")),IF(_xlpm.r="","",_xlfn.LET(_xlpm.base,MAX(0,(6-_xlpm.r)*20),_xlpm.trend,_xlfn.XLOOKUP($B14,[1]comp_ITUC!$B$2:$B$150,[1]comp_ITUC!$D$2:$D$150,"",0),_xlpm.up,_xlfn.XLOOKUP("ITUC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80</v>
      </c>
      <c r="J14" s="11">
        <f t="shared" si="0"/>
        <v>78.900000000000006</v>
      </c>
      <c r="K14" s="11">
        <f t="shared" si="1"/>
        <v>83.31</v>
      </c>
      <c r="L14" s="11">
        <f>IF(ISNUMBER(F14),_xlfn.LET(_xlpm.x,MAX(0,F14),_xlpm.bandOne,_xlfn.XLOOKUP("Unemployment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14" s="11">
        <f t="shared" si="2"/>
        <v>91.5</v>
      </c>
      <c r="N14" s="11">
        <f>IF(ISNUMBER(H14),_xlfn.LET(_xlpm.cap,_xlfn.XLOOKUP("Coal exposure log1p ceiling",Params!$F:$F,Params!$G:$G),IF(_xlpm.cap=0,100,100-LN(1+MAX(0,MIN(H14,_xlpm.cap)))/LN(1+_xlpm.cap)*100)),"")</f>
        <v>5.0552948909083995</v>
      </c>
      <c r="O14" s="123">
        <f t="shared" si="3"/>
        <v>85.489499999999992</v>
      </c>
    </row>
    <row r="15" spans="1:17" ht="20" customHeight="1">
      <c r="A15" s="35" t="str">
        <v>Dominican Republic</v>
      </c>
      <c r="B15" s="35" t="str">
        <v>DOM</v>
      </c>
      <c r="C15" s="58">
        <f>IF($B15="","",_xlfn.XLOOKUP($B15,[1]pillars_WIP!$B$7:$B$116,[1]pillars_WIP!$AI$7:$AI$116,"Missing",0))</f>
        <v>2</v>
      </c>
      <c r="D15" s="33">
        <f>IF($B15="","",_xlfn.XLOOKUP($B15,[1]pillars_WIP!$B$7:$B$116,[1]pillars_WIP!$AJ$7:$AJ$116,"Missing",0))</f>
        <v>61</v>
      </c>
      <c r="E15" s="33">
        <f>IF($B15="","",_xlfn.XLOOKUP($B15,[1]pillars_WIP!$B$7:$B$116,[1]pillars_WIP!$AL$7:$AL$116,"Missing",0))</f>
        <v>66.81</v>
      </c>
      <c r="F15" s="33">
        <f>IF($B15="","",_xlfn.XLOOKUP($B15,[1]pillars_WIP!$B$7:$B$116,[1]pillars_WIP!$AM$7:$AM$116,"Missing",0))</f>
        <v>5.3120000000000003</v>
      </c>
      <c r="G15" s="33">
        <f>IF($B15="","",_xlfn.XLOOKUP($B15,[1]pillars_WIP!$B$7:$B$116,[1]pillars_WIP!$AK$7:$AK$116,"Missing",0))</f>
        <v>0.77600000000000002</v>
      </c>
      <c r="H15" s="33">
        <f>IF($B15="","",_xlfn.XLOOKUP($B15,[1]pillars_WIP!$B$7:$B$116,[1]pillars_WIP!$AN$7:$AN$116,"Missing",0))</f>
        <v>93.108264522329662</v>
      </c>
      <c r="I15" s="11">
        <f>_xlfn.LET(_xlpm.r,IF(C15="5+",6,IFERROR(1*C15,"")),IF(_xlpm.r="","",_xlfn.LET(_xlpm.base,MAX(0,(6-_xlpm.r)*20),_xlpm.trend,_xlfn.XLOOKUP($B15,[1]comp_ITUC!$B$2:$B$150,[1]comp_ITUC!$D$2:$D$150,"",0),_xlpm.up,_xlfn.XLOOKUP("ITUC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80</v>
      </c>
      <c r="J15" s="11">
        <f t="shared" si="0"/>
        <v>61</v>
      </c>
      <c r="K15" s="11">
        <f t="shared" si="1"/>
        <v>66.81</v>
      </c>
      <c r="L15" s="11">
        <f>IF(ISNUMBER(F15),_xlfn.LET(_xlpm.x,MAX(0,F15),_xlpm.bandOne,_xlfn.XLOOKUP("Unemployment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15" s="11">
        <f t="shared" si="2"/>
        <v>77.600000000000009</v>
      </c>
      <c r="N15" s="11">
        <f>IF(ISNUMBER(H15),_xlfn.LET(_xlpm.cap,_xlfn.XLOOKUP("Coal exposure log1p ceiling",Params!$F:$F,Params!$G:$G),IF(_xlpm.cap=0,100,100-LN(1+MAX(0,MIN(H15,_xlpm.cap)))/LN(1+_xlpm.cap)*100)),"")</f>
        <v>32.976249615752579</v>
      </c>
      <c r="O15" s="123">
        <f t="shared" si="3"/>
        <v>73.06450000000001</v>
      </c>
    </row>
    <row r="16" spans="1:17" ht="20" customHeight="1">
      <c r="A16" s="35" t="str">
        <v>Germany</v>
      </c>
      <c r="B16" s="35" t="str">
        <v>DEU</v>
      </c>
      <c r="C16" s="58">
        <f>IF($B16="","",_xlfn.XLOOKUP($B16,[1]pillars_WIP!$B$7:$B$116,[1]pillars_WIP!$AI$7:$AI$116,"Missing",0))</f>
        <v>1</v>
      </c>
      <c r="D16" s="33">
        <f>IF($B16="","",_xlfn.XLOOKUP($B16,[1]pillars_WIP!$B$7:$B$116,[1]pillars_WIP!$AJ$7:$AJ$116,"Missing",0))</f>
        <v>100</v>
      </c>
      <c r="E16" s="33">
        <f>IF($B16="","",_xlfn.XLOOKUP($B16,[1]pillars_WIP!$B$7:$B$116,[1]pillars_WIP!$AL$7:$AL$116,"Missing",0))</f>
        <v>98.564999999999998</v>
      </c>
      <c r="F16" s="33">
        <f>IF($B16="","",_xlfn.XLOOKUP($B16,[1]pillars_WIP!$B$7:$B$116,[1]pillars_WIP!$AM$7:$AM$116,"Missing",0))</f>
        <v>3.4</v>
      </c>
      <c r="G16" s="33">
        <f>IF($B16="","",_xlfn.XLOOKUP($B16,[1]pillars_WIP!$B$7:$B$116,[1]pillars_WIP!$AK$7:$AK$116,"Missing",0))</f>
        <v>0.95899999999999996</v>
      </c>
      <c r="H16" s="33">
        <f>IF($B16="","",_xlfn.XLOOKUP($B16,[1]pillars_WIP!$B$7:$B$116,[1]pillars_WIP!$AN$7:$AN$116,"Missing",0))</f>
        <v>339.13141068865201</v>
      </c>
      <c r="I16" s="11">
        <f>_xlfn.LET(_xlpm.r,IF(C16="5+",6,IFERROR(1*C16,"")),IF(_xlpm.r="","",_xlfn.LET(_xlpm.base,MAX(0,(6-_xlpm.r)*20),_xlpm.trend,_xlfn.XLOOKUP($B16,[1]comp_ITUC!$B$2:$B$150,[1]comp_ITUC!$D$2:$D$150,"",0),_xlpm.up,_xlfn.XLOOKUP("ITUC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100</v>
      </c>
      <c r="J16" s="11">
        <f t="shared" si="0"/>
        <v>100</v>
      </c>
      <c r="K16" s="11">
        <f t="shared" si="1"/>
        <v>98.564999999999998</v>
      </c>
      <c r="L16" s="11">
        <f>IF(ISNUMBER(F16),_xlfn.LET(_xlpm.x,MAX(0,F16),_xlpm.bandOne,_xlfn.XLOOKUP("Unemployment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16" s="11">
        <f t="shared" si="2"/>
        <v>95.899999999999991</v>
      </c>
      <c r="N16" s="11">
        <f>IF(ISNUMBER(H16),_xlfn.LET(_xlpm.cap,_xlfn.XLOOKUP("Coal exposure log1p ceiling",Params!$F:$F,Params!$G:$G),IF(_xlpm.cap=0,100,100-LN(1+MAX(0,MIN(H16,_xlpm.cap)))/LN(1+_xlpm.cap)*100)),"")</f>
        <v>14.026108553954913</v>
      </c>
      <c r="O16" s="123">
        <f t="shared" si="3"/>
        <v>99.354250000000008</v>
      </c>
    </row>
    <row r="17" spans="1:17" ht="20" customHeight="1">
      <c r="A17" s="35" t="str">
        <v>Hong Kong</v>
      </c>
      <c r="B17" s="35" t="str">
        <v>HKG</v>
      </c>
      <c r="C17" s="58">
        <f>IF($B17="","",_xlfn.XLOOKUP($B17,[1]pillars_WIP!$B$7:$B$116,[1]pillars_WIP!$AI$7:$AI$116,"Missing",0))</f>
        <v>5</v>
      </c>
      <c r="D17" s="33">
        <f>IF($B17="","",_xlfn.XLOOKUP($B17,[1]pillars_WIP!$B$7:$B$116,[1]pillars_WIP!$AJ$7:$AJ$116,"Missing",0))</f>
        <v>63.3</v>
      </c>
      <c r="E17" s="82">
        <v>90.625</v>
      </c>
      <c r="F17" s="33">
        <f>IF($B17="","",_xlfn.XLOOKUP($B17,[1]pillars_WIP!$B$7:$B$116,[1]pillars_WIP!$AM$7:$AM$116,"Missing",0))</f>
        <v>2.988</v>
      </c>
      <c r="G17" s="82">
        <v>0.95499999999999996</v>
      </c>
      <c r="H17" s="33">
        <f>IF($B17="","",_xlfn.XLOOKUP($B17,[1]pillars_WIP!$B$7:$B$116,[1]pillars_WIP!$AN$7:$AN$116,"Missing",0))</f>
        <v>546.2447335893994</v>
      </c>
      <c r="I17" s="11">
        <f>_xlfn.LET(_xlpm.r,IF(C17="5+",6,IFERROR(1*C17,"")),IF(_xlpm.r="","",_xlfn.LET(_xlpm.base,MAX(0,(6-_xlpm.r)*20),_xlpm.trend,_xlfn.XLOOKUP($B17,[1]comp_ITUC!$B$2:$B$150,[1]comp_ITUC!$D$2:$D$150,"",0),_xlpm.up,_xlfn.XLOOKUP("ITUC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17" s="11">
        <f t="shared" si="0"/>
        <v>63.3</v>
      </c>
      <c r="K17" s="85">
        <f t="shared" si="1"/>
        <v>90.625</v>
      </c>
      <c r="L17" s="11">
        <f>IF(ISNUMBER(F17),_xlfn.LET(_xlpm.x,MAX(0,F17),_xlpm.bandOne,_xlfn.XLOOKUP("Unemployment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17" s="11">
        <f t="shared" si="2"/>
        <v>95.5</v>
      </c>
      <c r="N17" s="11">
        <f>IF(ISNUMBER(H17),_xlfn.LET(_xlpm.cap,_xlfn.XLOOKUP("Coal exposure log1p ceiling",Params!$F:$F,Params!$G:$G),IF(_xlpm.cap=0,100,100-LN(1+MAX(0,MIN(H17,_xlpm.cap)))/LN(1+_xlpm.cap)*100)),"")</f>
        <v>7.0122528941320326</v>
      </c>
      <c r="O17" s="174">
        <f t="shared" si="3"/>
        <v>67.78125</v>
      </c>
      <c r="Q17" s="174" t="s">
        <v>922</v>
      </c>
    </row>
    <row r="18" spans="1:17" ht="20" customHeight="1">
      <c r="A18" s="35" t="str">
        <v>India</v>
      </c>
      <c r="B18" s="35" t="str">
        <v>IND</v>
      </c>
      <c r="C18" s="58">
        <f>IF($B18="","",_xlfn.XLOOKUP($B18,[1]pillars_WIP!$B$7:$B$116,[1]pillars_WIP!$AI$7:$AI$116,"Missing",0))</f>
        <v>5</v>
      </c>
      <c r="D18" s="33">
        <f>IF($B18="","",_xlfn.XLOOKUP($B18,[1]pillars_WIP!$B$7:$B$116,[1]pillars_WIP!$AJ$7:$AJ$116,"Missing",0))</f>
        <v>64.3</v>
      </c>
      <c r="E18" s="33">
        <f>IF($B18="","",_xlfn.XLOOKUP($B18,[1]pillars_WIP!$B$7:$B$116,[1]pillars_WIP!$AL$7:$AL$116,"Missing",0))</f>
        <v>65.77</v>
      </c>
      <c r="F18" s="33">
        <f>IF($B18="","",_xlfn.XLOOKUP($B18,[1]pillars_WIP!$B$7:$B$116,[1]pillars_WIP!$AM$7:$AM$116,"Missing",0))</f>
        <v>4.173</v>
      </c>
      <c r="G18" s="33">
        <f>IF($B18="","",_xlfn.XLOOKUP($B18,[1]pillars_WIP!$B$7:$B$116,[1]pillars_WIP!$AK$7:$AK$116,"Missing",0))</f>
        <v>0.68500000000000005</v>
      </c>
      <c r="H18" s="33">
        <f>IF($B18="","",_xlfn.XLOOKUP($B18,[1]pillars_WIP!$B$7:$B$116,[1]pillars_WIP!$AN$7:$AN$116,"Missing",0))</f>
        <v>172.2148571631727</v>
      </c>
      <c r="I18" s="11">
        <f>_xlfn.LET(_xlpm.r,IF(C18="5+",6,IFERROR(1*C18,"")),IF(_xlpm.r="","",_xlfn.LET(_xlpm.base,MAX(0,(6-_xlpm.r)*20),_xlpm.trend,_xlfn.XLOOKUP($B18,[1]comp_ITUC!$B$2:$B$150,[1]comp_ITUC!$D$2:$D$150,"",0),_xlpm.up,_xlfn.XLOOKUP("ITUC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18" s="11">
        <f t="shared" si="0"/>
        <v>64.3</v>
      </c>
      <c r="K18" s="11">
        <f t="shared" si="1"/>
        <v>65.77</v>
      </c>
      <c r="L18" s="11">
        <f>IF(ISNUMBER(F18),_xlfn.LET(_xlpm.x,MAX(0,F18),_xlpm.bandOne,_xlfn.XLOOKUP("Unemployment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18" s="11">
        <f t="shared" si="2"/>
        <v>68.5</v>
      </c>
      <c r="N18" s="11">
        <f>IF(ISNUMBER(H18),_xlfn.LET(_xlpm.cap,_xlfn.XLOOKUP("Coal exposure log1p ceiling",Params!$F:$F,Params!$G:$G),IF(_xlpm.cap=0,100,100-LN(1+MAX(0,MIN(H18,_xlpm.cap)))/LN(1+_xlpm.cap)*100)),"")</f>
        <v>23.978384204428252</v>
      </c>
      <c r="O18" s="123">
        <f t="shared" si="3"/>
        <v>56.596499999999999</v>
      </c>
    </row>
    <row r="19" spans="1:17" ht="20" customHeight="1">
      <c r="A19" s="35" t="str">
        <v>Indonesia</v>
      </c>
      <c r="B19" s="35" t="str">
        <v>IDN</v>
      </c>
      <c r="C19" s="58">
        <f>IF($B19="","",_xlfn.XLOOKUP($B19,[1]pillars_WIP!$B$7:$B$116,[1]pillars_WIP!$AI$7:$AI$116,"Missing",0))</f>
        <v>5</v>
      </c>
      <c r="D19" s="33">
        <f>IF($B19="","",_xlfn.XLOOKUP($B19,[1]pillars_WIP!$B$7:$B$116,[1]pillars_WIP!$AJ$7:$AJ$116,"Missing",0))</f>
        <v>54.3</v>
      </c>
      <c r="E19" s="33">
        <f>IF($B19="","",_xlfn.XLOOKUP($B19,[1]pillars_WIP!$B$7:$B$116,[1]pillars_WIP!$AL$7:$AL$116,"Missing",0))</f>
        <v>60.774999999999999</v>
      </c>
      <c r="F19" s="33">
        <f>IF($B19="","",_xlfn.XLOOKUP($B19,[1]pillars_WIP!$B$7:$B$116,[1]pillars_WIP!$AM$7:$AM$116,"Missing",0))</f>
        <v>3.3010000000000002</v>
      </c>
      <c r="G19" s="33">
        <f>IF($B19="","",_xlfn.XLOOKUP($B19,[1]pillars_WIP!$B$7:$B$116,[1]pillars_WIP!$AK$7:$AK$116,"Missing",0))</f>
        <v>0.72799999999999998</v>
      </c>
      <c r="H19" s="33">
        <f>IF($B19="","",_xlfn.XLOOKUP($B19,[1]pillars_WIP!$B$7:$B$116,[1]pillars_WIP!$AN$7:$AN$116,"Missing",0))</f>
        <v>214.13468921186629</v>
      </c>
      <c r="I19" s="11">
        <f>_xlfn.LET(_xlpm.r,IF(C19="5+",6,IFERROR(1*C19,"")),IF(_xlpm.r="","",_xlfn.LET(_xlpm.base,MAX(0,(6-_xlpm.r)*20),_xlpm.trend,_xlfn.XLOOKUP($B19,[1]comp_ITUC!$B$2:$B$150,[1]comp_ITUC!$D$2:$D$150,"",0),_xlpm.up,_xlfn.XLOOKUP("ITUC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19" s="11">
        <f t="shared" si="0"/>
        <v>54.3</v>
      </c>
      <c r="K19" s="11">
        <f t="shared" si="1"/>
        <v>60.774999999999999</v>
      </c>
      <c r="L19" s="11">
        <f>IF(ISNUMBER(F19),_xlfn.LET(_xlpm.x,MAX(0,F19),_xlpm.bandOne,_xlfn.XLOOKUP("Unemployment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19" s="11">
        <f t="shared" si="2"/>
        <v>72.8</v>
      </c>
      <c r="N19" s="11">
        <f>IF(ISNUMBER(H19),_xlfn.LET(_xlpm.cap,_xlfn.XLOOKUP("Coal exposure log1p ceiling",Params!$F:$F,Params!$G:$G),IF(_xlpm.cap=0,100,100-LN(1+MAX(0,MIN(H19,_xlpm.cap)))/LN(1+_xlpm.cap)*100)),"")</f>
        <v>20.781919827219028</v>
      </c>
      <c r="O19" s="123">
        <f t="shared" si="3"/>
        <v>54.348749999999995</v>
      </c>
    </row>
    <row r="20" spans="1:17" ht="20" customHeight="1">
      <c r="A20" s="35" t="str">
        <v>Japan</v>
      </c>
      <c r="B20" s="35" t="str">
        <v>JPN</v>
      </c>
      <c r="C20" s="58">
        <f>IF($B20="","",_xlfn.XLOOKUP($B20,[1]pillars_WIP!$B$7:$B$116,[1]pillars_WIP!$AI$7:$AI$116,"Missing",0))</f>
        <v>2</v>
      </c>
      <c r="D20" s="33">
        <f>IF($B20="","",_xlfn.XLOOKUP($B20,[1]pillars_WIP!$B$7:$B$116,[1]pillars_WIP!$AJ$7:$AJ$116,"Missing",0))</f>
        <v>94.6</v>
      </c>
      <c r="E20" s="33">
        <f>IF($B20="","",_xlfn.XLOOKUP($B20,[1]pillars_WIP!$B$7:$B$116,[1]pillars_WIP!$AL$7:$AL$116,"Missing",0))</f>
        <v>93.864999999999995</v>
      </c>
      <c r="F20" s="33">
        <f>IF($B20="","",_xlfn.XLOOKUP($B20,[1]pillars_WIP!$B$7:$B$116,[1]pillars_WIP!$AM$7:$AM$116,"Missing",0))</f>
        <v>2.5</v>
      </c>
      <c r="G20" s="33">
        <f>IF($B20="","",_xlfn.XLOOKUP($B20,[1]pillars_WIP!$B$7:$B$116,[1]pillars_WIP!$AK$7:$AK$116,"Missing",0))</f>
        <v>0.92500000000000004</v>
      </c>
      <c r="H20" s="33">
        <f>IF($B20="","",_xlfn.XLOOKUP($B20,[1]pillars_WIP!$B$7:$B$116,[1]pillars_WIP!$AN$7:$AN$116,"Missing",0))</f>
        <v>427.50426614976618</v>
      </c>
      <c r="I20" s="11">
        <f>_xlfn.LET(_xlpm.r,IF(C20="5+",6,IFERROR(1*C20,"")),IF(_xlpm.r="","",_xlfn.LET(_xlpm.base,MAX(0,(6-_xlpm.r)*20),_xlpm.trend,_xlfn.XLOOKUP($B20,[1]comp_ITUC!$B$2:$B$150,[1]comp_ITUC!$D$2:$D$150,"",0),_xlpm.up,_xlfn.XLOOKUP("ITUC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80</v>
      </c>
      <c r="J20" s="11">
        <f t="shared" si="0"/>
        <v>94.6</v>
      </c>
      <c r="K20" s="11">
        <f t="shared" si="1"/>
        <v>93.864999999999995</v>
      </c>
      <c r="L20" s="11">
        <f>IF(ISNUMBER(F20),_xlfn.LET(_xlpm.x,MAX(0,F20),_xlpm.bandOne,_xlfn.XLOOKUP("Unemployment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20" s="11">
        <f t="shared" si="2"/>
        <v>92.5</v>
      </c>
      <c r="N20" s="11">
        <f>IF(ISNUMBER(H20),_xlfn.LET(_xlpm.cap,_xlfn.XLOOKUP("Coal exposure log1p ceiling",Params!$F:$F,Params!$G:$G),IF(_xlpm.cap=0,100,100-LN(1+MAX(0,MIN(H20,_xlpm.cap)))/LN(1+_xlpm.cap)*100)),"")</f>
        <v>10.619667917818276</v>
      </c>
      <c r="O20" s="123">
        <f t="shared" si="3"/>
        <v>90.239249999999998</v>
      </c>
    </row>
    <row r="21" spans="1:17" ht="20" customHeight="1">
      <c r="A21" s="35" t="str">
        <v>Kazakhstan</v>
      </c>
      <c r="B21" s="35" t="str">
        <v>KAZ</v>
      </c>
      <c r="C21" s="58">
        <f>IF($B21="","",_xlfn.XLOOKUP($B21,[1]pillars_WIP!$B$7:$B$116,[1]pillars_WIP!$AI$7:$AI$116,"Missing",0))</f>
        <v>5</v>
      </c>
      <c r="D21" s="33">
        <f>IF($B21="","",_xlfn.XLOOKUP($B21,[1]pillars_WIP!$B$7:$B$116,[1]pillars_WIP!$AJ$7:$AJ$116,"Missing",0))</f>
        <v>94.3</v>
      </c>
      <c r="E21" s="33">
        <f>IF($B21="","",_xlfn.XLOOKUP($B21,[1]pillars_WIP!$B$7:$B$116,[1]pillars_WIP!$AL$7:$AL$116,"Missing",0))</f>
        <v>90.59</v>
      </c>
      <c r="F21" s="33">
        <f>IF($B21="","",_xlfn.XLOOKUP($B21,[1]pillars_WIP!$B$7:$B$116,[1]pillars_WIP!$AM$7:$AM$116,"Missing",0))</f>
        <v>4.8330000000000002</v>
      </c>
      <c r="G21" s="33">
        <f>IF($B21="","",_xlfn.XLOOKUP($B21,[1]pillars_WIP!$B$7:$B$116,[1]pillars_WIP!$AK$7:$AK$116,"Missing",0))</f>
        <v>0.83699999999999997</v>
      </c>
      <c r="H21" s="33">
        <f>IF($B21="","",_xlfn.XLOOKUP($B21,[1]pillars_WIP!$B$7:$B$116,[1]pillars_WIP!$AN$7:$AN$116,"Missing",0))</f>
        <v>643.48448768247545</v>
      </c>
      <c r="I21" s="11">
        <f>_xlfn.LET(_xlpm.r,IF(C21="5+",6,IFERROR(1*C21,"")),IF(_xlpm.r="","",_xlfn.LET(_xlpm.base,MAX(0,(6-_xlpm.r)*20),_xlpm.trend,_xlfn.XLOOKUP($B21,[1]comp_ITUC!$B$2:$B$150,[1]comp_ITUC!$D$2:$D$150,"",0),_xlpm.up,_xlfn.XLOOKUP("ITUC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21" s="11">
        <f t="shared" si="0"/>
        <v>94.3</v>
      </c>
      <c r="K21" s="11">
        <f t="shared" si="1"/>
        <v>90.59</v>
      </c>
      <c r="L21" s="11">
        <f>IF(ISNUMBER(F21),_xlfn.LET(_xlpm.x,MAX(0,F21),_xlpm.bandOne,_xlfn.XLOOKUP("Unemployment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21" s="11">
        <f t="shared" si="2"/>
        <v>83.7</v>
      </c>
      <c r="N21" s="11">
        <f>IF(ISNUMBER(H21),_xlfn.LET(_xlpm.cap,_xlfn.XLOOKUP("Coal exposure log1p ceiling",Params!$F:$F,Params!$G:$G),IF(_xlpm.cap=0,100,100-LN(1+MAX(0,MIN(H21,_xlpm.cap)))/LN(1+_xlpm.cap)*100)),"")</f>
        <v>4.6000676233309292</v>
      </c>
      <c r="O21" s="123">
        <f t="shared" si="3"/>
        <v>67.765500000000003</v>
      </c>
    </row>
    <row r="22" spans="1:17" ht="20" customHeight="1">
      <c r="A22" s="35" t="str">
        <v>Laos</v>
      </c>
      <c r="B22" s="35" t="str">
        <v>LAO</v>
      </c>
      <c r="C22" s="58">
        <f>IF($B22="","",_xlfn.XLOOKUP($B22,[1]pillars_WIP!$B$7:$B$116,[1]pillars_WIP!$AI$7:$AI$116,"Missing",0))</f>
        <v>5</v>
      </c>
      <c r="D22" s="33">
        <f>IF($B22="","",_xlfn.XLOOKUP($B22,[1]pillars_WIP!$B$7:$B$116,[1]pillars_WIP!$AJ$7:$AJ$116,"Missing",0))</f>
        <v>15.5</v>
      </c>
      <c r="E22" s="33">
        <f>IF($B22="","",_xlfn.XLOOKUP($B22,[1]pillars_WIP!$B$7:$B$116,[1]pillars_WIP!$AL$7:$AL$116,"Missing",0))</f>
        <v>31.67</v>
      </c>
      <c r="F22" s="33">
        <f>IF($B22="","",_xlfn.XLOOKUP($B22,[1]pillars_WIP!$B$7:$B$116,[1]pillars_WIP!$AM$7:$AM$116,"Missing",0))</f>
        <v>1.1739999999999999</v>
      </c>
      <c r="G22" s="33">
        <f>IF($B22="","",_xlfn.XLOOKUP($B22,[1]pillars_WIP!$B$7:$B$116,[1]pillars_WIP!$AK$7:$AK$116,"Missing",0))</f>
        <v>0.61699999999999999</v>
      </c>
      <c r="H22" s="33">
        <f>IF($B22="","",_xlfn.XLOOKUP($B22,[1]pillars_WIP!$B$7:$B$116,[1]pillars_WIP!$AN$7:$AN$116,"Missing",0))</f>
        <v>241.70447213763924</v>
      </c>
      <c r="I22" s="11">
        <f>_xlfn.LET(_xlpm.r,IF(C22="5+",6,IFERROR(1*C22,"")),IF(_xlpm.r="","",_xlfn.LET(_xlpm.base,MAX(0,(6-_xlpm.r)*20),_xlpm.trend,_xlfn.XLOOKUP($B22,[1]comp_ITUC!$B$2:$B$150,[1]comp_ITUC!$D$2:$D$150,"",0),_xlpm.up,_xlfn.XLOOKUP("ITUC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22" s="11">
        <f t="shared" si="0"/>
        <v>15.5</v>
      </c>
      <c r="K22" s="11">
        <f t="shared" si="1"/>
        <v>31.67</v>
      </c>
      <c r="L22" s="11">
        <f>IF(ISNUMBER(F22),_xlfn.LET(_xlpm.x,MAX(0,F22),_xlpm.bandOne,_xlfn.XLOOKUP("Unemployment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22" s="11">
        <f t="shared" si="2"/>
        <v>61.7</v>
      </c>
      <c r="N22" s="11">
        <f>IF(ISNUMBER(H22),_xlfn.LET(_xlpm.cap,_xlfn.XLOOKUP("Coal exposure log1p ceiling",Params!$F:$F,Params!$G:$G),IF(_xlpm.cap=0,100,100-LN(1+MAX(0,MIN(H22,_xlpm.cap)))/LN(1+_xlpm.cap)*100)),"")</f>
        <v>19.003542325717788</v>
      </c>
      <c r="O22" s="123">
        <f t="shared" si="3"/>
        <v>41.2515</v>
      </c>
    </row>
    <row r="23" spans="1:17" ht="20" customHeight="1">
      <c r="A23" s="35" t="str">
        <v>Malaysia</v>
      </c>
      <c r="B23" s="35" t="str">
        <v>MYS</v>
      </c>
      <c r="C23" s="58">
        <f>IF($B23="","",_xlfn.XLOOKUP($B23,[1]pillars_WIP!$B$7:$B$116,[1]pillars_WIP!$AI$7:$AI$116,"Missing",0))</f>
        <v>5</v>
      </c>
      <c r="D23" s="33">
        <f>IF($B23="","",_xlfn.XLOOKUP($B23,[1]pillars_WIP!$B$7:$B$116,[1]pillars_WIP!$AJ$7:$AJ$116,"Missing",0))</f>
        <v>29.2</v>
      </c>
      <c r="E23" s="33">
        <f>IF($B23="","",_xlfn.XLOOKUP($B23,[1]pillars_WIP!$B$7:$B$116,[1]pillars_WIP!$AL$7:$AL$116,"Missing",0))</f>
        <v>47.644999999999996</v>
      </c>
      <c r="F23" s="33">
        <f>IF($B23="","",_xlfn.XLOOKUP($B23,[1]pillars_WIP!$B$7:$B$116,[1]pillars_WIP!$AM$7:$AM$116,"Missing",0))</f>
        <v>3.8460000000000001</v>
      </c>
      <c r="G23" s="33">
        <f>IF($B23="","",_xlfn.XLOOKUP($B23,[1]pillars_WIP!$B$7:$B$116,[1]pillars_WIP!$AK$7:$AK$116,"Missing",0))</f>
        <v>0.81899999999999995</v>
      </c>
      <c r="H23" s="33">
        <f>IF($B23="","",_xlfn.XLOOKUP($B23,[1]pillars_WIP!$B$7:$B$116,[1]pillars_WIP!$AN$7:$AN$116,"Missing",0))</f>
        <v>373.47775823237924</v>
      </c>
      <c r="I23" s="11">
        <f>_xlfn.LET(_xlpm.r,IF(C23="5+",6,IFERROR(1*C23,"")),IF(_xlpm.r="","",_xlfn.LET(_xlpm.base,MAX(0,(6-_xlpm.r)*20),_xlpm.trend,_xlfn.XLOOKUP($B23,[1]comp_ITUC!$B$2:$B$150,[1]comp_ITUC!$D$2:$D$150,"",0),_xlpm.up,_xlfn.XLOOKUP("ITUC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23" s="11">
        <f t="shared" si="0"/>
        <v>29.2</v>
      </c>
      <c r="K23" s="11">
        <f t="shared" si="1"/>
        <v>47.644999999999996</v>
      </c>
      <c r="L23" s="11">
        <f>IF(ISNUMBER(F23),_xlfn.LET(_xlpm.x,MAX(0,F23),_xlpm.bandOne,_xlfn.XLOOKUP("Unemployment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23" s="11">
        <f t="shared" si="2"/>
        <v>81.899999999999991</v>
      </c>
      <c r="N23" s="11">
        <f>IF(ISNUMBER(H23),_xlfn.LET(_xlpm.cap,_xlfn.XLOOKUP("Coal exposure log1p ceiling",Params!$F:$F,Params!$G:$G),IF(_xlpm.cap=0,100,100-LN(1+MAX(0,MIN(H23,_xlpm.cap)))/LN(1+_xlpm.cap)*100)),"")</f>
        <v>12.607297662625697</v>
      </c>
      <c r="O23" s="123">
        <f t="shared" si="3"/>
        <v>48.440249999999999</v>
      </c>
    </row>
    <row r="24" spans="1:17" ht="20" customHeight="1">
      <c r="A24" s="35" t="str">
        <v>Mexico</v>
      </c>
      <c r="B24" s="35" t="str">
        <v>MEX</v>
      </c>
      <c r="C24" s="58">
        <f>IF($B24="","",_xlfn.XLOOKUP($B24,[1]pillars_WIP!$B$7:$B$116,[1]pillars_WIP!$AI$7:$AI$116,"Missing",0))</f>
        <v>4</v>
      </c>
      <c r="D24" s="33">
        <f>IF($B24="","",_xlfn.XLOOKUP($B24,[1]pillars_WIP!$B$7:$B$116,[1]pillars_WIP!$AJ$7:$AJ$116,"Missing",0))</f>
        <v>80.8</v>
      </c>
      <c r="E24" s="33">
        <f>IF($B24="","",_xlfn.XLOOKUP($B24,[1]pillars_WIP!$B$7:$B$116,[1]pillars_WIP!$AL$7:$AL$116,"Missing",0))</f>
        <v>80.135000000000005</v>
      </c>
      <c r="F24" s="33">
        <f>IF($B24="","",_xlfn.XLOOKUP($B24,[1]pillars_WIP!$B$7:$B$116,[1]pillars_WIP!$AM$7:$AM$116,"Missing",0))</f>
        <v>2.6779999999999999</v>
      </c>
      <c r="G24" s="33">
        <f>IF($B24="","",_xlfn.XLOOKUP($B24,[1]pillars_WIP!$B$7:$B$116,[1]pillars_WIP!$AK$7:$AK$116,"Missing",0))</f>
        <v>0.78900000000000003</v>
      </c>
      <c r="H24" s="33">
        <f>IF($B24="","",_xlfn.XLOOKUP($B24,[1]pillars_WIP!$B$7:$B$116,[1]pillars_WIP!$AN$7:$AN$116,"Missing",0))</f>
        <v>41.097039701062364</v>
      </c>
      <c r="I24" s="11">
        <f>_xlfn.LET(_xlpm.r,IF(C24="5+",6,IFERROR(1*C24,"")),IF(_xlpm.r="","",_xlfn.LET(_xlpm.base,MAX(0,(6-_xlpm.r)*20),_xlpm.trend,_xlfn.XLOOKUP($B24,[1]comp_ITUC!$B$2:$B$150,[1]comp_ITUC!$D$2:$D$150,"",0),_xlpm.up,_xlfn.XLOOKUP("ITUC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35</v>
      </c>
      <c r="J24" s="11">
        <f t="shared" si="0"/>
        <v>80.8</v>
      </c>
      <c r="K24" s="11">
        <f t="shared" si="1"/>
        <v>80.135000000000005</v>
      </c>
      <c r="L24" s="11">
        <f>IF(ISNUMBER(F24),_xlfn.LET(_xlpm.x,MAX(0,F24),_xlpm.bandOne,_xlfn.XLOOKUP("Unemployment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24" s="11">
        <f t="shared" si="2"/>
        <v>78.900000000000006</v>
      </c>
      <c r="N24" s="11">
        <f>IF(ISNUMBER(H24),_xlfn.LET(_xlpm.cap,_xlfn.XLOOKUP("Coal exposure log1p ceiling",Params!$F:$F,Params!$G:$G),IF(_xlpm.cap=0,100,100-LN(1+MAX(0,MIN(H24,_xlpm.cap)))/LN(1+_xlpm.cap)*100)),"")</f>
        <v>44.840950826326505</v>
      </c>
      <c r="O24" s="123">
        <f t="shared" si="3"/>
        <v>68.310750000000013</v>
      </c>
    </row>
    <row r="25" spans="1:17" ht="20" customHeight="1">
      <c r="A25" s="35" t="str">
        <v>Mongolia</v>
      </c>
      <c r="B25" s="35" t="str">
        <v>MNG</v>
      </c>
      <c r="C25" s="102">
        <v>3</v>
      </c>
      <c r="D25" s="33">
        <f>IF($B25="","",_xlfn.XLOOKUP($B25,[1]pillars_WIP!$B$7:$B$116,[1]pillars_WIP!$AJ$7:$AJ$116,"Missing",0))</f>
        <v>93.5</v>
      </c>
      <c r="E25" s="33">
        <f>IF($B25="","",_xlfn.XLOOKUP($B25,[1]pillars_WIP!$B$7:$B$116,[1]pillars_WIP!$AL$7:$AL$116,"Missing",0))</f>
        <v>86.92</v>
      </c>
      <c r="F25" s="33">
        <f>IF($B25="","",_xlfn.XLOOKUP($B25,[1]pillars_WIP!$B$7:$B$116,[1]pillars_WIP!$AM$7:$AM$116,"Missing",0))</f>
        <v>5.1580000000000004</v>
      </c>
      <c r="G25" s="33">
        <f>IF($B25="","",_xlfn.XLOOKUP($B25,[1]pillars_WIP!$B$7:$B$116,[1]pillars_WIP!$AK$7:$AK$116,"Missing",0))</f>
        <v>0.747</v>
      </c>
      <c r="H25" s="33">
        <f>IF($B25="","",_xlfn.XLOOKUP($B25,[1]pillars_WIP!$B$7:$B$116,[1]pillars_WIP!$AN$7:$AN$116,"Missing",0))</f>
        <v>367.39798251696271</v>
      </c>
      <c r="I25" s="85">
        <f>_xlfn.LET(_xlpm.r,IF(C25="5+",6,IFERROR(1*C25,"")),IF(_xlpm.r="","",_xlfn.LET(_xlpm.base,MAX(0,(6-_xlpm.r)*20),_xlpm.trend,_xlfn.XLOOKUP($B25,[1]comp_ITUC!$B$2:$B$150,[1]comp_ITUC!$D$2:$D$150,"",0),_xlpm.up,_xlfn.XLOOKUP("ITUC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25" s="11">
        <f t="shared" si="0"/>
        <v>93.5</v>
      </c>
      <c r="K25" s="11">
        <f t="shared" si="1"/>
        <v>86.92</v>
      </c>
      <c r="L25" s="11">
        <f>IF(ISNUMBER(F25),_xlfn.LET(_xlpm.x,MAX(0,F25),_xlpm.bandOne,_xlfn.XLOOKUP("Unemployment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25" s="11">
        <f t="shared" si="2"/>
        <v>74.7</v>
      </c>
      <c r="N25" s="11">
        <f>IF(ISNUMBER(H25),_xlfn.LET(_xlpm.cap,_xlfn.XLOOKUP("Coal exposure log1p ceiling",Params!$F:$F,Params!$G:$G),IF(_xlpm.cap=0,100,100-LN(1+MAX(0,MIN(H25,_xlpm.cap)))/LN(1+_xlpm.cap)*100)),"")</f>
        <v>12.848709668761501</v>
      </c>
      <c r="O25" s="174">
        <f t="shared" si="3"/>
        <v>75.114000000000004</v>
      </c>
    </row>
    <row r="26" spans="1:17" ht="20" customHeight="1">
      <c r="A26" s="35" t="str">
        <v>Morocco</v>
      </c>
      <c r="B26" s="35" t="str">
        <v>MAR</v>
      </c>
      <c r="C26" s="58">
        <f>IF($B26="","",_xlfn.XLOOKUP($B26,[1]pillars_WIP!$B$7:$B$116,[1]pillars_WIP!$AI$7:$AI$116,"Missing",0))</f>
        <v>3</v>
      </c>
      <c r="D26" s="33">
        <f>IF($B26="","",_xlfn.XLOOKUP($B26,[1]pillars_WIP!$B$7:$B$116,[1]pillars_WIP!$AJ$7:$AJ$116,"Missing",0))</f>
        <v>20.5</v>
      </c>
      <c r="E26" s="33">
        <f>IF($B26="","",_xlfn.XLOOKUP($B26,[1]pillars_WIP!$B$7:$B$116,[1]pillars_WIP!$AL$7:$AL$116,"Missing",0))</f>
        <v>38.174999999999997</v>
      </c>
      <c r="F26" s="33">
        <f>IF($B26="","",_xlfn.XLOOKUP($B26,[1]pillars_WIP!$B$7:$B$116,[1]pillars_WIP!$AM$7:$AM$116,"Missing",0))</f>
        <v>9.1029999999999998</v>
      </c>
      <c r="G26" s="33">
        <f>IF($B26="","",_xlfn.XLOOKUP($B26,[1]pillars_WIP!$B$7:$B$116,[1]pillars_WIP!$AK$7:$AK$116,"Missing",0))</f>
        <v>0.71</v>
      </c>
      <c r="H26" s="33">
        <f>IF($B26="","",_xlfn.XLOOKUP($B26,[1]pillars_WIP!$B$7:$B$116,[1]pillars_WIP!$AN$7:$AN$116,"Missing",0))</f>
        <v>107.45467320557589</v>
      </c>
      <c r="I26" s="11">
        <f>_xlfn.LET(_xlpm.r,IF(C26="5+",6,IFERROR(1*C26,"")),IF(_xlpm.r="","",_xlfn.LET(_xlpm.base,MAX(0,(6-_xlpm.r)*20),_xlpm.trend,_xlfn.XLOOKUP($B26,[1]comp_ITUC!$B$2:$B$150,[1]comp_ITUC!$D$2:$D$150,"",0),_xlpm.up,_xlfn.XLOOKUP("ITUC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26" s="11">
        <f t="shared" si="0"/>
        <v>20.5</v>
      </c>
      <c r="K26" s="11">
        <f t="shared" si="1"/>
        <v>38.174999999999997</v>
      </c>
      <c r="L26" s="11">
        <f>IF(ISNUMBER(F26),_xlfn.LET(_xlpm.x,MAX(0,F26),_xlpm.bandOne,_xlfn.XLOOKUP("Unemployment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26" s="11">
        <f t="shared" si="2"/>
        <v>71</v>
      </c>
      <c r="N26" s="11">
        <f>IF(ISNUMBER(H26),_xlfn.LET(_xlpm.cap,_xlfn.XLOOKUP("Coal exposure log1p ceiling",Params!$F:$F,Params!$G:$G),IF(_xlpm.cap=0,100,100-LN(1+MAX(0,MIN(H26,_xlpm.cap)))/LN(1+_xlpm.cap)*100)),"")</f>
        <v>30.88363749518345</v>
      </c>
      <c r="O26" s="123">
        <f t="shared" si="3"/>
        <v>53.178750000000001</v>
      </c>
    </row>
    <row r="27" spans="1:17" ht="20" customHeight="1">
      <c r="A27" s="35" t="str">
        <v>North Korea</v>
      </c>
      <c r="B27" s="35" t="str">
        <v>PRK</v>
      </c>
      <c r="C27" s="82" t="s">
        <v>746</v>
      </c>
      <c r="D27" s="82">
        <v>75.599999999999994</v>
      </c>
      <c r="E27" s="82">
        <v>58.05</v>
      </c>
      <c r="F27" s="33">
        <f>IF($B27="","",_xlfn.XLOOKUP($B27,[1]pillars_WIP!$B$7:$B$116,[1]pillars_WIP!$AM$7:$AM$116,"Missing",0))</f>
        <v>3.5390000000000001</v>
      </c>
      <c r="G27" s="82">
        <v>0.71199999999999997</v>
      </c>
      <c r="H27" s="33">
        <f>IF($B27="","",_xlfn.XLOOKUP($B27,[1]pillars_WIP!$B$7:$B$116,[1]pillars_WIP!$AN$7:$AN$116,"Missing",0))</f>
        <v>122.64695681011945</v>
      </c>
      <c r="I27" s="85">
        <f>_xlfn.LET(_xlpm.r,IF(C27="5+",6,IFERROR(1*C27,"")),IF(_xlpm.r="","",_xlfn.LET(_xlpm.base,MAX(0,(6-_xlpm.r)*20),_xlpm.trend,_xlfn.XLOOKUP($B27,[1]comp_ITUC!$B$2:$B$150,[1]comp_ITUC!$D$2:$D$150,"",0),_xlpm.up,_xlfn.XLOOKUP("ITUC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0</v>
      </c>
      <c r="J27" s="85">
        <f t="shared" si="0"/>
        <v>75.599999999999994</v>
      </c>
      <c r="K27" s="85">
        <f t="shared" si="1"/>
        <v>58.05</v>
      </c>
      <c r="L27" s="11">
        <f>IF(ISNUMBER(F27),_xlfn.LET(_xlpm.x,MAX(0,F27),_xlpm.bandOne,_xlfn.XLOOKUP("Unemployment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27" s="11">
        <f t="shared" si="2"/>
        <v>71.2</v>
      </c>
      <c r="N27" s="11">
        <f>IF(ISNUMBER(H27),_xlfn.LET(_xlpm.cap,_xlfn.XLOOKUP("Coal exposure log1p ceiling",Params!$F:$F,Params!$G:$G),IF(_xlpm.cap=0,100,100-LN(1+MAX(0,MIN(H27,_xlpm.cap)))/LN(1+_xlpm.cap)*100)),"")</f>
        <v>28.95013810401538</v>
      </c>
      <c r="O27" s="174">
        <f t="shared" si="3"/>
        <v>46.122500000000002</v>
      </c>
      <c r="Q27" s="174" t="s">
        <v>900</v>
      </c>
    </row>
    <row r="28" spans="1:17" ht="20" customHeight="1">
      <c r="A28" s="35" t="str">
        <v>Pakistan</v>
      </c>
      <c r="B28" s="35" t="str">
        <v>PAK</v>
      </c>
      <c r="C28" s="58">
        <f>IF($B28="","",_xlfn.XLOOKUP($B28,[1]pillars_WIP!$B$7:$B$116,[1]pillars_WIP!$AI$7:$AI$116,"Missing",0))</f>
        <v>5</v>
      </c>
      <c r="D28" s="33">
        <f>IF($B28="","",_xlfn.XLOOKUP($B28,[1]pillars_WIP!$B$7:$B$116,[1]pillars_WIP!$AJ$7:$AJ$116,"Missing",0))</f>
        <v>20.2</v>
      </c>
      <c r="E28" s="33">
        <f>IF($B28="","",_xlfn.XLOOKUP($B28,[1]pillars_WIP!$B$7:$B$116,[1]pillars_WIP!$AL$7:$AL$116,"Missing",0))</f>
        <v>32.17</v>
      </c>
      <c r="F28" s="33">
        <f>IF($B28="","",_xlfn.XLOOKUP($B28,[1]pillars_WIP!$B$7:$B$116,[1]pillars_WIP!$AM$7:$AM$116,"Missing",0))</f>
        <v>5.492</v>
      </c>
      <c r="G28" s="33">
        <f>IF($B28="","",_xlfn.XLOOKUP($B28,[1]pillars_WIP!$B$7:$B$116,[1]pillars_WIP!$AK$7:$AK$116,"Missing",0))</f>
        <v>0.54400000000000004</v>
      </c>
      <c r="H28" s="33">
        <f>IF($B28="","",_xlfn.XLOOKUP($B28,[1]pillars_WIP!$B$7:$B$116,[1]pillars_WIP!$AN$7:$AN$116,"Missing",0))</f>
        <v>33.149710324184468</v>
      </c>
      <c r="I28" s="11">
        <f>_xlfn.LET(_xlpm.r,IF(C28="5+",6,IFERROR(1*C28,"")),IF(_xlpm.r="","",_xlfn.LET(_xlpm.base,MAX(0,(6-_xlpm.r)*20),_xlpm.trend,_xlfn.XLOOKUP($B28,[1]comp_ITUC!$B$2:$B$150,[1]comp_ITUC!$D$2:$D$150,"",0),_xlpm.up,_xlfn.XLOOKUP("ITUC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28" s="11">
        <f t="shared" si="0"/>
        <v>20.2</v>
      </c>
      <c r="K28" s="11">
        <f t="shared" si="1"/>
        <v>32.17</v>
      </c>
      <c r="L28" s="11">
        <f>IF(ISNUMBER(F28),_xlfn.LET(_xlpm.x,MAX(0,F28),_xlpm.bandOne,_xlfn.XLOOKUP("Unemployment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28" s="11">
        <f t="shared" si="2"/>
        <v>54.400000000000006</v>
      </c>
      <c r="N28" s="11">
        <f>IF(ISNUMBER(H28),_xlfn.LET(_xlpm.cap,_xlfn.XLOOKUP("Coal exposure log1p ceiling",Params!$F:$F,Params!$G:$G),IF(_xlpm.cap=0,100,100-LN(1+MAX(0,MIN(H28,_xlpm.cap)))/LN(1+_xlpm.cap)*100)),"")</f>
        <v>47.926680505091731</v>
      </c>
      <c r="O28" s="123">
        <f t="shared" si="3"/>
        <v>36.476500000000001</v>
      </c>
    </row>
    <row r="29" spans="1:17" ht="20" customHeight="1">
      <c r="A29" s="35" t="str">
        <v>Philippines</v>
      </c>
      <c r="B29" s="35" t="str">
        <v>PHL</v>
      </c>
      <c r="C29" s="58">
        <f>IF($B29="","",_xlfn.XLOOKUP($B29,[1]pillars_WIP!$B$7:$B$116,[1]pillars_WIP!$AI$7:$AI$116,"Missing",0))</f>
        <v>5</v>
      </c>
      <c r="D29" s="33">
        <f>IF($B29="","",_xlfn.XLOOKUP($B29,[1]pillars_WIP!$B$7:$B$116,[1]pillars_WIP!$AJ$7:$AJ$116,"Missing",0))</f>
        <v>34.9</v>
      </c>
      <c r="E29" s="33">
        <f>IF($B29="","",_xlfn.XLOOKUP($B29,[1]pillars_WIP!$B$7:$B$116,[1]pillars_WIP!$AL$7:$AL$116,"Missing",0))</f>
        <v>47.884999999999998</v>
      </c>
      <c r="F29" s="33">
        <f>IF($B29="","",_xlfn.XLOOKUP($B29,[1]pillars_WIP!$B$7:$B$116,[1]pillars_WIP!$AM$7:$AM$116,"Missing",0))</f>
        <v>2.202</v>
      </c>
      <c r="G29" s="33">
        <f>IF($B29="","",_xlfn.XLOOKUP($B29,[1]pillars_WIP!$B$7:$B$116,[1]pillars_WIP!$AK$7:$AK$116,"Missing",0))</f>
        <v>0.72</v>
      </c>
      <c r="H29" s="33">
        <f>IF($B29="","",_xlfn.XLOOKUP($B29,[1]pillars_WIP!$B$7:$B$116,[1]pillars_WIP!$AN$7:$AN$116,"Missing",0))</f>
        <v>109.13328281122308</v>
      </c>
      <c r="I29" s="11">
        <f>_xlfn.LET(_xlpm.r,IF(C29="5+",6,IFERROR(1*C29,"")),IF(_xlpm.r="","",_xlfn.LET(_xlpm.base,MAX(0,(6-_xlpm.r)*20),_xlpm.trend,_xlfn.XLOOKUP($B29,[1]comp_ITUC!$B$2:$B$150,[1]comp_ITUC!$D$2:$D$150,"",0),_xlpm.up,_xlfn.XLOOKUP("ITUC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29" s="11">
        <f t="shared" si="0"/>
        <v>34.9</v>
      </c>
      <c r="K29" s="11">
        <f t="shared" si="1"/>
        <v>47.884999999999998</v>
      </c>
      <c r="L29" s="11">
        <f>IF(ISNUMBER(F29),_xlfn.LET(_xlpm.x,MAX(0,F29),_xlpm.bandOne,_xlfn.XLOOKUP("Unemployment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29" s="11">
        <f t="shared" si="2"/>
        <v>72</v>
      </c>
      <c r="N29" s="11">
        <f>IF(ISNUMBER(H29),_xlfn.LET(_xlpm.cap,_xlfn.XLOOKUP("Coal exposure log1p ceiling",Params!$F:$F,Params!$G:$G),IF(_xlpm.cap=0,100,100-LN(1+MAX(0,MIN(H29,_xlpm.cap)))/LN(1+_xlpm.cap)*100)),"")</f>
        <v>30.657115802260478</v>
      </c>
      <c r="O29" s="123">
        <f t="shared" si="3"/>
        <v>48.548249999999996</v>
      </c>
    </row>
    <row r="30" spans="1:17" ht="20" customHeight="1">
      <c r="A30" s="35" t="str">
        <v>Poland</v>
      </c>
      <c r="B30" s="35" t="str">
        <v>POL</v>
      </c>
      <c r="C30" s="58">
        <f>IF($B30="","",_xlfn.XLOOKUP($B30,[1]pillars_WIP!$B$7:$B$116,[1]pillars_WIP!$AI$7:$AI$116,"Missing",0))</f>
        <v>3</v>
      </c>
      <c r="D30" s="33">
        <f>IF($B30="","",_xlfn.XLOOKUP($B30,[1]pillars_WIP!$B$7:$B$116,[1]pillars_WIP!$AJ$7:$AJ$116,"Missing",0))</f>
        <v>84.2</v>
      </c>
      <c r="E30" s="33">
        <f>IF($B30="","",_xlfn.XLOOKUP($B30,[1]pillars_WIP!$B$7:$B$116,[1]pillars_WIP!$AL$7:$AL$116,"Missing",0))</f>
        <v>86.44</v>
      </c>
      <c r="F30" s="33">
        <f>IF($B30="","",_xlfn.XLOOKUP($B30,[1]pillars_WIP!$B$7:$B$116,[1]pillars_WIP!$AM$7:$AM$116,"Missing",0))</f>
        <v>2.8069999999999999</v>
      </c>
      <c r="G30" s="33">
        <f>IF($B30="","",_xlfn.XLOOKUP($B30,[1]pillars_WIP!$B$7:$B$116,[1]pillars_WIP!$AK$7:$AK$116,"Missing",0))</f>
        <v>0.90600000000000003</v>
      </c>
      <c r="H30" s="33">
        <f>IF($B30="","",_xlfn.XLOOKUP($B30,[1]pillars_WIP!$B$7:$B$116,[1]pillars_WIP!$AN$7:$AN$116,"Missing",0))</f>
        <v>745.69398105261132</v>
      </c>
      <c r="I30" s="11">
        <f>_xlfn.LET(_xlpm.r,IF(C30="5+",6,IFERROR(1*C30,"")),IF(_xlpm.r="","",_xlfn.LET(_xlpm.base,MAX(0,(6-_xlpm.r)*20),_xlpm.trend,_xlfn.XLOOKUP($B30,[1]comp_ITUC!$B$2:$B$150,[1]comp_ITUC!$D$2:$D$150,"",0),_xlpm.up,_xlfn.XLOOKUP("ITUC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30" s="11">
        <f t="shared" si="0"/>
        <v>84.2</v>
      </c>
      <c r="K30" s="11">
        <f t="shared" si="1"/>
        <v>86.44</v>
      </c>
      <c r="L30" s="11">
        <f>IF(ISNUMBER(F30),_xlfn.LET(_xlpm.x,MAX(0,F30),_xlpm.bandOne,_xlfn.XLOOKUP("Unemployment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30" s="11">
        <f t="shared" si="2"/>
        <v>90.600000000000009</v>
      </c>
      <c r="N30" s="11">
        <f>IF(ISNUMBER(H30),_xlfn.LET(_xlpm.cap,_xlfn.XLOOKUP("Coal exposure log1p ceiling",Params!$F:$F,Params!$G:$G),IF(_xlpm.cap=0,100,100-LN(1+MAX(0,MIN(H30,_xlpm.cap)))/LN(1+_xlpm.cap)*100)),"")</f>
        <v>2.4290196506288879</v>
      </c>
      <c r="O30" s="123">
        <f t="shared" si="3"/>
        <v>79.897999999999996</v>
      </c>
    </row>
    <row r="31" spans="1:17" ht="20" customHeight="1">
      <c r="A31" s="35" t="str">
        <v>Russia</v>
      </c>
      <c r="B31" s="35" t="str">
        <v>RUS</v>
      </c>
      <c r="C31" s="58">
        <f>IF($B31="","",_xlfn.XLOOKUP($B31,[1]pillars_WIP!$B$7:$B$116,[1]pillars_WIP!$AI$7:$AI$116,"Missing",0))</f>
        <v>5</v>
      </c>
      <c r="D31" s="33">
        <f>IF($B31="","",_xlfn.XLOOKUP($B31,[1]pillars_WIP!$B$7:$B$116,[1]pillars_WIP!$AJ$7:$AJ$116,"Missing",0))</f>
        <v>95.4</v>
      </c>
      <c r="E31" s="33">
        <f>IF($B31="","",_xlfn.XLOOKUP($B31,[1]pillars_WIP!$B$7:$B$116,[1]pillars_WIP!$AL$7:$AL$116,"Missing",0))</f>
        <v>91.13</v>
      </c>
      <c r="F31" s="33">
        <f>IF($B31="","",_xlfn.XLOOKUP($B31,[1]pillars_WIP!$B$7:$B$116,[1]pillars_WIP!$AM$7:$AM$116,"Missing",0))</f>
        <v>2.4300000000000002</v>
      </c>
      <c r="G31" s="33">
        <f>IF($B31="","",_xlfn.XLOOKUP($B31,[1]pillars_WIP!$B$7:$B$116,[1]pillars_WIP!$AK$7:$AK$116,"Missing",0))</f>
        <v>0.83199999999999996</v>
      </c>
      <c r="H31" s="33">
        <f>IF($B31="","",_xlfn.XLOOKUP($B31,[1]pillars_WIP!$B$7:$B$116,[1]pillars_WIP!$AN$7:$AN$116,"Missing",0))</f>
        <v>259.12354291950265</v>
      </c>
      <c r="I31" s="11">
        <f>_xlfn.LET(_xlpm.r,IF(C31="5+",6,IFERROR(1*C31,"")),IF(_xlpm.r="","",_xlfn.LET(_xlpm.base,MAX(0,(6-_xlpm.r)*20),_xlpm.trend,_xlfn.XLOOKUP($B31,[1]comp_ITUC!$B$2:$B$150,[1]comp_ITUC!$D$2:$D$150,"",0),_xlpm.up,_xlfn.XLOOKUP("ITUC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15</v>
      </c>
      <c r="J31" s="11">
        <f t="shared" si="0"/>
        <v>95.4</v>
      </c>
      <c r="K31" s="11">
        <f t="shared" si="1"/>
        <v>91.13</v>
      </c>
      <c r="L31" s="11">
        <f>IF(ISNUMBER(F31),_xlfn.LET(_xlpm.x,MAX(0,F31),_xlpm.bandOne,_xlfn.XLOOKUP("Unemployment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31" s="11">
        <f t="shared" si="2"/>
        <v>83.2</v>
      </c>
      <c r="N31" s="11">
        <f>IF(ISNUMBER(H31),_xlfn.LET(_xlpm.cap,_xlfn.XLOOKUP("Coal exposure log1p ceiling",Params!$F:$F,Params!$G:$G),IF(_xlpm.cap=0,100,100-LN(1+MAX(0,MIN(H31,_xlpm.cap)))/LN(1+_xlpm.cap)*100)),"")</f>
        <v>17.981292314261893</v>
      </c>
      <c r="O31" s="123">
        <f t="shared" si="3"/>
        <v>66.258499999999998</v>
      </c>
    </row>
    <row r="32" spans="1:17" ht="20" customHeight="1">
      <c r="A32" s="35" t="str">
        <v>Serbia</v>
      </c>
      <c r="B32" s="35" t="str">
        <v>SRB</v>
      </c>
      <c r="C32" s="58">
        <f>IF($B32="","",_xlfn.XLOOKUP($B32,[1]pillars_WIP!$B$7:$B$116,[1]pillars_WIP!$AI$7:$AI$116,"Missing",0))</f>
        <v>4</v>
      </c>
      <c r="D32" s="33">
        <f>IF($B32="","",_xlfn.XLOOKUP($B32,[1]pillars_WIP!$B$7:$B$116,[1]pillars_WIP!$AJ$7:$AJ$116,"Missing",0))</f>
        <v>65.400000000000006</v>
      </c>
      <c r="E32" s="33">
        <f>IF($B32="","",_xlfn.XLOOKUP($B32,[1]pillars_WIP!$B$7:$B$116,[1]pillars_WIP!$AL$7:$AL$116,"Missing",0))</f>
        <v>71.665000000000006</v>
      </c>
      <c r="F32" s="33">
        <f>IF($B32="","",_xlfn.XLOOKUP($B32,[1]pillars_WIP!$B$7:$B$116,[1]pillars_WIP!$AM$7:$AM$116,"Missing",0))</f>
        <v>7.24</v>
      </c>
      <c r="G32" s="33">
        <f>IF($B32="","",_xlfn.XLOOKUP($B32,[1]pillars_WIP!$B$7:$B$116,[1]pillars_WIP!$AK$7:$AK$116,"Missing",0))</f>
        <v>0.83299999999999996</v>
      </c>
      <c r="H32" s="33">
        <f>IF($B32="","",_xlfn.XLOOKUP($B32,[1]pillars_WIP!$B$7:$B$116,[1]pillars_WIP!$AN$7:$AN$116,"Missing",0))</f>
        <v>726.48864127038496</v>
      </c>
      <c r="I32" s="11">
        <f>_xlfn.LET(_xlpm.r,IF(C32="5+",6,IFERROR(1*C32,"")),IF(_xlpm.r="","",_xlfn.LET(_xlpm.base,MAX(0,(6-_xlpm.r)*20),_xlpm.trend,_xlfn.XLOOKUP($B32,[1]comp_ITUC!$B$2:$B$150,[1]comp_ITUC!$D$2:$D$150,"",0),_xlpm.up,_xlfn.XLOOKUP("ITUC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40</v>
      </c>
      <c r="J32" s="11">
        <f t="shared" si="0"/>
        <v>65.400000000000006</v>
      </c>
      <c r="K32" s="11">
        <f t="shared" si="1"/>
        <v>71.665000000000006</v>
      </c>
      <c r="L32" s="11">
        <f>IF(ISNUMBER(F32),_xlfn.LET(_xlpm.x,MAX(0,F32),_xlpm.bandOne,_xlfn.XLOOKUP("Unemployment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32" s="11">
        <f t="shared" si="2"/>
        <v>83.3</v>
      </c>
      <c r="N32" s="11">
        <f>IF(ISNUMBER(H32),_xlfn.LET(_xlpm.cap,_xlfn.XLOOKUP("Coal exposure log1p ceiling",Params!$F:$F,Params!$G:$G),IF(_xlpm.cap=0,100,100-LN(1+MAX(0,MIN(H32,_xlpm.cap)))/LN(1+_xlpm.cap)*100)),"")</f>
        <v>2.8133220234356173</v>
      </c>
      <c r="O32" s="123">
        <f t="shared" si="3"/>
        <v>61.249250000000004</v>
      </c>
    </row>
    <row r="33" spans="1:17" ht="20" customHeight="1">
      <c r="A33" s="35" t="str">
        <v>South Africa</v>
      </c>
      <c r="B33" s="35" t="str">
        <v>ZAF</v>
      </c>
      <c r="C33" s="58">
        <f>IF($B33="","",_xlfn.XLOOKUP($B33,[1]pillars_WIP!$B$7:$B$116,[1]pillars_WIP!$AI$7:$AI$116,"Missing",0))</f>
        <v>3</v>
      </c>
      <c r="D33" s="33">
        <f>IF($B33="","",_xlfn.XLOOKUP($B33,[1]pillars_WIP!$B$7:$B$116,[1]pillars_WIP!$AJ$7:$AJ$116,"Missing",0))</f>
        <v>49.3</v>
      </c>
      <c r="E33" s="33">
        <f>IF($B33="","",_xlfn.XLOOKUP($B33,[1]pillars_WIP!$B$7:$B$116,[1]pillars_WIP!$AL$7:$AL$116,"Missing",0))</f>
        <v>57.98</v>
      </c>
      <c r="F33" s="33">
        <f>IF($B33="","",_xlfn.XLOOKUP($B33,[1]pillars_WIP!$B$7:$B$116,[1]pillars_WIP!$AM$7:$AM$116,"Missing",0))</f>
        <v>32.279000000000003</v>
      </c>
      <c r="G33" s="33">
        <f>IF($B33="","",_xlfn.XLOOKUP($B33,[1]pillars_WIP!$B$7:$B$116,[1]pillars_WIP!$AK$7:$AK$116,"Missing",0))</f>
        <v>0.74099999999999999</v>
      </c>
      <c r="H33" s="33">
        <f>IF($B33="","",_xlfn.XLOOKUP($B33,[1]pillars_WIP!$B$7:$B$116,[1]pillars_WIP!$AN$7:$AN$116,"Missing",0))</f>
        <v>703.42257034354589</v>
      </c>
      <c r="I33" s="11">
        <f>_xlfn.LET(_xlpm.r,IF(C33="5+",6,IFERROR(1*C33,"")),IF(_xlpm.r="","",_xlfn.LET(_xlpm.base,MAX(0,(6-_xlpm.r)*20),_xlpm.trend,_xlfn.XLOOKUP($B33,[1]comp_ITUC!$B$2:$B$150,[1]comp_ITUC!$D$2:$D$150,"",0),_xlpm.up,_xlfn.XLOOKUP("ITUC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60</v>
      </c>
      <c r="J33" s="11">
        <f t="shared" si="0"/>
        <v>49.3</v>
      </c>
      <c r="K33" s="11">
        <f t="shared" si="1"/>
        <v>57.98</v>
      </c>
      <c r="L33" s="11">
        <f>IF(ISNUMBER(F33),_xlfn.LET(_xlpm.x,MAX(0,F33),_xlpm.bandOne,_xlfn.XLOOKUP("Unemployment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0</v>
      </c>
      <c r="M33" s="11">
        <f t="shared" si="2"/>
        <v>74.099999999999994</v>
      </c>
      <c r="N33" s="11">
        <f>IF(ISNUMBER(H33),_xlfn.LET(_xlpm.cap,_xlfn.XLOOKUP("Coal exposure log1p ceiling",Params!$F:$F,Params!$G:$G),IF(_xlpm.cap=0,100,100-LN(1+MAX(0,MIN(H33,_xlpm.cap)))/LN(1+_xlpm.cap)*100)),"")</f>
        <v>3.2885181465653943</v>
      </c>
      <c r="O33" s="123">
        <f t="shared" si="3"/>
        <v>47.090999999999994</v>
      </c>
    </row>
    <row r="34" spans="1:17" ht="20" customHeight="1">
      <c r="A34" s="35" t="str">
        <v>South Korea</v>
      </c>
      <c r="B34" s="35" t="str">
        <v>KOR</v>
      </c>
      <c r="C34" s="58">
        <f>IF($B34="","",_xlfn.XLOOKUP($B34,[1]pillars_WIP!$B$7:$B$116,[1]pillars_WIP!$AI$7:$AI$116,"Missing",0))</f>
        <v>5</v>
      </c>
      <c r="D34" s="33">
        <f>IF($B34="","",_xlfn.XLOOKUP($B34,[1]pillars_WIP!$B$7:$B$116,[1]pillars_WIP!$AJ$7:$AJ$116,"Missing",0))</f>
        <v>80.2</v>
      </c>
      <c r="E34" s="33">
        <f>IF($B34="","",_xlfn.XLOOKUP($B34,[1]pillars_WIP!$B$7:$B$116,[1]pillars_WIP!$AL$7:$AL$116,"Missing",0))</f>
        <v>84.925000000000011</v>
      </c>
      <c r="F34" s="33">
        <f>IF($B34="","",_xlfn.XLOOKUP($B34,[1]pillars_WIP!$B$7:$B$116,[1]pillars_WIP!$AM$7:$AM$116,"Missing",0))</f>
        <v>2.7839999999999998</v>
      </c>
      <c r="G34" s="33">
        <f>IF($B34="","",_xlfn.XLOOKUP($B34,[1]pillars_WIP!$B$7:$B$116,[1]pillars_WIP!$AK$7:$AK$116,"Missing",0))</f>
        <v>0.93700000000000006</v>
      </c>
      <c r="H34" s="33">
        <f>IF($B34="","",_xlfn.XLOOKUP($B34,[1]pillars_WIP!$B$7:$B$116,[1]pillars_WIP!$AN$7:$AN$116,"Missing",0))</f>
        <v>806.65006604211919</v>
      </c>
      <c r="I34" s="11">
        <f>_xlfn.LET(_xlpm.r,IF(C34="5+",6,IFERROR(1*C34,"")),IF(_xlpm.r="","",_xlfn.LET(_xlpm.base,MAX(0,(6-_xlpm.r)*20),_xlpm.trend,_xlfn.XLOOKUP($B34,[1]comp_ITUC!$B$2:$B$150,[1]comp_ITUC!$D$2:$D$150,"",0),_xlpm.up,_xlfn.XLOOKUP("ITUC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34" s="11">
        <f t="shared" si="0"/>
        <v>80.2</v>
      </c>
      <c r="K34" s="11">
        <f t="shared" si="1"/>
        <v>84.925000000000011</v>
      </c>
      <c r="L34" s="11">
        <f>IF(ISNUMBER(F34),_xlfn.LET(_xlpm.x,MAX(0,F34),_xlpm.bandOne,_xlfn.XLOOKUP("Unemployment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34" s="11">
        <f t="shared" si="2"/>
        <v>93.7</v>
      </c>
      <c r="N34" s="11">
        <f>IF(ISNUMBER(H34),_xlfn.LET(_xlpm.cap,_xlfn.XLOOKUP("Coal exposure log1p ceiling",Params!$F:$F,Params!$G:$G),IF(_xlpm.cap=0,100,100-LN(1+MAX(0,MIN(H34,_xlpm.cap)))/LN(1+_xlpm.cap)*100)),"")</f>
        <v>1.2716542727186777</v>
      </c>
      <c r="O34" s="123">
        <f t="shared" si="3"/>
        <v>65.216250000000002</v>
      </c>
    </row>
    <row r="35" spans="1:17" ht="20" customHeight="1">
      <c r="A35" s="35" t="str">
        <v>Sri Lanka</v>
      </c>
      <c r="B35" s="35" t="str">
        <v>LKA</v>
      </c>
      <c r="C35" s="58">
        <f>IF($B35="","",_xlfn.XLOOKUP($B35,[1]pillars_WIP!$B$7:$B$116,[1]pillars_WIP!$AI$7:$AI$116,"Missing",0))</f>
        <v>4</v>
      </c>
      <c r="D35" s="33">
        <f>IF($B35="","",_xlfn.XLOOKUP($B35,[1]pillars_WIP!$B$7:$B$116,[1]pillars_WIP!$AJ$7:$AJ$116,"Missing",0))</f>
        <v>41.3</v>
      </c>
      <c r="E35" s="33">
        <f>IF($B35="","",_xlfn.XLOOKUP($B35,[1]pillars_WIP!$B$7:$B$116,[1]pillars_WIP!$AL$7:$AL$116,"Missing",0))</f>
        <v>54.004999999999995</v>
      </c>
      <c r="F35" s="33">
        <f>IF($B35="","",_xlfn.XLOOKUP($B35,[1]pillars_WIP!$B$7:$B$116,[1]pillars_WIP!$AM$7:$AM$116,"Missing",0))</f>
        <v>4.2389999999999999</v>
      </c>
      <c r="G35" s="33">
        <f>IF($B35="","",_xlfn.XLOOKUP($B35,[1]pillars_WIP!$B$7:$B$116,[1]pillars_WIP!$AK$7:$AK$116,"Missing",0))</f>
        <v>0.77600000000000002</v>
      </c>
      <c r="H35" s="33">
        <f>IF($B35="","",_xlfn.XLOOKUP($B35,[1]pillars_WIP!$B$7:$B$116,[1]pillars_WIP!$AN$7:$AN$116,"Missing",0))</f>
        <v>41.065887935754702</v>
      </c>
      <c r="I35" s="11">
        <f>_xlfn.LET(_xlpm.r,IF(C35="5+",6,IFERROR(1*C35,"")),IF(_xlpm.r="","",_xlfn.LET(_xlpm.base,MAX(0,(6-_xlpm.r)*20),_xlpm.trend,_xlfn.XLOOKUP($B35,[1]comp_ITUC!$B$2:$B$150,[1]comp_ITUC!$D$2:$D$150,"",0),_xlpm.up,_xlfn.XLOOKUP("ITUC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40</v>
      </c>
      <c r="J35" s="11">
        <f t="shared" si="0"/>
        <v>41.3</v>
      </c>
      <c r="K35" s="11">
        <f t="shared" si="1"/>
        <v>54.004999999999995</v>
      </c>
      <c r="L35" s="11">
        <f>IF(ISNUMBER(F35),_xlfn.LET(_xlpm.x,MAX(0,F35),_xlpm.bandOne,_xlfn.XLOOKUP("Unemployment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35" s="11">
        <f t="shared" si="2"/>
        <v>77.600000000000009</v>
      </c>
      <c r="N35" s="11">
        <f>IF(ISNUMBER(H35),_xlfn.LET(_xlpm.cap,_xlfn.XLOOKUP("Coal exposure log1p ceiling",Params!$F:$F,Params!$G:$G),IF(_xlpm.cap=0,100,100-LN(1+MAX(0,MIN(H35,_xlpm.cap)))/LN(1+_xlpm.cap)*100)),"")</f>
        <v>44.851868739455789</v>
      </c>
      <c r="O35" s="123">
        <f t="shared" si="3"/>
        <v>58.302250000000001</v>
      </c>
    </row>
    <row r="36" spans="1:17" ht="20" customHeight="1">
      <c r="A36" s="35" t="str">
        <v>Taiwan, China</v>
      </c>
      <c r="B36" s="35" t="str">
        <v>TWN</v>
      </c>
      <c r="C36" s="58">
        <f>IF($B36="","",_xlfn.XLOOKUP($B36,[1]pillars_WIP!$B$7:$B$116,[1]pillars_WIP!$AI$7:$AI$116,"Missing",0))</f>
        <v>2</v>
      </c>
      <c r="D36" s="33">
        <f>IF($B36="","",_xlfn.XLOOKUP($B36,[1]pillars_WIP!$B$7:$B$116,[1]pillars_WIP!$AJ$7:$AJ$116,"Missing",0))</f>
        <v>78.400000000000006</v>
      </c>
      <c r="E36" s="82">
        <v>94.31</v>
      </c>
      <c r="F36" s="111">
        <v>3.2635000000000001</v>
      </c>
      <c r="G36" s="82">
        <v>0.93100000000000005</v>
      </c>
      <c r="H36" s="114">
        <v>23.213999999999999</v>
      </c>
      <c r="I36" s="11">
        <f>_xlfn.LET(_xlpm.r,IF(C36="5+",6,IFERROR(1*C36,"")),IF(_xlpm.r="","",_xlfn.LET(_xlpm.base,MAX(0,(6-_xlpm.r)*20),_xlpm.trend,_xlfn.XLOOKUP($B36,[1]comp_ITUC!$B$2:$B$150,[1]comp_ITUC!$D$2:$D$150,"",0),_xlpm.up,_xlfn.XLOOKUP("ITUC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80</v>
      </c>
      <c r="J36" s="11">
        <f t="shared" si="0"/>
        <v>78.400000000000006</v>
      </c>
      <c r="K36" s="85">
        <f t="shared" si="1"/>
        <v>94.31</v>
      </c>
      <c r="L36" s="85">
        <f>IF(ISNUMBER(F36),_xlfn.LET(_xlpm.x,MAX(0,F36),_xlpm.bandOne,_xlfn.XLOOKUP("Unemployment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36" s="11">
        <f t="shared" si="2"/>
        <v>93.100000000000009</v>
      </c>
      <c r="N36" s="11">
        <f>IF(ISNUMBER(H36),_xlfn.LET(_xlpm.cap,_xlfn.XLOOKUP("Coal exposure log1p ceiling",Params!$F:$F,Params!$G:$G),IF(_xlpm.cap=0,100,100-LN(1+MAX(0,MIN(H36,_xlpm.cap)))/LN(1+_xlpm.cap)*100)),"")</f>
        <v>52.997555147006601</v>
      </c>
      <c r="O36" s="174">
        <f t="shared" si="3"/>
        <v>90.43950000000001</v>
      </c>
      <c r="Q36" s="174" t="s">
        <v>921</v>
      </c>
    </row>
    <row r="37" spans="1:17" ht="20" customHeight="1">
      <c r="A37" s="35" t="str">
        <v>Thailand</v>
      </c>
      <c r="B37" s="35" t="str">
        <v>THA</v>
      </c>
      <c r="C37" s="58">
        <f>IF($B37="","",_xlfn.XLOOKUP($B37,[1]pillars_WIP!$B$7:$B$116,[1]pillars_WIP!$AI$7:$AI$116,"Missing",0))</f>
        <v>5</v>
      </c>
      <c r="D37" s="33">
        <f>IF($B37="","",_xlfn.XLOOKUP($B37,[1]pillars_WIP!$B$7:$B$116,[1]pillars_WIP!$AJ$7:$AJ$116,"Missing",0))</f>
        <v>70.099999999999994</v>
      </c>
      <c r="E37" s="33">
        <f>IF($B37="","",_xlfn.XLOOKUP($B37,[1]pillars_WIP!$B$7:$B$116,[1]pillars_WIP!$AL$7:$AL$116,"Missing",0))</f>
        <v>73.495000000000005</v>
      </c>
      <c r="F37" s="33">
        <f>IF($B37="","",_xlfn.XLOOKUP($B37,[1]pillars_WIP!$B$7:$B$116,[1]pillars_WIP!$AM$7:$AM$116,"Missing",0))</f>
        <v>0.78100000000000003</v>
      </c>
      <c r="G37" s="33">
        <f>IF($B37="","",_xlfn.XLOOKUP($B37,[1]pillars_WIP!$B$7:$B$116,[1]pillars_WIP!$AK$7:$AK$116,"Missing",0))</f>
        <v>0.79800000000000004</v>
      </c>
      <c r="H37" s="33">
        <f>IF($B37="","",_xlfn.XLOOKUP($B37,[1]pillars_WIP!$B$7:$B$116,[1]pillars_WIP!$AN$7:$AN$116,"Missing",0))</f>
        <v>81.458937098170608</v>
      </c>
      <c r="I37" s="11">
        <f>_xlfn.LET(_xlpm.r,IF(C37="5+",6,IFERROR(1*C37,"")),IF(_xlpm.r="","",_xlfn.LET(_xlpm.base,MAX(0,(6-_xlpm.r)*20),_xlpm.trend,_xlfn.XLOOKUP($B37,[1]comp_ITUC!$B$2:$B$150,[1]comp_ITUC!$D$2:$D$150,"",0),_xlpm.up,_xlfn.XLOOKUP("ITUC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37" s="11">
        <f t="shared" si="0"/>
        <v>70.099999999999994</v>
      </c>
      <c r="K37" s="11">
        <f t="shared" si="1"/>
        <v>73.495000000000005</v>
      </c>
      <c r="L37" s="11">
        <f>IF(ISNUMBER(F37),_xlfn.LET(_xlpm.x,MAX(0,F37),_xlpm.bandOne,_xlfn.XLOOKUP("Unemployment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37" s="11">
        <f t="shared" si="2"/>
        <v>79.800000000000011</v>
      </c>
      <c r="N37" s="11">
        <f>IF(ISNUMBER(H37),_xlfn.LET(_xlpm.cap,_xlfn.XLOOKUP("Coal exposure log1p ceiling",Params!$F:$F,Params!$G:$G),IF(_xlpm.cap=0,100,100-LN(1+MAX(0,MIN(H37,_xlpm.cap)))/LN(1+_xlpm.cap)*100)),"")</f>
        <v>34.925196249461479</v>
      </c>
      <c r="O37" s="123">
        <f t="shared" si="3"/>
        <v>60.072750000000006</v>
      </c>
    </row>
    <row r="38" spans="1:17" ht="20" customHeight="1">
      <c r="A38" s="35" t="str">
        <v>Türkiye</v>
      </c>
      <c r="B38" s="35" t="str">
        <v>TUR</v>
      </c>
      <c r="C38" s="58">
        <f>IF($B38="","",_xlfn.XLOOKUP($B38,[1]pillars_WIP!$B$7:$B$116,[1]pillars_WIP!$AI$7:$AI$116,"Missing",0))</f>
        <v>5</v>
      </c>
      <c r="D38" s="33">
        <f>IF($B38="","",_xlfn.XLOOKUP($B38,[1]pillars_WIP!$B$7:$B$116,[1]pillars_WIP!$AJ$7:$AJ$116,"Missing",0))</f>
        <v>64</v>
      </c>
      <c r="E38" s="33">
        <f>IF($B38="","",_xlfn.XLOOKUP($B38,[1]pillars_WIP!$B$7:$B$116,[1]pillars_WIP!$AL$7:$AL$116,"Missing",0))</f>
        <v>71.454999999999998</v>
      </c>
      <c r="F38" s="33">
        <f>IF($B38="","",_xlfn.XLOOKUP($B38,[1]pillars_WIP!$B$7:$B$116,[1]pillars_WIP!$AM$7:$AM$116,"Missing",0))</f>
        <v>8.8000000000000007</v>
      </c>
      <c r="G38" s="33">
        <f>IF($B38="","",_xlfn.XLOOKUP($B38,[1]pillars_WIP!$B$7:$B$116,[1]pillars_WIP!$AK$7:$AK$116,"Missing",0))</f>
        <v>0.85299999999999998</v>
      </c>
      <c r="H38" s="33">
        <f>IF($B38="","",_xlfn.XLOOKUP($B38,[1]pillars_WIP!$B$7:$B$116,[1]pillars_WIP!$AN$7:$AN$116,"Missing",0))</f>
        <v>239.40038069585773</v>
      </c>
      <c r="I38" s="11">
        <f>_xlfn.LET(_xlpm.r,IF(C38="5+",6,IFERROR(1*C38,"")),IF(_xlpm.r="","",_xlfn.LET(_xlpm.base,MAX(0,(6-_xlpm.r)*20),_xlpm.trend,_xlfn.XLOOKUP($B38,[1]comp_ITUC!$B$2:$B$150,[1]comp_ITUC!$D$2:$D$150,"",0),_xlpm.up,_xlfn.XLOOKUP("ITUC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20</v>
      </c>
      <c r="J38" s="11">
        <f t="shared" si="0"/>
        <v>64</v>
      </c>
      <c r="K38" s="11">
        <f t="shared" si="1"/>
        <v>71.454999999999998</v>
      </c>
      <c r="L38" s="11">
        <f>IF(ISNUMBER(F38),_xlfn.LET(_xlpm.x,MAX(0,F38),_xlpm.bandOne,_xlfn.XLOOKUP("Unemployment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75</v>
      </c>
      <c r="M38" s="11">
        <f t="shared" si="2"/>
        <v>85.3</v>
      </c>
      <c r="N38" s="11">
        <f>IF(ISNUMBER(H38),_xlfn.LET(_xlpm.cap,_xlfn.XLOOKUP("Coal exposure log1p ceiling",Params!$F:$F,Params!$G:$G),IF(_xlpm.cap=0,100,100-LN(1+MAX(0,MIN(H38,_xlpm.cap)))/LN(1+_xlpm.cap)*100)),"")</f>
        <v>19.144224603120605</v>
      </c>
      <c r="O38" s="123">
        <f t="shared" si="3"/>
        <v>54.15475</v>
      </c>
    </row>
    <row r="39" spans="1:17" ht="20" customHeight="1">
      <c r="A39" s="35" t="str">
        <v>United States</v>
      </c>
      <c r="B39" s="35" t="str">
        <v>USA</v>
      </c>
      <c r="C39" s="58">
        <f>IF($B39="","",_xlfn.XLOOKUP($B39,[1]pillars_WIP!$B$7:$B$116,[1]pillars_WIP!$AI$7:$AI$116,"Missing",0))</f>
        <v>4</v>
      </c>
      <c r="D39" s="33">
        <f>IF($B39="","",_xlfn.XLOOKUP($B39,[1]pillars_WIP!$B$7:$B$116,[1]pillars_WIP!$AJ$7:$AJ$116,"Missing",0))</f>
        <v>78.8</v>
      </c>
      <c r="E39" s="33">
        <f>IF($B39="","",_xlfn.XLOOKUP($B39,[1]pillars_WIP!$B$7:$B$116,[1]pillars_WIP!$AL$7:$AL$116,"Missing",0))</f>
        <v>84.05</v>
      </c>
      <c r="F39" s="33">
        <f>IF($B39="","",_xlfn.XLOOKUP($B39,[1]pillars_WIP!$B$7:$B$116,[1]pillars_WIP!$AM$7:$AM$116,"Missing",0))</f>
        <v>4.0220000000000002</v>
      </c>
      <c r="G39" s="33">
        <f>IF($B39="","",_xlfn.XLOOKUP($B39,[1]pillars_WIP!$B$7:$B$116,[1]pillars_WIP!$AK$7:$AK$116,"Missing",0))</f>
        <v>0.93799999999999994</v>
      </c>
      <c r="H39" s="33">
        <f>IF($B39="","",_xlfn.XLOOKUP($B39,[1]pillars_WIP!$B$7:$B$116,[1]pillars_WIP!$AN$7:$AN$116,"Missing",0))</f>
        <v>550.45442989333822</v>
      </c>
      <c r="I39" s="11">
        <f>_xlfn.LET(_xlpm.r,IF(C39="5+",6,IFERROR(1*C39,"")),IF(_xlpm.r="","",_xlfn.LET(_xlpm.base,MAX(0,(6-_xlpm.r)*20),_xlpm.trend,_xlfn.XLOOKUP($B39,[1]comp_ITUC!$B$2:$B$150,[1]comp_ITUC!$D$2:$D$150,"",0),_xlpm.up,_xlfn.XLOOKUP("ITUC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40</v>
      </c>
      <c r="J39" s="11">
        <f t="shared" si="0"/>
        <v>78.8</v>
      </c>
      <c r="K39" s="11">
        <f t="shared" si="1"/>
        <v>84.05</v>
      </c>
      <c r="L39" s="11">
        <f>IF(ISNUMBER(F39),_xlfn.LET(_xlpm.x,MAX(0,F39),_xlpm.bandOne,_xlfn.XLOOKUP("Unemployment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39" s="11">
        <f t="shared" si="2"/>
        <v>93.8</v>
      </c>
      <c r="N39" s="11">
        <f>IF(ISNUMBER(H39),_xlfn.LET(_xlpm.cap,_xlfn.XLOOKUP("Coal exposure log1p ceiling",Params!$F:$F,Params!$G:$G),IF(_xlpm.cap=0,100,100-LN(1+MAX(0,MIN(H39,_xlpm.cap)))/LN(1+_xlpm.cap)*100)),"")</f>
        <v>6.8992337838892865</v>
      </c>
      <c r="O39" s="123">
        <f t="shared" si="3"/>
        <v>71.822499999999991</v>
      </c>
    </row>
    <row r="40" spans="1:17" ht="20" customHeight="1">
      <c r="A40" s="35" t="str">
        <v>Vietnam</v>
      </c>
      <c r="B40" s="35" t="str">
        <v>VNM</v>
      </c>
      <c r="C40" s="58">
        <f>IF($B40="","",_xlfn.XLOOKUP($B40,[1]pillars_WIP!$B$7:$B$116,[1]pillars_WIP!$AI$7:$AI$116,"Missing",0))</f>
        <v>4</v>
      </c>
      <c r="D40" s="33">
        <f>IF($B40="","",_xlfn.XLOOKUP($B40,[1]pillars_WIP!$B$7:$B$116,[1]pillars_WIP!$AJ$7:$AJ$116,"Missing",0))</f>
        <v>38.299999999999997</v>
      </c>
      <c r="E40" s="33">
        <f>IF($B40="","",_xlfn.XLOOKUP($B40,[1]pillars_WIP!$B$7:$B$116,[1]pillars_WIP!$AL$7:$AL$116,"Missing",0))</f>
        <v>51.704999999999998</v>
      </c>
      <c r="F40" s="33">
        <f>IF($B40="","",_xlfn.XLOOKUP($B40,[1]pillars_WIP!$B$7:$B$116,[1]pillars_WIP!$AM$7:$AM$116,"Missing",0))</f>
        <v>1.6020000000000001</v>
      </c>
      <c r="G40" s="33">
        <f>IF($B40="","",_xlfn.XLOOKUP($B40,[1]pillars_WIP!$B$7:$B$116,[1]pillars_WIP!$AK$7:$AK$116,"Missing",0))</f>
        <v>0.76600000000000001</v>
      </c>
      <c r="H40" s="33">
        <f>IF($B40="","",_xlfn.XLOOKUP($B40,[1]pillars_WIP!$B$7:$B$116,[1]pillars_WIP!$AN$7:$AN$116,"Missing",0))</f>
        <v>274.47900925267265</v>
      </c>
      <c r="I40" s="11">
        <f>_xlfn.LET(_xlpm.r,IF(C40="5+",6,IFERROR(1*C40,"")),IF(_xlpm.r="","",_xlfn.LET(_xlpm.base,MAX(0,(6-_xlpm.r)*20),_xlpm.trend,_xlfn.XLOOKUP($B40,[1]comp_ITUC!$B$2:$B$150,[1]comp_ITUC!$D$2:$D$150,"",0),_xlpm.up,_xlfn.XLOOKUP("ITUC improving adjustment",Params!$F:$F,Params!$G:$G),_xlpm.down,_xlfn.XLOOKUP("ITUC worsening adjustment",Params!$F:$F,Params!$G:$G),MAX(0,MIN(100,_xlpm.base+IF(_xlpm.trend="Improving",_xlpm.up,IF(_xlpm.trend="Worsening",_xlpm.down,0)))))))</f>
        <v>40</v>
      </c>
      <c r="J40" s="11">
        <f t="shared" si="0"/>
        <v>38.299999999999997</v>
      </c>
      <c r="K40" s="11">
        <f t="shared" si="1"/>
        <v>51.704999999999998</v>
      </c>
      <c r="L40" s="11">
        <f>IF(ISNUMBER(F40),_xlfn.LET(_xlpm.x,MAX(0,F40),_xlpm.bandOne,_xlfn.XLOOKUP("Unemployment band 1 upper bound",Params!$F:$F,Params!$G:$G),_xlpm.bandTwo,_xlfn.XLOOKUP("Unemployment band 2 upper bound",Params!$F:$F,Params!$G:$G),_xlpm.bandThree,_xlfn.XLOOKUP("Unemployment band 3 upper bound",Params!$F:$F,Params!$G:$G),_xlpm.bandFour,_xlfn.XLOOKUP("Unemployment band 4 upper bound",Params!$F:$F,Params!$G:$G),IF(_xlpm.x&lt;=_xlpm.bandOne,100,IF(_xlpm.x&lt;=_xlpm.bandTwo,75,IF(_xlpm.x&lt;=_xlpm.bandThree,50,IF(_xlpm.x&lt;=_xlpm.bandFour,25,0))))),"")</f>
        <v>100</v>
      </c>
      <c r="M40" s="11">
        <f t="shared" si="2"/>
        <v>76.599999999999994</v>
      </c>
      <c r="N40" s="11">
        <f>IF(ISNUMBER(H40),_xlfn.LET(_xlpm.cap,_xlfn.XLOOKUP("Coal exposure log1p ceiling",Params!$F:$F,Params!$G:$G),IF(_xlpm.cap=0,100,100-LN(1+MAX(0,MIN(H40,_xlpm.cap)))/LN(1+_xlpm.cap)*100)),"")</f>
        <v>17.135395889442506</v>
      </c>
      <c r="O40" s="123">
        <f t="shared" si="3"/>
        <v>57.267250000000004</v>
      </c>
    </row>
    <row r="41" spans="1:17" s="36" customFormat="1" ht="20" customHeight="1">
      <c r="A41" s="45"/>
      <c r="B41" s="45"/>
      <c r="C41" s="51"/>
      <c r="D41" s="51"/>
      <c r="E41" s="51"/>
      <c r="F41" s="51"/>
      <c r="G41" s="51"/>
      <c r="H41" s="51"/>
      <c r="I41" s="49"/>
      <c r="J41" s="49"/>
      <c r="K41" s="49"/>
      <c r="L41" s="49"/>
      <c r="M41" s="49"/>
      <c r="N41" s="49"/>
      <c r="O41" s="50"/>
    </row>
    <row r="42" spans="1:17" ht="20" customHeight="1">
      <c r="A42" s="10"/>
      <c r="B42" s="10"/>
      <c r="C42" s="24"/>
      <c r="D42" s="24"/>
      <c r="E42" s="24"/>
      <c r="F42" s="24"/>
      <c r="G42" s="24"/>
      <c r="H42" s="24"/>
      <c r="I42" s="11"/>
      <c r="J42" s="11"/>
      <c r="K42" s="11"/>
      <c r="L42" s="11"/>
      <c r="M42" s="11"/>
      <c r="N42" s="11"/>
      <c r="O42" s="12"/>
    </row>
    <row r="43" spans="1:17" ht="20" customHeight="1">
      <c r="A43" s="78" t="s">
        <v>706</v>
      </c>
      <c r="B43" s="78"/>
      <c r="C43" s="24"/>
      <c r="D43" s="24"/>
      <c r="E43" s="24"/>
      <c r="F43" s="24"/>
      <c r="G43" s="24"/>
      <c r="H43" s="24"/>
      <c r="I43" s="11"/>
      <c r="J43" s="11"/>
      <c r="K43" s="11"/>
      <c r="L43" s="11"/>
      <c r="M43" s="11"/>
      <c r="N43" s="11"/>
      <c r="O43" s="12"/>
    </row>
    <row r="44" spans="1:17" ht="20" customHeight="1">
      <c r="A44" s="77" t="s">
        <v>711</v>
      </c>
      <c r="B44" s="77"/>
      <c r="C44" s="24"/>
      <c r="D44" s="24"/>
      <c r="E44" s="24"/>
      <c r="F44" s="24"/>
      <c r="G44" s="24"/>
      <c r="H44" s="24"/>
      <c r="I44" s="11"/>
      <c r="J44" s="11"/>
      <c r="K44" s="11"/>
      <c r="L44" s="11"/>
      <c r="M44" s="11"/>
      <c r="N44" s="11"/>
      <c r="O44" s="12"/>
    </row>
    <row r="45" spans="1:17" ht="20" customHeight="1">
      <c r="A45" s="10"/>
      <c r="B45" s="10"/>
      <c r="C45" s="24"/>
      <c r="D45" s="24"/>
      <c r="E45" s="24"/>
      <c r="F45" s="24"/>
      <c r="G45" s="24"/>
      <c r="H45" s="24"/>
      <c r="I45" s="11"/>
      <c r="J45" s="11"/>
      <c r="K45" s="11"/>
      <c r="L45" s="11"/>
      <c r="M45" s="11"/>
      <c r="N45" s="11"/>
      <c r="O45" s="12"/>
    </row>
    <row r="46" spans="1:17" ht="20" customHeight="1">
      <c r="A46" s="10"/>
      <c r="B46" s="10"/>
      <c r="C46" s="24"/>
      <c r="D46" s="24"/>
      <c r="E46" s="24"/>
      <c r="F46" s="24"/>
      <c r="G46" s="24"/>
      <c r="H46" s="24"/>
      <c r="I46" s="11"/>
      <c r="J46" s="11"/>
      <c r="K46" s="11"/>
      <c r="L46" s="11"/>
      <c r="M46" s="11"/>
      <c r="N46" s="11"/>
      <c r="O46" s="12"/>
    </row>
    <row r="47" spans="1:17" ht="20" customHeight="1">
      <c r="A47" s="107" t="s">
        <v>745</v>
      </c>
      <c r="B47" s="106"/>
      <c r="C47" s="24"/>
      <c r="D47" s="24"/>
      <c r="E47" s="24"/>
      <c r="F47" s="24"/>
      <c r="G47" s="24"/>
      <c r="H47" s="24"/>
      <c r="I47" s="11"/>
      <c r="J47" s="11"/>
      <c r="K47" s="11"/>
      <c r="L47" s="11"/>
      <c r="M47" s="11"/>
      <c r="N47" s="11"/>
      <c r="O47" s="12"/>
    </row>
    <row r="48" spans="1:17" ht="20" hidden="1" customHeight="1">
      <c r="A48" s="96" t="s">
        <v>820</v>
      </c>
      <c r="B48" s="96" t="s">
        <v>79</v>
      </c>
      <c r="C48" s="111">
        <v>5</v>
      </c>
      <c r="D48" s="112"/>
      <c r="E48" s="112"/>
      <c r="F48" s="112"/>
      <c r="G48" s="112"/>
      <c r="H48" s="112"/>
      <c r="I48" s="108" t="s">
        <v>747</v>
      </c>
      <c r="J48" s="108"/>
      <c r="K48" s="108"/>
      <c r="L48" s="108"/>
      <c r="M48" s="108"/>
      <c r="N48" s="108"/>
      <c r="O48" s="108"/>
    </row>
    <row r="49" spans="1:15" ht="20" customHeight="1">
      <c r="A49" s="96" t="s">
        <v>476</v>
      </c>
      <c r="B49" s="96" t="s">
        <v>180</v>
      </c>
      <c r="D49" s="112"/>
      <c r="E49" s="82">
        <v>90.625</v>
      </c>
      <c r="F49" s="112"/>
      <c r="G49" s="112"/>
      <c r="H49" s="112"/>
      <c r="I49" s="108" t="s">
        <v>918</v>
      </c>
      <c r="J49" s="108"/>
      <c r="K49" s="108"/>
      <c r="L49" s="108"/>
      <c r="M49" s="108"/>
      <c r="N49" s="108"/>
      <c r="O49" s="108"/>
    </row>
    <row r="50" spans="1:15" ht="20" customHeight="1">
      <c r="A50" s="96" t="s">
        <v>476</v>
      </c>
      <c r="B50" s="96" t="s">
        <v>180</v>
      </c>
      <c r="C50" s="112"/>
      <c r="D50" s="112"/>
      <c r="E50" s="112"/>
      <c r="F50" s="112"/>
      <c r="G50" s="82">
        <v>0.95499999999999996</v>
      </c>
      <c r="H50" s="112"/>
      <c r="I50" s="108" t="s">
        <v>748</v>
      </c>
      <c r="J50" s="108"/>
      <c r="K50" s="108"/>
      <c r="L50" s="108"/>
      <c r="M50" s="108"/>
      <c r="N50" s="108"/>
      <c r="O50" s="108"/>
    </row>
    <row r="51" spans="1:15" ht="20" hidden="1" customHeight="1">
      <c r="A51" s="96" t="s">
        <v>430</v>
      </c>
      <c r="B51" s="96" t="s">
        <v>431</v>
      </c>
      <c r="C51" s="111">
        <v>3</v>
      </c>
      <c r="D51" s="112"/>
      <c r="E51" s="112"/>
      <c r="F51" s="112"/>
      <c r="G51" s="112"/>
      <c r="H51" s="112"/>
      <c r="I51" s="108" t="s">
        <v>747</v>
      </c>
      <c r="J51" s="108"/>
      <c r="K51" s="108"/>
      <c r="L51" s="108"/>
      <c r="M51" s="108"/>
      <c r="N51" s="108"/>
      <c r="O51" s="108"/>
    </row>
    <row r="52" spans="1:15" ht="20" hidden="1" customHeight="1">
      <c r="A52" s="96" t="s">
        <v>430</v>
      </c>
      <c r="B52" s="96" t="s">
        <v>431</v>
      </c>
      <c r="C52" s="112"/>
      <c r="D52" s="111">
        <v>84.2</v>
      </c>
      <c r="E52" s="111"/>
      <c r="F52" s="112"/>
      <c r="G52" s="112"/>
      <c r="H52" s="112"/>
      <c r="I52" s="108" t="s">
        <v>749</v>
      </c>
      <c r="J52" s="108"/>
      <c r="K52" s="108"/>
      <c r="L52" s="108"/>
      <c r="M52" s="108"/>
      <c r="N52" s="108"/>
      <c r="O52" s="108"/>
    </row>
    <row r="53" spans="1:15" ht="20" hidden="1" customHeight="1">
      <c r="A53" s="96" t="s">
        <v>430</v>
      </c>
      <c r="B53" s="96" t="s">
        <v>431</v>
      </c>
      <c r="C53" s="112"/>
      <c r="D53" s="112"/>
      <c r="E53" s="112"/>
      <c r="F53" s="111">
        <v>5.3789999999999996</v>
      </c>
      <c r="G53" s="112"/>
      <c r="H53" s="112"/>
      <c r="I53" s="108" t="s">
        <v>750</v>
      </c>
      <c r="J53" s="108"/>
      <c r="K53" s="108"/>
      <c r="L53" s="108"/>
      <c r="M53" s="108"/>
      <c r="N53" s="108"/>
      <c r="O53" s="108"/>
    </row>
    <row r="54" spans="1:15" ht="20" hidden="1" customHeight="1">
      <c r="A54" s="96" t="s">
        <v>430</v>
      </c>
      <c r="B54" s="96" t="s">
        <v>431</v>
      </c>
      <c r="C54" s="112"/>
      <c r="D54" s="112"/>
      <c r="E54" s="112"/>
      <c r="F54" s="112"/>
      <c r="G54" s="111">
        <v>0.88900000000000001</v>
      </c>
      <c r="H54" s="112"/>
      <c r="I54" s="108" t="s">
        <v>751</v>
      </c>
      <c r="J54" s="108"/>
      <c r="K54" s="108"/>
      <c r="L54" s="108"/>
      <c r="M54" s="108"/>
      <c r="N54" s="108"/>
      <c r="O54" s="108"/>
    </row>
    <row r="55" spans="1:15" ht="20" customHeight="1">
      <c r="A55" s="96" t="s">
        <v>274</v>
      </c>
      <c r="B55" s="96" t="s">
        <v>275</v>
      </c>
      <c r="C55" s="102">
        <v>3</v>
      </c>
      <c r="D55" s="112"/>
      <c r="E55" s="112"/>
      <c r="F55" s="112"/>
      <c r="G55" s="112"/>
      <c r="H55" s="112"/>
      <c r="I55" s="108" t="s">
        <v>747</v>
      </c>
      <c r="J55" s="108"/>
      <c r="K55" s="108"/>
      <c r="L55" s="108"/>
      <c r="M55" s="108"/>
      <c r="N55" s="108"/>
      <c r="O55" s="108"/>
    </row>
    <row r="56" spans="1:15" ht="20" hidden="1" customHeight="1">
      <c r="A56" s="96" t="s">
        <v>290</v>
      </c>
      <c r="B56" s="96" t="s">
        <v>291</v>
      </c>
      <c r="C56" s="102">
        <v>2</v>
      </c>
      <c r="D56" s="112"/>
      <c r="E56" s="112"/>
      <c r="F56" s="112"/>
      <c r="G56" s="112"/>
      <c r="H56" s="112"/>
      <c r="I56" s="108" t="s">
        <v>747</v>
      </c>
      <c r="J56" s="108"/>
      <c r="K56" s="108"/>
      <c r="L56" s="108"/>
      <c r="M56" s="108"/>
      <c r="N56" s="108"/>
      <c r="O56" s="108"/>
    </row>
    <row r="57" spans="1:15" ht="20" hidden="1" customHeight="1">
      <c r="A57" s="96" t="s">
        <v>290</v>
      </c>
      <c r="B57" s="96" t="s">
        <v>291</v>
      </c>
      <c r="C57" s="112"/>
      <c r="D57" s="112"/>
      <c r="E57" s="112"/>
      <c r="F57" s="112"/>
      <c r="G57" s="82">
        <v>0.92</v>
      </c>
      <c r="H57" s="112"/>
      <c r="I57" s="108" t="s">
        <v>752</v>
      </c>
      <c r="J57" s="108"/>
      <c r="K57" s="108"/>
      <c r="L57" s="108"/>
      <c r="M57" s="108"/>
      <c r="N57" s="108"/>
      <c r="O57" s="108"/>
    </row>
    <row r="58" spans="1:15" ht="20" customHeight="1">
      <c r="A58" s="96" t="s">
        <v>478</v>
      </c>
      <c r="B58" s="96" t="s">
        <v>328</v>
      </c>
      <c r="C58" s="82" t="s">
        <v>746</v>
      </c>
      <c r="D58" s="112"/>
      <c r="E58" s="112"/>
      <c r="F58" s="112"/>
      <c r="G58" s="112"/>
      <c r="H58" s="112"/>
      <c r="I58" s="108" t="s">
        <v>747</v>
      </c>
      <c r="J58" s="108"/>
      <c r="K58" s="108"/>
      <c r="L58" s="108"/>
      <c r="M58" s="108"/>
      <c r="N58" s="108"/>
      <c r="O58" s="108"/>
    </row>
    <row r="59" spans="1:15" ht="20" customHeight="1">
      <c r="A59" s="96" t="s">
        <v>478</v>
      </c>
      <c r="B59" s="96" t="s">
        <v>328</v>
      </c>
      <c r="C59" s="112"/>
      <c r="D59" s="82">
        <v>75.599999999999994</v>
      </c>
      <c r="E59" s="112"/>
      <c r="F59" s="112"/>
      <c r="G59" s="112"/>
      <c r="H59" s="112"/>
      <c r="I59" s="108" t="s">
        <v>753</v>
      </c>
      <c r="J59" s="108"/>
      <c r="K59" s="108"/>
      <c r="L59" s="108"/>
      <c r="M59" s="108"/>
      <c r="N59" s="108"/>
      <c r="O59" s="108"/>
    </row>
    <row r="60" spans="1:15" ht="20" customHeight="1">
      <c r="A60" s="96" t="s">
        <v>478</v>
      </c>
      <c r="B60" s="96" t="s">
        <v>328</v>
      </c>
      <c r="D60" s="112"/>
      <c r="E60" s="82">
        <v>58.05</v>
      </c>
      <c r="F60" s="112"/>
      <c r="G60" s="112"/>
      <c r="H60" s="112"/>
      <c r="I60" s="108" t="s">
        <v>919</v>
      </c>
      <c r="J60" s="108"/>
      <c r="K60" s="108"/>
      <c r="L60" s="108"/>
      <c r="M60" s="108"/>
      <c r="N60" s="108"/>
      <c r="O60" s="108"/>
    </row>
    <row r="61" spans="1:15" ht="20" customHeight="1">
      <c r="A61" s="96" t="s">
        <v>478</v>
      </c>
      <c r="B61" s="96" t="s">
        <v>328</v>
      </c>
      <c r="C61" s="112"/>
      <c r="D61" s="112"/>
      <c r="E61" s="112"/>
      <c r="F61" s="112"/>
      <c r="G61" s="82">
        <v>0.71199999999999997</v>
      </c>
      <c r="H61" s="112"/>
      <c r="I61" s="108" t="s">
        <v>803</v>
      </c>
      <c r="J61" s="108"/>
      <c r="K61" s="108"/>
      <c r="L61" s="108"/>
      <c r="M61" s="108"/>
      <c r="N61" s="108"/>
      <c r="O61" s="108"/>
    </row>
    <row r="62" spans="1:15" ht="20" hidden="1" customHeight="1">
      <c r="A62" s="96" t="s">
        <v>373</v>
      </c>
      <c r="B62" s="96" t="s">
        <v>374</v>
      </c>
      <c r="C62" s="102">
        <v>2</v>
      </c>
      <c r="D62" s="112"/>
      <c r="E62" s="112"/>
      <c r="F62" s="112"/>
      <c r="G62" s="112"/>
      <c r="H62" s="112"/>
      <c r="I62" s="108" t="s">
        <v>747</v>
      </c>
      <c r="J62" s="108"/>
      <c r="K62" s="108"/>
      <c r="L62" s="108"/>
      <c r="M62" s="108"/>
      <c r="N62" s="108"/>
      <c r="O62" s="108"/>
    </row>
    <row r="63" spans="1:15" ht="20" customHeight="1">
      <c r="A63" s="96" t="s">
        <v>405</v>
      </c>
      <c r="B63" s="10" t="s">
        <v>406</v>
      </c>
      <c r="D63" s="112"/>
      <c r="E63" s="82">
        <v>94.31</v>
      </c>
      <c r="F63" s="112"/>
      <c r="G63" s="112"/>
      <c r="H63" s="112"/>
      <c r="I63" s="108" t="s">
        <v>920</v>
      </c>
      <c r="J63" s="108"/>
      <c r="K63" s="108"/>
      <c r="L63" s="108"/>
      <c r="M63" s="108"/>
      <c r="N63" s="108"/>
      <c r="O63" s="108"/>
    </row>
    <row r="64" spans="1:15" ht="20" customHeight="1">
      <c r="A64" s="96" t="s">
        <v>405</v>
      </c>
      <c r="B64" s="96" t="s">
        <v>406</v>
      </c>
      <c r="C64" s="112"/>
      <c r="D64" s="112"/>
      <c r="E64" s="112"/>
      <c r="F64" s="111">
        <v>3.2635000000000001</v>
      </c>
      <c r="G64" s="112"/>
      <c r="H64" s="112"/>
      <c r="I64" s="108" t="s">
        <v>754</v>
      </c>
      <c r="J64" s="108"/>
      <c r="K64" s="108"/>
      <c r="L64" s="108"/>
      <c r="M64" s="108"/>
      <c r="N64" s="108"/>
      <c r="O64" s="108"/>
    </row>
    <row r="65" spans="1:17" ht="20" customHeight="1">
      <c r="A65" s="96" t="s">
        <v>405</v>
      </c>
      <c r="B65" s="96" t="s">
        <v>406</v>
      </c>
      <c r="C65" s="112"/>
      <c r="D65" s="112"/>
      <c r="E65" s="112"/>
      <c r="F65" s="112"/>
      <c r="G65" s="82">
        <v>0.93100000000000005</v>
      </c>
      <c r="H65" s="112"/>
      <c r="I65" s="108" t="s">
        <v>755</v>
      </c>
      <c r="J65" s="108"/>
      <c r="K65" s="108"/>
      <c r="L65" s="108"/>
      <c r="M65" s="108"/>
      <c r="N65" s="108"/>
      <c r="O65" s="108"/>
    </row>
    <row r="66" spans="1:17" ht="20" customHeight="1">
      <c r="A66" s="10" t="s">
        <v>405</v>
      </c>
      <c r="B66" s="10" t="s">
        <v>406</v>
      </c>
      <c r="C66" s="24"/>
      <c r="D66" s="24"/>
      <c r="E66" s="24"/>
      <c r="F66" s="24"/>
      <c r="G66" s="24"/>
      <c r="H66" s="114">
        <v>23.213999999999999</v>
      </c>
      <c r="I66" s="108" t="s">
        <v>764</v>
      </c>
      <c r="J66" s="54"/>
      <c r="K66" s="54"/>
      <c r="L66" s="54"/>
      <c r="M66" s="54"/>
      <c r="N66" s="55"/>
      <c r="P66"/>
      <c r="Q66" s="2"/>
    </row>
    <row r="67" spans="1:17" ht="20" hidden="1" customHeight="1">
      <c r="A67" s="96" t="s">
        <v>389</v>
      </c>
      <c r="B67" s="96" t="s">
        <v>390</v>
      </c>
      <c r="C67" s="82">
        <v>5</v>
      </c>
      <c r="D67" s="112"/>
      <c r="E67" s="112"/>
      <c r="F67" s="112"/>
      <c r="G67" s="112"/>
      <c r="H67" s="112"/>
      <c r="I67" s="108" t="s">
        <v>747</v>
      </c>
      <c r="J67" s="108"/>
      <c r="K67" s="108"/>
      <c r="L67" s="108"/>
      <c r="M67" s="108"/>
      <c r="N67" s="108"/>
      <c r="O67" s="108"/>
    </row>
    <row r="68" spans="1:17" ht="20" hidden="1" customHeight="1">
      <c r="A68" s="96" t="s">
        <v>411</v>
      </c>
      <c r="B68" s="96" t="s">
        <v>412</v>
      </c>
      <c r="C68" s="112"/>
      <c r="D68" s="112"/>
      <c r="E68" s="112"/>
      <c r="F68" s="82">
        <v>9.8339999999999996</v>
      </c>
      <c r="G68" s="112"/>
      <c r="H68" s="112"/>
      <c r="I68" s="108" t="s">
        <v>756</v>
      </c>
      <c r="J68" s="108"/>
      <c r="K68" s="108"/>
      <c r="L68" s="108"/>
      <c r="M68" s="108"/>
      <c r="N68" s="108"/>
      <c r="O68" s="108"/>
    </row>
    <row r="69" spans="1:17" ht="20" hidden="1" customHeight="1">
      <c r="A69" s="96" t="s">
        <v>417</v>
      </c>
      <c r="B69" s="96" t="s">
        <v>418</v>
      </c>
      <c r="C69" s="82">
        <v>5</v>
      </c>
      <c r="D69" s="112"/>
      <c r="E69" s="112"/>
      <c r="F69" s="112"/>
      <c r="G69" s="112"/>
      <c r="H69" s="112"/>
      <c r="I69" s="108" t="s">
        <v>747</v>
      </c>
      <c r="J69" s="108"/>
      <c r="K69" s="108"/>
      <c r="L69" s="108"/>
      <c r="M69" s="108"/>
      <c r="N69" s="108"/>
      <c r="O69" s="108"/>
    </row>
    <row r="70" spans="1:17" ht="20" customHeight="1">
      <c r="A70" s="10"/>
      <c r="B70" s="10"/>
      <c r="C70" s="24"/>
      <c r="D70" s="24"/>
      <c r="E70" s="24"/>
      <c r="F70" s="24"/>
      <c r="G70" s="24"/>
      <c r="H70" s="24"/>
      <c r="I70" s="54"/>
      <c r="J70" s="54"/>
      <c r="K70" s="54"/>
      <c r="L70" s="54"/>
      <c r="M70" s="54"/>
      <c r="N70" s="54"/>
      <c r="O70" s="55"/>
    </row>
    <row r="71" spans="1:17" ht="20" customHeight="1">
      <c r="A71" s="46"/>
      <c r="B71" s="10"/>
      <c r="C71" s="24"/>
      <c r="D71" s="24"/>
      <c r="E71" s="24"/>
      <c r="F71" s="24"/>
      <c r="G71" s="24"/>
      <c r="H71" s="24"/>
      <c r="I71" s="54"/>
      <c r="J71" s="54"/>
      <c r="K71" s="54"/>
      <c r="L71" s="54"/>
      <c r="M71" s="54"/>
      <c r="N71" s="54"/>
      <c r="O71" s="55"/>
    </row>
    <row r="72" spans="1:17" ht="20" hidden="1" customHeight="1">
      <c r="A72" s="107" t="s">
        <v>925</v>
      </c>
      <c r="B72" s="106"/>
      <c r="C72" s="106"/>
      <c r="D72" s="106"/>
      <c r="E72" s="106"/>
      <c r="F72" s="106"/>
      <c r="G72" s="24"/>
      <c r="H72" s="24"/>
      <c r="I72" s="54"/>
      <c r="J72" s="54"/>
      <c r="K72" s="54"/>
      <c r="L72" s="54"/>
      <c r="M72" s="54"/>
      <c r="N72" s="54"/>
      <c r="O72" s="55"/>
    </row>
    <row r="73" spans="1:17" ht="20" hidden="1" customHeight="1">
      <c r="A73" s="10" t="s">
        <v>2</v>
      </c>
      <c r="B73" s="10" t="s">
        <v>443</v>
      </c>
      <c r="C73" s="183" t="s">
        <v>470</v>
      </c>
      <c r="D73" s="183" t="s">
        <v>471</v>
      </c>
      <c r="E73" s="183" t="s">
        <v>472</v>
      </c>
      <c r="F73" s="183" t="s">
        <v>805</v>
      </c>
      <c r="G73" s="24"/>
      <c r="H73" s="24"/>
      <c r="I73" s="54"/>
      <c r="J73" s="54"/>
      <c r="K73" s="54"/>
      <c r="L73" s="54"/>
      <c r="M73" s="54"/>
      <c r="N73" s="54"/>
      <c r="O73" s="55"/>
    </row>
    <row r="74" spans="1:17" ht="20" hidden="1" customHeight="1">
      <c r="A74" s="10" t="str">
        <f>A5</f>
        <v>Australia</v>
      </c>
      <c r="B74" s="10" t="str">
        <f>B5</f>
        <v>AUS</v>
      </c>
      <c r="C74" s="43" cm="1">
        <f t="array" ref="C74">--(SUMPRODUCT(($B$48:$B$69=$B74)*(LEN($C$48:$C$69)&gt;0))&gt;0)</f>
        <v>0</v>
      </c>
      <c r="D74" s="43" cm="1">
        <f t="array" ref="D74">--(SUMPRODUCT(($B$48:$B$69=$B74)*(LEN($E$48:$E$69)&gt;0))&gt;0)</f>
        <v>0</v>
      </c>
      <c r="E74" s="43" cm="1">
        <f t="array" ref="E74">--(SUMPRODUCT(($B$48:$B$69=$B74)*(LEN($F$48:$F$69)&gt;0))&gt;0)</f>
        <v>0</v>
      </c>
      <c r="F74" s="43">
        <f>SUM(C74:E74)</f>
        <v>0</v>
      </c>
      <c r="G74" s="24"/>
      <c r="H74" s="24"/>
      <c r="I74" s="54"/>
      <c r="J74" s="54"/>
      <c r="K74" s="54"/>
      <c r="L74" s="54"/>
      <c r="M74" s="54"/>
      <c r="N74" s="54"/>
      <c r="O74" s="55"/>
    </row>
    <row r="75" spans="1:17" ht="20" hidden="1" customHeight="1">
      <c r="A75" s="10" t="str">
        <f t="shared" ref="A75:B75" si="4">A6</f>
        <v>Bangladesh</v>
      </c>
      <c r="B75" s="10" t="str">
        <f t="shared" si="4"/>
        <v>BGD</v>
      </c>
      <c r="C75" s="43" cm="1">
        <f t="array" ref="C75">--(SUMPRODUCT(($B$48:$B$69=$B75)*(LEN($C$48:$C$69)&gt;0))&gt;0)</f>
        <v>0</v>
      </c>
      <c r="D75" s="43" cm="1">
        <f t="array" ref="D75">--(SUMPRODUCT(($B$48:$B$69=$B75)*(LEN($E$48:$E$69)&gt;0))&gt;0)</f>
        <v>0</v>
      </c>
      <c r="E75" s="43" cm="1">
        <f t="array" ref="E75">--(SUMPRODUCT(($B$48:$B$69=$B75)*(LEN($F$48:$F$69)&gt;0))&gt;0)</f>
        <v>0</v>
      </c>
      <c r="F75" s="43">
        <f t="shared" ref="F75:F109" si="5">SUM(C75:E75)</f>
        <v>0</v>
      </c>
      <c r="G75" s="24"/>
      <c r="H75" s="24"/>
      <c r="I75" s="54"/>
      <c r="J75" s="54"/>
      <c r="K75" s="54"/>
      <c r="L75" s="54"/>
      <c r="M75" s="54"/>
      <c r="N75" s="54"/>
      <c r="O75" s="55"/>
    </row>
    <row r="76" spans="1:17" ht="20" hidden="1" customHeight="1">
      <c r="A76" s="10" t="str">
        <f t="shared" ref="A76:B76" si="6">A7</f>
        <v>Bosnia and Herzegovina</v>
      </c>
      <c r="B76" s="10" t="str">
        <f t="shared" si="6"/>
        <v>BIH</v>
      </c>
      <c r="C76" s="43" cm="1">
        <f t="array" ref="C76">--(SUMPRODUCT(($B$48:$B$69=$B76)*(LEN($C$48:$C$69)&gt;0))&gt;0)</f>
        <v>0</v>
      </c>
      <c r="D76" s="43" cm="1">
        <f t="array" ref="D76">--(SUMPRODUCT(($B$48:$B$69=$B76)*(LEN($E$48:$E$69)&gt;0))&gt;0)</f>
        <v>0</v>
      </c>
      <c r="E76" s="43" cm="1">
        <f t="array" ref="E76">--(SUMPRODUCT(($B$48:$B$69=$B76)*(LEN($F$48:$F$69)&gt;0))&gt;0)</f>
        <v>0</v>
      </c>
      <c r="F76" s="43">
        <f t="shared" si="5"/>
        <v>0</v>
      </c>
      <c r="G76" s="24"/>
      <c r="H76" s="24"/>
      <c r="I76" s="54"/>
      <c r="J76" s="54"/>
      <c r="K76" s="54"/>
      <c r="L76" s="54"/>
      <c r="M76" s="54"/>
      <c r="N76" s="54"/>
      <c r="O76" s="55"/>
    </row>
    <row r="77" spans="1:17" ht="20" hidden="1" customHeight="1">
      <c r="A77" s="10" t="str">
        <f t="shared" ref="A77:B77" si="7">A8</f>
        <v>Brazil</v>
      </c>
      <c r="B77" s="10" t="str">
        <f t="shared" si="7"/>
        <v>BRA</v>
      </c>
      <c r="C77" s="43" cm="1">
        <f t="array" ref="C77">--(SUMPRODUCT(($B$48:$B$69=$B77)*(LEN($C$48:$C$69)&gt;0))&gt;0)</f>
        <v>0</v>
      </c>
      <c r="D77" s="43" cm="1">
        <f t="array" ref="D77">--(SUMPRODUCT(($B$48:$B$69=$B77)*(LEN($E$48:$E$69)&gt;0))&gt;0)</f>
        <v>0</v>
      </c>
      <c r="E77" s="43" cm="1">
        <f t="array" ref="E77">--(SUMPRODUCT(($B$48:$B$69=$B77)*(LEN($F$48:$F$69)&gt;0))&gt;0)</f>
        <v>0</v>
      </c>
      <c r="F77" s="43">
        <f t="shared" si="5"/>
        <v>0</v>
      </c>
      <c r="G77" s="24"/>
      <c r="H77" s="24"/>
      <c r="I77" s="54"/>
      <c r="J77" s="54"/>
      <c r="K77" s="54"/>
      <c r="L77" s="54"/>
      <c r="M77" s="54"/>
      <c r="N77" s="54"/>
      <c r="O77" s="55"/>
    </row>
    <row r="78" spans="1:17" ht="20" hidden="1" customHeight="1">
      <c r="A78" s="10" t="str">
        <f t="shared" ref="A78:B78" si="8">A9</f>
        <v>Bulgaria</v>
      </c>
      <c r="B78" s="10" t="str">
        <f t="shared" si="8"/>
        <v>BGR</v>
      </c>
      <c r="C78" s="43" cm="1">
        <f t="array" ref="C78">--(SUMPRODUCT(($B$48:$B$69=$B78)*(LEN($C$48:$C$69)&gt;0))&gt;0)</f>
        <v>0</v>
      </c>
      <c r="D78" s="43" cm="1">
        <f t="array" ref="D78">--(SUMPRODUCT(($B$48:$B$69=$B78)*(LEN($E$48:$E$69)&gt;0))&gt;0)</f>
        <v>0</v>
      </c>
      <c r="E78" s="43" cm="1">
        <f t="array" ref="E78">--(SUMPRODUCT(($B$48:$B$69=$B78)*(LEN($F$48:$F$69)&gt;0))&gt;0)</f>
        <v>0</v>
      </c>
      <c r="F78" s="43">
        <f t="shared" si="5"/>
        <v>0</v>
      </c>
      <c r="G78" s="24"/>
      <c r="H78" s="24"/>
      <c r="I78" s="54"/>
      <c r="J78" s="54"/>
      <c r="K78" s="54"/>
      <c r="L78" s="54"/>
      <c r="M78" s="54"/>
      <c r="N78" s="54"/>
      <c r="O78" s="55"/>
    </row>
    <row r="79" spans="1:17" ht="20" hidden="1" customHeight="1">
      <c r="A79" s="10" t="str">
        <f t="shared" ref="A79:B79" si="9">A10</f>
        <v>Cambodia</v>
      </c>
      <c r="B79" s="10" t="str">
        <f t="shared" si="9"/>
        <v>KHM</v>
      </c>
      <c r="C79" s="43" cm="1">
        <f t="array" ref="C79">--(SUMPRODUCT(($B$48:$B$69=$B79)*(LEN($C$48:$C$69)&gt;0))&gt;0)</f>
        <v>0</v>
      </c>
      <c r="D79" s="43" cm="1">
        <f t="array" ref="D79">--(SUMPRODUCT(($B$48:$B$69=$B79)*(LEN($E$48:$E$69)&gt;0))&gt;0)</f>
        <v>0</v>
      </c>
      <c r="E79" s="43" cm="1">
        <f t="array" ref="E79">--(SUMPRODUCT(($B$48:$B$69=$B79)*(LEN($F$48:$F$69)&gt;0))&gt;0)</f>
        <v>0</v>
      </c>
      <c r="F79" s="43">
        <f t="shared" si="5"/>
        <v>0</v>
      </c>
      <c r="G79" s="24"/>
      <c r="H79" s="24"/>
      <c r="I79" s="54"/>
      <c r="J79" s="54"/>
      <c r="K79" s="54"/>
      <c r="L79" s="54"/>
      <c r="M79" s="54"/>
      <c r="N79" s="54"/>
      <c r="O79" s="55"/>
    </row>
    <row r="80" spans="1:17" ht="20" hidden="1" customHeight="1">
      <c r="A80" s="10" t="str">
        <f t="shared" ref="A80:B80" si="10">A11</f>
        <v>Canada</v>
      </c>
      <c r="B80" s="10" t="str">
        <f t="shared" si="10"/>
        <v>CAN</v>
      </c>
      <c r="C80" s="43" cm="1">
        <f t="array" ref="C80">--(SUMPRODUCT(($B$48:$B$69=$B80)*(LEN($C$48:$C$69)&gt;0))&gt;0)</f>
        <v>0</v>
      </c>
      <c r="D80" s="43" cm="1">
        <f t="array" ref="D80">--(SUMPRODUCT(($B$48:$B$69=$B80)*(LEN($E$48:$E$69)&gt;0))&gt;0)</f>
        <v>0</v>
      </c>
      <c r="E80" s="43" cm="1">
        <f t="array" ref="E80">--(SUMPRODUCT(($B$48:$B$69=$B80)*(LEN($F$48:$F$69)&gt;0))&gt;0)</f>
        <v>0</v>
      </c>
      <c r="F80" s="43">
        <f t="shared" si="5"/>
        <v>0</v>
      </c>
      <c r="G80" s="24"/>
      <c r="H80" s="24"/>
      <c r="I80" s="54"/>
      <c r="J80" s="54"/>
      <c r="K80" s="54"/>
      <c r="L80" s="54"/>
      <c r="M80" s="54"/>
      <c r="N80" s="54"/>
      <c r="O80" s="55"/>
    </row>
    <row r="81" spans="1:15" ht="20" hidden="1" customHeight="1">
      <c r="A81" s="10" t="str">
        <f t="shared" ref="A81:B81" si="11">A12</f>
        <v>Chile</v>
      </c>
      <c r="B81" s="10" t="str">
        <f t="shared" si="11"/>
        <v>CHL</v>
      </c>
      <c r="C81" s="43" cm="1">
        <f t="array" ref="C81">--(SUMPRODUCT(($B$48:$B$69=$B81)*(LEN($C$48:$C$69)&gt;0))&gt;0)</f>
        <v>0</v>
      </c>
      <c r="D81" s="43" cm="1">
        <f t="array" ref="D81">--(SUMPRODUCT(($B$48:$B$69=$B81)*(LEN($E$48:$E$69)&gt;0))&gt;0)</f>
        <v>0</v>
      </c>
      <c r="E81" s="43" cm="1">
        <f t="array" ref="E81">--(SUMPRODUCT(($B$48:$B$69=$B81)*(LEN($F$48:$F$69)&gt;0))&gt;0)</f>
        <v>0</v>
      </c>
      <c r="F81" s="43">
        <f t="shared" si="5"/>
        <v>0</v>
      </c>
      <c r="G81" s="24"/>
      <c r="H81" s="24"/>
      <c r="I81" s="54"/>
      <c r="J81" s="54"/>
      <c r="K81" s="54"/>
      <c r="L81" s="54"/>
      <c r="M81" s="54"/>
      <c r="N81" s="54"/>
      <c r="O81" s="55"/>
    </row>
    <row r="82" spans="1:15" ht="20" hidden="1" customHeight="1">
      <c r="A82" s="10" t="str">
        <f t="shared" ref="A82:B82" si="12">A13</f>
        <v>China</v>
      </c>
      <c r="B82" s="10" t="str">
        <f t="shared" si="12"/>
        <v>CHN</v>
      </c>
      <c r="C82" s="43" cm="1">
        <f t="array" ref="C82">--(SUMPRODUCT(($B$48:$B$69=$B82)*(LEN($C$48:$C$69)&gt;0))&gt;0)</f>
        <v>0</v>
      </c>
      <c r="D82" s="43" cm="1">
        <f t="array" ref="D82">--(SUMPRODUCT(($B$48:$B$69=$B82)*(LEN($E$48:$E$69)&gt;0))&gt;0)</f>
        <v>0</v>
      </c>
      <c r="E82" s="43" cm="1">
        <f t="array" ref="E82">--(SUMPRODUCT(($B$48:$B$69=$B82)*(LEN($F$48:$F$69)&gt;0))&gt;0)</f>
        <v>0</v>
      </c>
      <c r="F82" s="43">
        <f t="shared" si="5"/>
        <v>0</v>
      </c>
      <c r="G82" s="24"/>
      <c r="H82" s="24"/>
      <c r="I82" s="54"/>
      <c r="J82" s="54"/>
      <c r="K82" s="54"/>
      <c r="L82" s="54"/>
      <c r="M82" s="54"/>
      <c r="N82" s="54"/>
      <c r="O82" s="55"/>
    </row>
    <row r="83" spans="1:15" ht="20" hidden="1" customHeight="1">
      <c r="A83" s="10" t="str">
        <f t="shared" ref="A83:B83" si="13">A14</f>
        <v>Czech Republic</v>
      </c>
      <c r="B83" s="10" t="str">
        <f t="shared" si="13"/>
        <v>CZE</v>
      </c>
      <c r="C83" s="43" cm="1">
        <f t="array" ref="C83">--(SUMPRODUCT(($B$48:$B$69=$B83)*(LEN($C$48:$C$69)&gt;0))&gt;0)</f>
        <v>0</v>
      </c>
      <c r="D83" s="43" cm="1">
        <f t="array" ref="D83">--(SUMPRODUCT(($B$48:$B$69=$B83)*(LEN($E$48:$E$69)&gt;0))&gt;0)</f>
        <v>0</v>
      </c>
      <c r="E83" s="43" cm="1">
        <f t="array" ref="E83">--(SUMPRODUCT(($B$48:$B$69=$B83)*(LEN($F$48:$F$69)&gt;0))&gt;0)</f>
        <v>0</v>
      </c>
      <c r="F83" s="43">
        <f t="shared" si="5"/>
        <v>0</v>
      </c>
      <c r="G83" s="24"/>
      <c r="H83" s="24"/>
      <c r="I83" s="54"/>
      <c r="J83" s="54"/>
      <c r="K83" s="54"/>
      <c r="L83" s="54"/>
      <c r="M83" s="54"/>
      <c r="N83" s="54"/>
      <c r="O83" s="55"/>
    </row>
    <row r="84" spans="1:15" ht="20" hidden="1" customHeight="1">
      <c r="A84" s="10" t="str">
        <f t="shared" ref="A84:B84" si="14">A15</f>
        <v>Dominican Republic</v>
      </c>
      <c r="B84" s="10" t="str">
        <f t="shared" si="14"/>
        <v>DOM</v>
      </c>
      <c r="C84" s="43" cm="1">
        <f t="array" ref="C84">--(SUMPRODUCT(($B$48:$B$69=$B84)*(LEN($C$48:$C$69)&gt;0))&gt;0)</f>
        <v>0</v>
      </c>
      <c r="D84" s="43" cm="1">
        <f t="array" ref="D84">--(SUMPRODUCT(($B$48:$B$69=$B84)*(LEN($E$48:$E$69)&gt;0))&gt;0)</f>
        <v>0</v>
      </c>
      <c r="E84" s="43" cm="1">
        <f t="array" ref="E84">--(SUMPRODUCT(($B$48:$B$69=$B84)*(LEN($F$48:$F$69)&gt;0))&gt;0)</f>
        <v>0</v>
      </c>
      <c r="F84" s="43">
        <f t="shared" si="5"/>
        <v>0</v>
      </c>
      <c r="G84" s="24"/>
      <c r="H84" s="24"/>
      <c r="I84" s="54"/>
      <c r="J84" s="54"/>
      <c r="K84" s="54"/>
      <c r="L84" s="54"/>
      <c r="M84" s="54"/>
      <c r="N84" s="54"/>
      <c r="O84" s="55"/>
    </row>
    <row r="85" spans="1:15" ht="20" hidden="1" customHeight="1">
      <c r="A85" s="10" t="str">
        <f t="shared" ref="A85:B85" si="15">A16</f>
        <v>Germany</v>
      </c>
      <c r="B85" s="10" t="str">
        <f t="shared" si="15"/>
        <v>DEU</v>
      </c>
      <c r="C85" s="43" cm="1">
        <f t="array" ref="C85">--(SUMPRODUCT(($B$48:$B$69=$B85)*(LEN($C$48:$C$69)&gt;0))&gt;0)</f>
        <v>0</v>
      </c>
      <c r="D85" s="43" cm="1">
        <f t="array" ref="D85">--(SUMPRODUCT(($B$48:$B$69=$B85)*(LEN($E$48:$E$69)&gt;0))&gt;0)</f>
        <v>0</v>
      </c>
      <c r="E85" s="43" cm="1">
        <f t="array" ref="E85">--(SUMPRODUCT(($B$48:$B$69=$B85)*(LEN($F$48:$F$69)&gt;0))&gt;0)</f>
        <v>0</v>
      </c>
      <c r="F85" s="43">
        <f t="shared" si="5"/>
        <v>0</v>
      </c>
      <c r="G85" s="24"/>
      <c r="H85" s="24"/>
      <c r="I85" s="54"/>
      <c r="J85" s="54"/>
      <c r="K85" s="54"/>
      <c r="L85" s="54"/>
      <c r="M85" s="54"/>
      <c r="N85" s="54"/>
      <c r="O85" s="55"/>
    </row>
    <row r="86" spans="1:15" ht="20" hidden="1" customHeight="1">
      <c r="A86" s="10" t="str">
        <f t="shared" ref="A86:B86" si="16">A17</f>
        <v>Hong Kong</v>
      </c>
      <c r="B86" s="10" t="str">
        <f t="shared" si="16"/>
        <v>HKG</v>
      </c>
      <c r="C86" s="43" cm="1">
        <f t="array" ref="C86">--(SUMPRODUCT(($B$48:$B$69=$B86)*(LEN($C$48:$C$69)&gt;0))&gt;0)</f>
        <v>0</v>
      </c>
      <c r="D86" s="43" cm="1">
        <f t="array" ref="D86">--(SUMPRODUCT(($B$48:$B$69=$B86)*(LEN($E$48:$E$69)&gt;0))&gt;0)</f>
        <v>1</v>
      </c>
      <c r="E86" s="43" cm="1">
        <f t="array" ref="E86">--(SUMPRODUCT(($B$48:$B$69=$B86)*(LEN($F$48:$F$69)&gt;0))&gt;0)</f>
        <v>0</v>
      </c>
      <c r="F86" s="43">
        <f t="shared" si="5"/>
        <v>1</v>
      </c>
      <c r="G86" s="24"/>
      <c r="H86" s="24"/>
      <c r="I86" s="54"/>
      <c r="J86" s="54"/>
      <c r="K86" s="54"/>
      <c r="L86" s="54"/>
      <c r="M86" s="54"/>
      <c r="N86" s="54"/>
      <c r="O86" s="55"/>
    </row>
    <row r="87" spans="1:15" ht="20" hidden="1" customHeight="1">
      <c r="A87" s="10" t="str">
        <f t="shared" ref="A87:B87" si="17">A18</f>
        <v>India</v>
      </c>
      <c r="B87" s="10" t="str">
        <f t="shared" si="17"/>
        <v>IND</v>
      </c>
      <c r="C87" s="43" cm="1">
        <f t="array" ref="C87">--(SUMPRODUCT(($B$48:$B$69=$B87)*(LEN($C$48:$C$69)&gt;0))&gt;0)</f>
        <v>0</v>
      </c>
      <c r="D87" s="43" cm="1">
        <f t="array" ref="D87">--(SUMPRODUCT(($B$48:$B$69=$B87)*(LEN($E$48:$E$69)&gt;0))&gt;0)</f>
        <v>0</v>
      </c>
      <c r="E87" s="43" cm="1">
        <f t="array" ref="E87">--(SUMPRODUCT(($B$48:$B$69=$B87)*(LEN($F$48:$F$69)&gt;0))&gt;0)</f>
        <v>0</v>
      </c>
      <c r="F87" s="43">
        <f t="shared" si="5"/>
        <v>0</v>
      </c>
      <c r="G87" s="24"/>
      <c r="H87" s="24"/>
      <c r="I87" s="54"/>
      <c r="J87" s="54"/>
      <c r="K87" s="54"/>
      <c r="L87" s="54"/>
      <c r="M87" s="54"/>
      <c r="N87" s="54"/>
      <c r="O87" s="55"/>
    </row>
    <row r="88" spans="1:15" ht="20" hidden="1" customHeight="1">
      <c r="A88" s="10" t="str">
        <f t="shared" ref="A88:B88" si="18">A19</f>
        <v>Indonesia</v>
      </c>
      <c r="B88" s="10" t="str">
        <f t="shared" si="18"/>
        <v>IDN</v>
      </c>
      <c r="C88" s="43" cm="1">
        <f t="array" ref="C88">--(SUMPRODUCT(($B$48:$B$69=$B88)*(LEN($C$48:$C$69)&gt;0))&gt;0)</f>
        <v>0</v>
      </c>
      <c r="D88" s="43" cm="1">
        <f t="array" ref="D88">--(SUMPRODUCT(($B$48:$B$69=$B88)*(LEN($E$48:$E$69)&gt;0))&gt;0)</f>
        <v>0</v>
      </c>
      <c r="E88" s="43" cm="1">
        <f t="array" ref="E88">--(SUMPRODUCT(($B$48:$B$69=$B88)*(LEN($F$48:$F$69)&gt;0))&gt;0)</f>
        <v>0</v>
      </c>
      <c r="F88" s="43">
        <f t="shared" si="5"/>
        <v>0</v>
      </c>
      <c r="G88" s="24"/>
      <c r="H88" s="24"/>
      <c r="I88" s="54"/>
      <c r="J88" s="54"/>
      <c r="K88" s="54"/>
      <c r="L88" s="54"/>
      <c r="M88" s="54"/>
      <c r="N88" s="54"/>
      <c r="O88" s="55"/>
    </row>
    <row r="89" spans="1:15" ht="20" hidden="1" customHeight="1">
      <c r="A89" s="10" t="str">
        <f t="shared" ref="A89:B89" si="19">A20</f>
        <v>Japan</v>
      </c>
      <c r="B89" s="10" t="str">
        <f t="shared" si="19"/>
        <v>JPN</v>
      </c>
      <c r="C89" s="43" cm="1">
        <f t="array" ref="C89">--(SUMPRODUCT(($B$48:$B$69=$B89)*(LEN($C$48:$C$69)&gt;0))&gt;0)</f>
        <v>0</v>
      </c>
      <c r="D89" s="43" cm="1">
        <f t="array" ref="D89">--(SUMPRODUCT(($B$48:$B$69=$B89)*(LEN($E$48:$E$69)&gt;0))&gt;0)</f>
        <v>0</v>
      </c>
      <c r="E89" s="43" cm="1">
        <f t="array" ref="E89">--(SUMPRODUCT(($B$48:$B$69=$B89)*(LEN($F$48:$F$69)&gt;0))&gt;0)</f>
        <v>0</v>
      </c>
      <c r="F89" s="43">
        <f t="shared" si="5"/>
        <v>0</v>
      </c>
      <c r="G89" s="24"/>
      <c r="H89" s="24"/>
      <c r="I89" s="54"/>
      <c r="J89" s="54"/>
      <c r="K89" s="54"/>
      <c r="L89" s="54"/>
      <c r="M89" s="54"/>
      <c r="N89" s="54"/>
      <c r="O89" s="55"/>
    </row>
    <row r="90" spans="1:15" ht="20" hidden="1" customHeight="1">
      <c r="A90" s="10" t="str">
        <f t="shared" ref="A90:B90" si="20">A21</f>
        <v>Kazakhstan</v>
      </c>
      <c r="B90" s="10" t="str">
        <f t="shared" si="20"/>
        <v>KAZ</v>
      </c>
      <c r="C90" s="43" cm="1">
        <f t="array" ref="C90">--(SUMPRODUCT(($B$48:$B$69=$B90)*(LEN($C$48:$C$69)&gt;0))&gt;0)</f>
        <v>0</v>
      </c>
      <c r="D90" s="43" cm="1">
        <f t="array" ref="D90">--(SUMPRODUCT(($B$48:$B$69=$B90)*(LEN($E$48:$E$69)&gt;0))&gt;0)</f>
        <v>0</v>
      </c>
      <c r="E90" s="43" cm="1">
        <f t="array" ref="E90">--(SUMPRODUCT(($B$48:$B$69=$B90)*(LEN($F$48:$F$69)&gt;0))&gt;0)</f>
        <v>0</v>
      </c>
      <c r="F90" s="43">
        <f t="shared" si="5"/>
        <v>0</v>
      </c>
      <c r="G90" s="24"/>
      <c r="H90" s="24"/>
      <c r="I90" s="54"/>
      <c r="J90" s="54"/>
      <c r="K90" s="54"/>
      <c r="L90" s="54"/>
      <c r="M90" s="54"/>
      <c r="N90" s="54"/>
      <c r="O90" s="55"/>
    </row>
    <row r="91" spans="1:15" ht="20" hidden="1" customHeight="1">
      <c r="A91" s="10" t="str">
        <f t="shared" ref="A91:B91" si="21">A22</f>
        <v>Laos</v>
      </c>
      <c r="B91" s="10" t="str">
        <f t="shared" si="21"/>
        <v>LAO</v>
      </c>
      <c r="C91" s="43" cm="1">
        <f t="array" ref="C91">--(SUMPRODUCT(($B$48:$B$69=$B91)*(LEN($C$48:$C$69)&gt;0))&gt;0)</f>
        <v>0</v>
      </c>
      <c r="D91" s="43" cm="1">
        <f t="array" ref="D91">--(SUMPRODUCT(($B$48:$B$69=$B91)*(LEN($E$48:$E$69)&gt;0))&gt;0)</f>
        <v>0</v>
      </c>
      <c r="E91" s="43" cm="1">
        <f t="array" ref="E91">--(SUMPRODUCT(($B$48:$B$69=$B91)*(LEN($F$48:$F$69)&gt;0))&gt;0)</f>
        <v>0</v>
      </c>
      <c r="F91" s="43">
        <f t="shared" si="5"/>
        <v>0</v>
      </c>
      <c r="G91" s="24"/>
      <c r="H91" s="24"/>
      <c r="I91" s="54"/>
      <c r="J91" s="54"/>
      <c r="K91" s="54"/>
      <c r="L91" s="54"/>
      <c r="M91" s="54"/>
      <c r="N91" s="54"/>
      <c r="O91" s="55"/>
    </row>
    <row r="92" spans="1:15" ht="20" hidden="1" customHeight="1">
      <c r="A92" s="10" t="str">
        <f t="shared" ref="A92:B92" si="22">A23</f>
        <v>Malaysia</v>
      </c>
      <c r="B92" s="10" t="str">
        <f t="shared" si="22"/>
        <v>MYS</v>
      </c>
      <c r="C92" s="43" cm="1">
        <f t="array" ref="C92">--(SUMPRODUCT(($B$48:$B$69=$B92)*(LEN($C$48:$C$69)&gt;0))&gt;0)</f>
        <v>0</v>
      </c>
      <c r="D92" s="43" cm="1">
        <f t="array" ref="D92">--(SUMPRODUCT(($B$48:$B$69=$B92)*(LEN($E$48:$E$69)&gt;0))&gt;0)</f>
        <v>0</v>
      </c>
      <c r="E92" s="43" cm="1">
        <f t="array" ref="E92">--(SUMPRODUCT(($B$48:$B$69=$B92)*(LEN($F$48:$F$69)&gt;0))&gt;0)</f>
        <v>0</v>
      </c>
      <c r="F92" s="43">
        <f t="shared" si="5"/>
        <v>0</v>
      </c>
      <c r="G92" s="24"/>
      <c r="H92" s="24"/>
      <c r="I92" s="54"/>
      <c r="J92" s="54"/>
      <c r="K92" s="54"/>
      <c r="L92" s="54"/>
      <c r="M92" s="54"/>
      <c r="N92" s="54"/>
      <c r="O92" s="55"/>
    </row>
    <row r="93" spans="1:15" ht="20" hidden="1" customHeight="1">
      <c r="A93" s="10" t="str">
        <f t="shared" ref="A93:B93" si="23">A24</f>
        <v>Mexico</v>
      </c>
      <c r="B93" s="10" t="str">
        <f t="shared" si="23"/>
        <v>MEX</v>
      </c>
      <c r="C93" s="43" cm="1">
        <f t="array" ref="C93">--(SUMPRODUCT(($B$48:$B$69=$B93)*(LEN($C$48:$C$69)&gt;0))&gt;0)</f>
        <v>0</v>
      </c>
      <c r="D93" s="43" cm="1">
        <f t="array" ref="D93">--(SUMPRODUCT(($B$48:$B$69=$B93)*(LEN($E$48:$E$69)&gt;0))&gt;0)</f>
        <v>0</v>
      </c>
      <c r="E93" s="43" cm="1">
        <f t="array" ref="E93">--(SUMPRODUCT(($B$48:$B$69=$B93)*(LEN($F$48:$F$69)&gt;0))&gt;0)</f>
        <v>0</v>
      </c>
      <c r="F93" s="43">
        <f t="shared" si="5"/>
        <v>0</v>
      </c>
      <c r="G93" s="24"/>
      <c r="H93" s="24"/>
      <c r="I93" s="54"/>
      <c r="J93" s="54"/>
      <c r="K93" s="54"/>
      <c r="L93" s="54"/>
      <c r="M93" s="54"/>
      <c r="N93" s="54"/>
      <c r="O93" s="55"/>
    </row>
    <row r="94" spans="1:15" ht="20" hidden="1" customHeight="1">
      <c r="A94" s="10" t="str">
        <f t="shared" ref="A94:B94" si="24">A25</f>
        <v>Mongolia</v>
      </c>
      <c r="B94" s="10" t="str">
        <f t="shared" si="24"/>
        <v>MNG</v>
      </c>
      <c r="C94" s="43" cm="1">
        <f t="array" ref="C94">--(SUMPRODUCT(($B$48:$B$69=$B94)*(LEN($C$48:$C$69)&gt;0))&gt;0)</f>
        <v>1</v>
      </c>
      <c r="D94" s="43" cm="1">
        <f t="array" ref="D94">--(SUMPRODUCT(($B$48:$B$69=$B94)*(LEN($E$48:$E$69)&gt;0))&gt;0)</f>
        <v>0</v>
      </c>
      <c r="E94" s="43" cm="1">
        <f t="array" ref="E94">--(SUMPRODUCT(($B$48:$B$69=$B94)*(LEN($F$48:$F$69)&gt;0))&gt;0)</f>
        <v>0</v>
      </c>
      <c r="F94" s="43">
        <f t="shared" si="5"/>
        <v>1</v>
      </c>
      <c r="G94" s="24"/>
      <c r="H94" s="24"/>
      <c r="I94" s="54"/>
      <c r="J94" s="54"/>
      <c r="K94" s="54"/>
      <c r="L94" s="54"/>
      <c r="M94" s="54"/>
      <c r="N94" s="54"/>
      <c r="O94" s="55"/>
    </row>
    <row r="95" spans="1:15" ht="20" hidden="1" customHeight="1">
      <c r="A95" s="10" t="str">
        <f t="shared" ref="A95:B95" si="25">A26</f>
        <v>Morocco</v>
      </c>
      <c r="B95" s="10" t="str">
        <f t="shared" si="25"/>
        <v>MAR</v>
      </c>
      <c r="C95" s="43" cm="1">
        <f t="array" ref="C95">--(SUMPRODUCT(($B$48:$B$69=$B95)*(LEN($C$48:$C$69)&gt;0))&gt;0)</f>
        <v>0</v>
      </c>
      <c r="D95" s="43" cm="1">
        <f t="array" ref="D95">--(SUMPRODUCT(($B$48:$B$69=$B95)*(LEN($E$48:$E$69)&gt;0))&gt;0)</f>
        <v>0</v>
      </c>
      <c r="E95" s="43" cm="1">
        <f t="array" ref="E95">--(SUMPRODUCT(($B$48:$B$69=$B95)*(LEN($F$48:$F$69)&gt;0))&gt;0)</f>
        <v>0</v>
      </c>
      <c r="F95" s="43">
        <f t="shared" si="5"/>
        <v>0</v>
      </c>
      <c r="G95" s="24"/>
      <c r="H95" s="24"/>
      <c r="I95" s="54"/>
      <c r="J95" s="54"/>
      <c r="K95" s="54"/>
      <c r="L95" s="54"/>
      <c r="M95" s="54"/>
      <c r="N95" s="54"/>
      <c r="O95" s="55"/>
    </row>
    <row r="96" spans="1:15" ht="20" hidden="1" customHeight="1">
      <c r="A96" s="10" t="str">
        <f t="shared" ref="A96:B96" si="26">A27</f>
        <v>North Korea</v>
      </c>
      <c r="B96" s="10" t="str">
        <f t="shared" si="26"/>
        <v>PRK</v>
      </c>
      <c r="C96" s="43" cm="1">
        <f t="array" ref="C96">--(SUMPRODUCT(($B$48:$B$69=$B96)*(LEN($C$48:$C$69)&gt;0))&gt;0)</f>
        <v>1</v>
      </c>
      <c r="D96" s="43" cm="1">
        <f t="array" ref="D96">--(SUMPRODUCT(($B$48:$B$69=$B96)*(LEN($E$48:$E$69)&gt;0))&gt;0)</f>
        <v>1</v>
      </c>
      <c r="E96" s="43" cm="1">
        <f t="array" ref="E96">--(SUMPRODUCT(($B$48:$B$69=$B96)*(LEN($F$48:$F$69)&gt;0))&gt;0)</f>
        <v>0</v>
      </c>
      <c r="F96" s="43">
        <f t="shared" si="5"/>
        <v>2</v>
      </c>
      <c r="G96" s="24"/>
      <c r="H96" s="24"/>
      <c r="I96" s="54"/>
      <c r="J96" s="54"/>
      <c r="K96" s="54"/>
      <c r="L96" s="54"/>
      <c r="M96" s="54"/>
      <c r="N96" s="54"/>
      <c r="O96" s="55"/>
    </row>
    <row r="97" spans="1:15" ht="20" hidden="1" customHeight="1">
      <c r="A97" s="10" t="str">
        <f t="shared" ref="A97:B97" si="27">A28</f>
        <v>Pakistan</v>
      </c>
      <c r="B97" s="10" t="str">
        <f t="shared" si="27"/>
        <v>PAK</v>
      </c>
      <c r="C97" s="43" cm="1">
        <f t="array" ref="C97">--(SUMPRODUCT(($B$48:$B$69=$B97)*(LEN($C$48:$C$69)&gt;0))&gt;0)</f>
        <v>0</v>
      </c>
      <c r="D97" s="43" cm="1">
        <f t="array" ref="D97">--(SUMPRODUCT(($B$48:$B$69=$B97)*(LEN($E$48:$E$69)&gt;0))&gt;0)</f>
        <v>0</v>
      </c>
      <c r="E97" s="43" cm="1">
        <f t="array" ref="E97">--(SUMPRODUCT(($B$48:$B$69=$B97)*(LEN($F$48:$F$69)&gt;0))&gt;0)</f>
        <v>0</v>
      </c>
      <c r="F97" s="43">
        <f t="shared" si="5"/>
        <v>0</v>
      </c>
      <c r="G97" s="24"/>
      <c r="H97" s="24"/>
      <c r="I97" s="54"/>
      <c r="J97" s="54"/>
      <c r="K97" s="54"/>
      <c r="L97" s="54"/>
      <c r="M97" s="54"/>
      <c r="N97" s="54"/>
      <c r="O97" s="55"/>
    </row>
    <row r="98" spans="1:15" ht="20" hidden="1" customHeight="1">
      <c r="A98" s="10" t="str">
        <f t="shared" ref="A98:B98" si="28">A29</f>
        <v>Philippines</v>
      </c>
      <c r="B98" s="10" t="str">
        <f t="shared" si="28"/>
        <v>PHL</v>
      </c>
      <c r="C98" s="43" cm="1">
        <f t="array" ref="C98">--(SUMPRODUCT(($B$48:$B$69=$B98)*(LEN($C$48:$C$69)&gt;0))&gt;0)</f>
        <v>0</v>
      </c>
      <c r="D98" s="43" cm="1">
        <f t="array" ref="D98">--(SUMPRODUCT(($B$48:$B$69=$B98)*(LEN($E$48:$E$69)&gt;0))&gt;0)</f>
        <v>0</v>
      </c>
      <c r="E98" s="43" cm="1">
        <f t="array" ref="E98">--(SUMPRODUCT(($B$48:$B$69=$B98)*(LEN($F$48:$F$69)&gt;0))&gt;0)</f>
        <v>0</v>
      </c>
      <c r="F98" s="43">
        <f t="shared" si="5"/>
        <v>0</v>
      </c>
      <c r="G98" s="24"/>
      <c r="H98" s="24"/>
      <c r="I98" s="54"/>
      <c r="J98" s="54"/>
      <c r="K98" s="54"/>
      <c r="L98" s="54"/>
      <c r="M98" s="54"/>
      <c r="N98" s="54"/>
      <c r="O98" s="55"/>
    </row>
    <row r="99" spans="1:15" ht="20" hidden="1" customHeight="1">
      <c r="A99" s="10" t="str">
        <f t="shared" ref="A99:B99" si="29">A30</f>
        <v>Poland</v>
      </c>
      <c r="B99" s="10" t="str">
        <f t="shared" si="29"/>
        <v>POL</v>
      </c>
      <c r="C99" s="43" cm="1">
        <f t="array" ref="C99">--(SUMPRODUCT(($B$48:$B$69=$B99)*(LEN($C$48:$C$69)&gt;0))&gt;0)</f>
        <v>0</v>
      </c>
      <c r="D99" s="43" cm="1">
        <f t="array" ref="D99">--(SUMPRODUCT(($B$48:$B$69=$B99)*(LEN($E$48:$E$69)&gt;0))&gt;0)</f>
        <v>0</v>
      </c>
      <c r="E99" s="43" cm="1">
        <f t="array" ref="E99">--(SUMPRODUCT(($B$48:$B$69=$B99)*(LEN($F$48:$F$69)&gt;0))&gt;0)</f>
        <v>0</v>
      </c>
      <c r="F99" s="43">
        <f t="shared" si="5"/>
        <v>0</v>
      </c>
      <c r="G99" s="24"/>
      <c r="H99" s="24"/>
      <c r="I99" s="54"/>
      <c r="J99" s="54"/>
      <c r="K99" s="54"/>
      <c r="L99" s="54"/>
      <c r="M99" s="54"/>
      <c r="N99" s="54"/>
      <c r="O99" s="55"/>
    </row>
    <row r="100" spans="1:15" ht="20" hidden="1" customHeight="1">
      <c r="A100" s="10" t="str">
        <f t="shared" ref="A100:B100" si="30">A31</f>
        <v>Russia</v>
      </c>
      <c r="B100" s="10" t="str">
        <f t="shared" si="30"/>
        <v>RUS</v>
      </c>
      <c r="C100" s="43" cm="1">
        <f t="array" ref="C100">--(SUMPRODUCT(($B$48:$B$69=$B100)*(LEN($C$48:$C$69)&gt;0))&gt;0)</f>
        <v>0</v>
      </c>
      <c r="D100" s="43" cm="1">
        <f t="array" ref="D100">--(SUMPRODUCT(($B$48:$B$69=$B100)*(LEN($E$48:$E$69)&gt;0))&gt;0)</f>
        <v>0</v>
      </c>
      <c r="E100" s="43" cm="1">
        <f t="array" ref="E100">--(SUMPRODUCT(($B$48:$B$69=$B100)*(LEN($F$48:$F$69)&gt;0))&gt;0)</f>
        <v>0</v>
      </c>
      <c r="F100" s="43">
        <f t="shared" si="5"/>
        <v>0</v>
      </c>
      <c r="G100" s="24"/>
      <c r="H100" s="24"/>
      <c r="I100" s="54"/>
      <c r="J100" s="54"/>
      <c r="K100" s="54"/>
      <c r="L100" s="54"/>
      <c r="M100" s="54"/>
      <c r="N100" s="54"/>
      <c r="O100" s="55"/>
    </row>
    <row r="101" spans="1:15" ht="20" hidden="1" customHeight="1">
      <c r="A101" s="10" t="str">
        <f t="shared" ref="A101:B101" si="31">A32</f>
        <v>Serbia</v>
      </c>
      <c r="B101" s="10" t="str">
        <f t="shared" si="31"/>
        <v>SRB</v>
      </c>
      <c r="C101" s="43" cm="1">
        <f t="array" ref="C101">--(SUMPRODUCT(($B$48:$B$69=$B101)*(LEN($C$48:$C$69)&gt;0))&gt;0)</f>
        <v>0</v>
      </c>
      <c r="D101" s="43" cm="1">
        <f t="array" ref="D101">--(SUMPRODUCT(($B$48:$B$69=$B101)*(LEN($E$48:$E$69)&gt;0))&gt;0)</f>
        <v>0</v>
      </c>
      <c r="E101" s="43" cm="1">
        <f t="array" ref="E101">--(SUMPRODUCT(($B$48:$B$69=$B101)*(LEN($F$48:$F$69)&gt;0))&gt;0)</f>
        <v>0</v>
      </c>
      <c r="F101" s="43">
        <f t="shared" si="5"/>
        <v>0</v>
      </c>
      <c r="G101" s="24"/>
      <c r="H101" s="24"/>
      <c r="I101" s="54"/>
      <c r="J101" s="54"/>
      <c r="K101" s="54"/>
      <c r="L101" s="54"/>
      <c r="M101" s="54"/>
      <c r="N101" s="54"/>
      <c r="O101" s="55"/>
    </row>
    <row r="102" spans="1:15" ht="20" hidden="1" customHeight="1">
      <c r="A102" s="10" t="str">
        <f t="shared" ref="A102:B102" si="32">A33</f>
        <v>South Africa</v>
      </c>
      <c r="B102" s="10" t="str">
        <f t="shared" si="32"/>
        <v>ZAF</v>
      </c>
      <c r="C102" s="43" cm="1">
        <f t="array" ref="C102">--(SUMPRODUCT(($B$48:$B$69=$B102)*(LEN($C$48:$C$69)&gt;0))&gt;0)</f>
        <v>0</v>
      </c>
      <c r="D102" s="43" cm="1">
        <f t="array" ref="D102">--(SUMPRODUCT(($B$48:$B$69=$B102)*(LEN($E$48:$E$69)&gt;0))&gt;0)</f>
        <v>0</v>
      </c>
      <c r="E102" s="43" cm="1">
        <f t="array" ref="E102">--(SUMPRODUCT(($B$48:$B$69=$B102)*(LEN($F$48:$F$69)&gt;0))&gt;0)</f>
        <v>0</v>
      </c>
      <c r="F102" s="43">
        <f t="shared" si="5"/>
        <v>0</v>
      </c>
      <c r="G102" s="24"/>
      <c r="H102" s="24"/>
      <c r="I102" s="54"/>
      <c r="J102" s="54"/>
      <c r="K102" s="54"/>
      <c r="L102" s="54"/>
      <c r="M102" s="54"/>
      <c r="N102" s="54"/>
      <c r="O102" s="55"/>
    </row>
    <row r="103" spans="1:15" ht="20" hidden="1" customHeight="1">
      <c r="A103" s="10" t="str">
        <f t="shared" ref="A103:B103" si="33">A34</f>
        <v>South Korea</v>
      </c>
      <c r="B103" s="10" t="str">
        <f t="shared" si="33"/>
        <v>KOR</v>
      </c>
      <c r="C103" s="43" cm="1">
        <f t="array" ref="C103">--(SUMPRODUCT(($B$48:$B$69=$B103)*(LEN($C$48:$C$69)&gt;0))&gt;0)</f>
        <v>0</v>
      </c>
      <c r="D103" s="43" cm="1">
        <f t="array" ref="D103">--(SUMPRODUCT(($B$48:$B$69=$B103)*(LEN($E$48:$E$69)&gt;0))&gt;0)</f>
        <v>0</v>
      </c>
      <c r="E103" s="43" cm="1">
        <f t="array" ref="E103">--(SUMPRODUCT(($B$48:$B$69=$B103)*(LEN($F$48:$F$69)&gt;0))&gt;0)</f>
        <v>0</v>
      </c>
      <c r="F103" s="43">
        <f t="shared" si="5"/>
        <v>0</v>
      </c>
      <c r="G103" s="24"/>
      <c r="H103" s="24"/>
      <c r="I103" s="54"/>
      <c r="J103" s="54"/>
      <c r="K103" s="54"/>
      <c r="L103" s="54"/>
      <c r="M103" s="54"/>
      <c r="N103" s="54"/>
      <c r="O103" s="55"/>
    </row>
    <row r="104" spans="1:15" ht="20" hidden="1" customHeight="1">
      <c r="A104" s="10" t="str">
        <f t="shared" ref="A104:B104" si="34">A35</f>
        <v>Sri Lanka</v>
      </c>
      <c r="B104" s="10" t="str">
        <f t="shared" si="34"/>
        <v>LKA</v>
      </c>
      <c r="C104" s="43" cm="1">
        <f t="array" ref="C104">--(SUMPRODUCT(($B$48:$B$69=$B104)*(LEN($C$48:$C$69)&gt;0))&gt;0)</f>
        <v>0</v>
      </c>
      <c r="D104" s="43" cm="1">
        <f t="array" ref="D104">--(SUMPRODUCT(($B$48:$B$69=$B104)*(LEN($E$48:$E$69)&gt;0))&gt;0)</f>
        <v>0</v>
      </c>
      <c r="E104" s="43" cm="1">
        <f t="array" ref="E104">--(SUMPRODUCT(($B$48:$B$69=$B104)*(LEN($F$48:$F$69)&gt;0))&gt;0)</f>
        <v>0</v>
      </c>
      <c r="F104" s="43">
        <f t="shared" si="5"/>
        <v>0</v>
      </c>
      <c r="G104" s="24"/>
      <c r="H104" s="24"/>
      <c r="I104" s="54"/>
      <c r="J104" s="54"/>
      <c r="K104" s="54"/>
      <c r="L104" s="54"/>
      <c r="M104" s="54"/>
      <c r="N104" s="54"/>
      <c r="O104" s="55"/>
    </row>
    <row r="105" spans="1:15" ht="20" hidden="1" customHeight="1">
      <c r="A105" s="10" t="str">
        <f t="shared" ref="A105:B105" si="35">A36</f>
        <v>Taiwan, China</v>
      </c>
      <c r="B105" s="10" t="str">
        <f t="shared" si="35"/>
        <v>TWN</v>
      </c>
      <c r="C105" s="43" cm="1">
        <f t="array" ref="C105">--(SUMPRODUCT(($B$48:$B$69=$B105)*(LEN($C$48:$C$69)&gt;0))&gt;0)</f>
        <v>0</v>
      </c>
      <c r="D105" s="43" cm="1">
        <f t="array" ref="D105">--(SUMPRODUCT(($B$48:$B$69=$B105)*(LEN($E$48:$E$69)&gt;0))&gt;0)</f>
        <v>1</v>
      </c>
      <c r="E105" s="43" cm="1">
        <f t="array" ref="E105">--(SUMPRODUCT(($B$48:$B$69=$B105)*(LEN($F$48:$F$69)&gt;0))&gt;0)</f>
        <v>1</v>
      </c>
      <c r="F105" s="43">
        <f t="shared" si="5"/>
        <v>2</v>
      </c>
      <c r="G105" s="24"/>
      <c r="H105" s="24"/>
      <c r="I105" s="54"/>
      <c r="J105" s="54"/>
      <c r="K105" s="54"/>
      <c r="L105" s="54"/>
      <c r="M105" s="54"/>
      <c r="N105" s="54"/>
      <c r="O105" s="55"/>
    </row>
    <row r="106" spans="1:15" ht="20" hidden="1" customHeight="1">
      <c r="A106" s="10" t="str">
        <f t="shared" ref="A106:B106" si="36">A37</f>
        <v>Thailand</v>
      </c>
      <c r="B106" s="10" t="str">
        <f t="shared" si="36"/>
        <v>THA</v>
      </c>
      <c r="C106" s="43" cm="1">
        <f t="array" ref="C106">--(SUMPRODUCT(($B$48:$B$69=$B106)*(LEN($C$48:$C$69)&gt;0))&gt;0)</f>
        <v>0</v>
      </c>
      <c r="D106" s="43" cm="1">
        <f t="array" ref="D106">--(SUMPRODUCT(($B$48:$B$69=$B106)*(LEN($E$48:$E$69)&gt;0))&gt;0)</f>
        <v>0</v>
      </c>
      <c r="E106" s="43" cm="1">
        <f t="array" ref="E106">--(SUMPRODUCT(($B$48:$B$69=$B106)*(LEN($F$48:$F$69)&gt;0))&gt;0)</f>
        <v>0</v>
      </c>
      <c r="F106" s="43">
        <f t="shared" si="5"/>
        <v>0</v>
      </c>
      <c r="G106" s="24"/>
      <c r="H106" s="24"/>
      <c r="I106" s="54"/>
      <c r="J106" s="54"/>
      <c r="K106" s="54"/>
      <c r="L106" s="54"/>
      <c r="M106" s="54"/>
      <c r="N106" s="54"/>
      <c r="O106" s="55"/>
    </row>
    <row r="107" spans="1:15" ht="20" hidden="1" customHeight="1">
      <c r="A107" s="10" t="str">
        <f t="shared" ref="A107:B107" si="37">A38</f>
        <v>Türkiye</v>
      </c>
      <c r="B107" s="10" t="str">
        <f t="shared" si="37"/>
        <v>TUR</v>
      </c>
      <c r="C107" s="43" cm="1">
        <f t="array" ref="C107">--(SUMPRODUCT(($B$48:$B$69=$B107)*(LEN($C$48:$C$69)&gt;0))&gt;0)</f>
        <v>0</v>
      </c>
      <c r="D107" s="43" cm="1">
        <f t="array" ref="D107">--(SUMPRODUCT(($B$48:$B$69=$B107)*(LEN($E$48:$E$69)&gt;0))&gt;0)</f>
        <v>0</v>
      </c>
      <c r="E107" s="43" cm="1">
        <f t="array" ref="E107">--(SUMPRODUCT(($B$48:$B$69=$B107)*(LEN($F$48:$F$69)&gt;0))&gt;0)</f>
        <v>0</v>
      </c>
      <c r="F107" s="43">
        <f t="shared" si="5"/>
        <v>0</v>
      </c>
      <c r="G107" s="24"/>
      <c r="H107" s="24"/>
      <c r="I107" s="54"/>
      <c r="J107" s="54"/>
      <c r="K107" s="54"/>
      <c r="L107" s="54"/>
      <c r="M107" s="54"/>
      <c r="N107" s="54"/>
      <c r="O107" s="55"/>
    </row>
    <row r="108" spans="1:15" ht="20" hidden="1" customHeight="1">
      <c r="A108" s="10" t="str">
        <f t="shared" ref="A108:B108" si="38">A39</f>
        <v>United States</v>
      </c>
      <c r="B108" s="10" t="str">
        <f t="shared" si="38"/>
        <v>USA</v>
      </c>
      <c r="C108" s="43" cm="1">
        <f t="array" ref="C108">--(SUMPRODUCT(($B$48:$B$69=$B108)*(LEN($C$48:$C$69)&gt;0))&gt;0)</f>
        <v>0</v>
      </c>
      <c r="D108" s="43" cm="1">
        <f t="array" ref="D108">--(SUMPRODUCT(($B$48:$B$69=$B108)*(LEN($E$48:$E$69)&gt;0))&gt;0)</f>
        <v>0</v>
      </c>
      <c r="E108" s="43" cm="1">
        <f t="array" ref="E108">--(SUMPRODUCT(($B$48:$B$69=$B108)*(LEN($F$48:$F$69)&gt;0))&gt;0)</f>
        <v>0</v>
      </c>
      <c r="F108" s="43">
        <f t="shared" si="5"/>
        <v>0</v>
      </c>
      <c r="G108" s="24"/>
      <c r="H108" s="24"/>
      <c r="I108" s="54"/>
      <c r="J108" s="54"/>
      <c r="K108" s="54"/>
      <c r="L108" s="54"/>
      <c r="M108" s="54"/>
      <c r="N108" s="54"/>
      <c r="O108" s="55"/>
    </row>
    <row r="109" spans="1:15" ht="20" hidden="1" customHeight="1">
      <c r="A109" s="10" t="str">
        <f t="shared" ref="A109:B109" si="39">A40</f>
        <v>Vietnam</v>
      </c>
      <c r="B109" s="10" t="str">
        <f t="shared" si="39"/>
        <v>VNM</v>
      </c>
      <c r="C109" s="43" cm="1">
        <f t="array" ref="C109">--(SUMPRODUCT(($B$48:$B$69=$B109)*(LEN($C$48:$C$69)&gt;0))&gt;0)</f>
        <v>0</v>
      </c>
      <c r="D109" s="43" cm="1">
        <f t="array" ref="D109">--(SUMPRODUCT(($B$48:$B$69=$B109)*(LEN($E$48:$E$69)&gt;0))&gt;0)</f>
        <v>0</v>
      </c>
      <c r="E109" s="43" cm="1">
        <f t="array" ref="E109">--(SUMPRODUCT(($B$48:$B$69=$B109)*(LEN($F$48:$F$69)&gt;0))&gt;0)</f>
        <v>0</v>
      </c>
      <c r="F109" s="43">
        <f t="shared" si="5"/>
        <v>0</v>
      </c>
      <c r="G109" s="24"/>
      <c r="H109" s="24"/>
      <c r="I109" s="54"/>
      <c r="J109" s="54"/>
      <c r="K109" s="54"/>
      <c r="L109" s="54"/>
      <c r="M109" s="54"/>
      <c r="N109" s="54"/>
      <c r="O109" s="55"/>
    </row>
  </sheetData>
  <mergeCells count="3">
    <mergeCell ref="C1:H1"/>
    <mergeCell ref="A1:B3"/>
    <mergeCell ref="I1:N1"/>
  </mergeCells>
  <hyperlinks>
    <hyperlink ref="I63" r:id="rId1" tooltip="113 年我國社會保障總體有效覆蓋率94.8％，較105 年增3.3 個百分點" display="https://ws.dgbas.gov.tw/001/Upload/463/relfile/10315/2652/113%E5%B9%B4%E6%88%91%E5%9C%8B%E7%A4%BE%E6%9C%83%E4%BF%9D%E9%9A%9C%E7%B8%BD%E9%AB%94%E6%9C%89%E6%95%88%E8%A6%86%E8%93%8B%E7%8E%8794.8%EF%BC%85%EF%BC%8C%E8%BC%83105%E5%B9%B4%E5%A2%9E3.3%E5%80%8B%E7%99%BE%E5%88%86%E9%BB%9E.pdf?utm_source=chatgpt.com" xr:uid="{7EC52A97-CF7D-5F4E-AF7F-D32919C14BA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42DA-38EA-4945-BF58-B7C05C5E4338}">
  <dimension ref="A1:I106"/>
  <sheetViews>
    <sheetView topLeftCell="A56" zoomScaleNormal="100" workbookViewId="0">
      <selection activeCell="H63" sqref="H63"/>
    </sheetView>
  </sheetViews>
  <sheetFormatPr baseColWidth="10" defaultColWidth="8.83203125" defaultRowHeight="20" customHeight="1"/>
  <cols>
    <col min="1" max="1" width="13.5" style="26" bestFit="1" customWidth="1"/>
    <col min="2" max="2" width="20.83203125" style="26" customWidth="1"/>
    <col min="3" max="5" width="10.83203125" style="26" customWidth="1"/>
    <col min="6" max="6" width="33.83203125" style="26" bestFit="1" customWidth="1"/>
    <col min="7" max="7" width="20.33203125" style="60" customWidth="1"/>
    <col min="8" max="8" width="82.1640625" style="26" bestFit="1" customWidth="1"/>
    <col min="9" max="9" width="34.6640625" style="26" customWidth="1"/>
    <col min="10" max="16384" width="8.83203125" style="26"/>
  </cols>
  <sheetData>
    <row r="1" spans="1:9" s="35" customFormat="1" ht="50" customHeight="1">
      <c r="A1" s="204" t="s">
        <v>685</v>
      </c>
      <c r="B1" s="204"/>
      <c r="C1" s="204"/>
      <c r="D1" s="204"/>
      <c r="E1" s="204"/>
      <c r="F1" s="204"/>
      <c r="G1" s="204"/>
      <c r="H1" s="204"/>
      <c r="I1" s="204"/>
    </row>
    <row r="2" spans="1:9" ht="20" customHeight="1">
      <c r="A2" s="62" t="s">
        <v>441</v>
      </c>
      <c r="B2" s="62"/>
      <c r="C2" s="62"/>
      <c r="D2" s="62"/>
      <c r="E2" s="62"/>
      <c r="F2" s="62" t="s">
        <v>501</v>
      </c>
      <c r="G2" s="63" t="s">
        <v>502</v>
      </c>
      <c r="H2" s="62" t="s">
        <v>444</v>
      </c>
      <c r="I2" s="62"/>
    </row>
    <row r="3" spans="1:9" ht="20" customHeight="1">
      <c r="A3" s="35" t="s">
        <v>615</v>
      </c>
      <c r="B3" s="35" t="s">
        <v>570</v>
      </c>
      <c r="C3" s="35"/>
      <c r="D3" s="35"/>
      <c r="E3" s="35"/>
      <c r="F3" s="64" t="s">
        <v>616</v>
      </c>
      <c r="G3" s="162">
        <f>0</f>
        <v>0</v>
      </c>
      <c r="H3" s="64" t="s">
        <v>617</v>
      </c>
    </row>
    <row r="4" spans="1:9" ht="20" customHeight="1">
      <c r="A4" s="35" t="s">
        <v>874</v>
      </c>
      <c r="B4" s="35" t="s">
        <v>571</v>
      </c>
      <c r="C4" s="35"/>
      <c r="D4" s="35"/>
      <c r="E4" s="35"/>
      <c r="F4" s="64" t="s">
        <v>875</v>
      </c>
      <c r="G4" s="162" t="s">
        <v>876</v>
      </c>
      <c r="H4" s="64" t="s">
        <v>877</v>
      </c>
    </row>
    <row r="5" spans="1:9" ht="20" hidden="1" customHeight="1">
      <c r="A5" s="35" t="s">
        <v>864</v>
      </c>
      <c r="B5" s="35" t="s">
        <v>571</v>
      </c>
      <c r="C5" s="35"/>
      <c r="D5" s="35"/>
      <c r="E5" s="35"/>
      <c r="F5" s="64" t="s">
        <v>503</v>
      </c>
      <c r="G5" s="163" cm="1">
        <f t="array" ref="G5">MIN(_xlfn._xlws.FILTER('Pillar-1'!$D$5:$D$40,ISNUMBER('Pillar-1'!$D$5:$D$40)))</f>
        <v>2.17</v>
      </c>
      <c r="H5" s="64" t="str">
        <f>"Minimum observed: "&amp;INDEX('Pillar-1'!$A$5:$A$40,MATCH(G5,'Pillar-1'!$D$5:$D$40,0))&amp;" ("&amp;TEXT(G5,"0.00")&amp;"%)."</f>
        <v>Minimum observed: Brazil (2.17%).</v>
      </c>
    </row>
    <row r="6" spans="1:9" ht="20" hidden="1" customHeight="1">
      <c r="A6" s="35" t="s">
        <v>864</v>
      </c>
      <c r="B6" s="35" t="s">
        <v>571</v>
      </c>
      <c r="C6" s="35"/>
      <c r="D6" s="35"/>
      <c r="E6" s="35"/>
      <c r="F6" s="64" t="s">
        <v>504</v>
      </c>
      <c r="G6" s="163" cm="1">
        <f t="array" ref="G6">MAX(_xlfn._xlws.FILTER('Pillar-1'!$D$5:$D$40,ISNUMBER('Pillar-1'!$D$5:$D$40)))</f>
        <v>84.69</v>
      </c>
      <c r="H6" s="64" t="str">
        <f>"Maximum observed: "&amp;INDEX('Pillar-1'!$A$5:$A$40,MATCH(G6,'Pillar-1'!$D$5:$D$40,0))&amp;" ("&amp;TEXT(G6,"0.00")&amp;"%)."</f>
        <v>Maximum observed: Mongolia (84.69%).</v>
      </c>
    </row>
    <row r="7" spans="1:9" ht="20" customHeight="1">
      <c r="A7" s="35" t="s">
        <v>618</v>
      </c>
      <c r="B7" s="35" t="s">
        <v>572</v>
      </c>
      <c r="C7" s="35"/>
      <c r="D7" s="35"/>
      <c r="E7" s="35"/>
      <c r="F7" s="64" t="s">
        <v>505</v>
      </c>
      <c r="G7" s="163" cm="1">
        <f t="array" ref="G7">MIN(_xlfn._xlws.FILTER('Pillar-1'!$E$5:$E$40,ISNUMBER('Pillar-1'!$E$5:$E$40)))</f>
        <v>1.04</v>
      </c>
      <c r="H7" s="64" t="str">
        <f>"Minimum observed: "&amp;INDEX('Pillar-1'!$A$5:$A$40,MATCH(G7,'Pillar-1'!$E$5:$E$40,0))&amp;" ("&amp;TEXT(G7,"0.00")&amp;"%)."</f>
        <v>Minimum observed: Hong Kong (1.04%).</v>
      </c>
    </row>
    <row r="8" spans="1:9" ht="20" customHeight="1">
      <c r="A8" s="35" t="s">
        <v>618</v>
      </c>
      <c r="B8" s="35" t="s">
        <v>572</v>
      </c>
      <c r="C8" s="35"/>
      <c r="D8" s="35"/>
      <c r="E8" s="35"/>
      <c r="F8" s="64" t="s">
        <v>506</v>
      </c>
      <c r="G8" s="163" cm="1">
        <f t="array" ref="G8">MAX(_xlfn._xlws.FILTER('Pillar-1'!$E$5:$E$40,ISNUMBER('Pillar-1'!$E$5:$E$40)))</f>
        <v>87.33</v>
      </c>
      <c r="H8" s="64" t="str">
        <f>"Maximum observed: "&amp;INDEX('Pillar-1'!$A$5:$A$40,MATCH(G8,'Pillar-1'!$E$5:$E$40,0))&amp;" ("&amp;TEXT(G8,"0.00")&amp;"%)."</f>
        <v>Maximum observed: Brazil (87.33%).</v>
      </c>
    </row>
    <row r="9" spans="1:9" ht="20" customHeight="1">
      <c r="A9" s="35" t="s">
        <v>619</v>
      </c>
      <c r="B9" s="35" t="s">
        <v>573</v>
      </c>
      <c r="C9" s="35"/>
      <c r="D9" s="35"/>
      <c r="E9" s="35"/>
      <c r="F9" s="64" t="s">
        <v>507</v>
      </c>
      <c r="G9" s="163" cm="1">
        <f t="array" ref="G9">MIN(_xlfn._xlws.FILTER('Pillar-1'!$F$5:$F$40,ISNUMBER('Pillar-1'!$F$5:$F$40)))</f>
        <v>0.17</v>
      </c>
      <c r="H9" s="64" t="str">
        <f>"Minimum observed: "&amp;INDEX('Pillar-1'!$A$5:$A$40,MATCH(G9,'Pillar-1'!$F$5:$F$40,0))&amp;" ("&amp;TEXT(G9,"0.00")&amp;"%)."</f>
        <v>Minimum observed: Laos (0.17%).</v>
      </c>
    </row>
    <row r="10" spans="1:9" ht="20" customHeight="1">
      <c r="A10" s="35" t="s">
        <v>619</v>
      </c>
      <c r="B10" s="35" t="s">
        <v>573</v>
      </c>
      <c r="C10" s="35"/>
      <c r="D10" s="35"/>
      <c r="E10" s="35"/>
      <c r="F10" s="64" t="s">
        <v>508</v>
      </c>
      <c r="G10" s="163" cm="1">
        <f t="array" ref="G10">MAX(_xlfn._xlws.FILTER('Pillar-1'!$F$5:$F$40,ISNUMBER('Pillar-1'!$F$5:$F$40)))</f>
        <v>43.5</v>
      </c>
      <c r="H10" s="64" t="str">
        <f>"Maximum observed: "&amp;INDEX('Pillar-1'!$A$5:$A$40,MATCH(G10,'Pillar-1'!$F$5:$F$40,0))&amp;" ("&amp;TEXT(G10,"0.00")&amp;"%)."</f>
        <v>Maximum observed: Germany (43.50%).</v>
      </c>
    </row>
    <row r="11" spans="1:9" ht="20" customHeight="1">
      <c r="A11" s="35" t="s">
        <v>620</v>
      </c>
      <c r="B11" s="35" t="s">
        <v>574</v>
      </c>
      <c r="C11" s="35"/>
      <c r="D11" s="35"/>
      <c r="E11" s="35"/>
      <c r="F11" s="64" t="s">
        <v>509</v>
      </c>
      <c r="G11" s="163" cm="1">
        <f t="array" ref="G11">_xlfn.PERCENTILE.INC(_xlfn._xlws.FILTER('Pillar-1'!$G$5:$G$40,ISNUMBER('Pillar-1'!$G$5:$G$40)),0.05)</f>
        <v>220.39750000000001</v>
      </c>
      <c r="H11" s="64" t="str">
        <f>"P5 lower fence; minimum observed: "&amp;INDEX('Pillar-1'!$A$5:$A$40,MATCH(MIN('Pillar-1'!$G$5:$G$40),'Pillar-1'!$G$5:$G$40,0))&amp;" ("&amp;TEXT(MIN('Pillar-1'!$G$5:$G$40),"0.00")&amp;" gCO₂e/kWh)."</f>
        <v>P5 lower fence; minimum observed: Brazil (106.06 gCO₂e/kWh).</v>
      </c>
    </row>
    <row r="12" spans="1:9" ht="20" customHeight="1">
      <c r="A12" s="35" t="s">
        <v>620</v>
      </c>
      <c r="B12" s="35" t="s">
        <v>574</v>
      </c>
      <c r="C12" s="35"/>
      <c r="D12" s="35"/>
      <c r="E12" s="35"/>
      <c r="F12" s="64" t="s">
        <v>510</v>
      </c>
      <c r="G12" s="163" cm="1">
        <f t="array" ref="G12">_xlfn.PERCENTILE.INC(_xlfn._xlws.FILTER('Pillar-1'!$G$5:$G$40,ISNUMBER('Pillar-1'!$G$5:$G$40)),0.95)</f>
        <v>738.53</v>
      </c>
      <c r="H12" s="64" t="str">
        <f>"P95 upper fence; maximum observed: "&amp;INDEX('Pillar-1'!$A$5:$A$40,MATCH(MAX('Pillar-1'!$G$5:$G$40),'Pillar-1'!$G$5:$G$40,0))&amp;" ("&amp;TEXT(MAX('Pillar-1'!$G$5:$G$40),"0.00")&amp;" gCO₂e/kWh)."</f>
        <v>P95 upper fence; maximum observed: Mongolia (810.66 gCO₂e/kWh).</v>
      </c>
    </row>
    <row r="13" spans="1:9" ht="20" customHeight="1">
      <c r="A13" s="35"/>
      <c r="B13" s="35"/>
      <c r="C13" s="35"/>
      <c r="D13" s="35"/>
      <c r="E13" s="35"/>
      <c r="F13" s="65"/>
      <c r="G13" s="66"/>
      <c r="H13" s="65"/>
    </row>
    <row r="14" spans="1:9" ht="20" customHeight="1">
      <c r="A14" s="35"/>
      <c r="B14" s="35"/>
      <c r="C14" s="35"/>
      <c r="D14" s="35"/>
      <c r="E14" s="35"/>
      <c r="F14" s="35"/>
      <c r="G14" s="59"/>
      <c r="H14" s="35"/>
    </row>
    <row r="15" spans="1:9" ht="20" customHeight="1">
      <c r="A15" s="62" t="s">
        <v>442</v>
      </c>
      <c r="B15" s="62"/>
      <c r="C15" s="62"/>
      <c r="D15" s="62"/>
      <c r="E15" s="62"/>
      <c r="F15" s="62" t="s">
        <v>501</v>
      </c>
      <c r="G15" s="63" t="s">
        <v>502</v>
      </c>
      <c r="H15" s="62" t="s">
        <v>444</v>
      </c>
      <c r="I15" s="62"/>
    </row>
    <row r="16" spans="1:9" ht="20" customHeight="1">
      <c r="A16" s="35" t="s">
        <v>583</v>
      </c>
      <c r="B16" s="35" t="s">
        <v>565</v>
      </c>
      <c r="C16" s="35"/>
      <c r="D16" s="35"/>
      <c r="E16" s="35"/>
      <c r="F16" s="139" t="s">
        <v>555</v>
      </c>
      <c r="G16" s="164" cm="1">
        <f t="array" ref="G16">_xlfn.PERCENTILE.INC(_xlfn._xlws.FILTER('Pillar-2'!$D$5:$D$40,ISNUMBER('Pillar-2'!$D$5:$D$40)),0.95)</f>
        <v>1.4038108540572938</v>
      </c>
      <c r="H16" s="139" t="s">
        <v>878</v>
      </c>
    </row>
    <row r="17" spans="1:9" ht="20" customHeight="1">
      <c r="A17" s="35" t="s">
        <v>584</v>
      </c>
      <c r="B17" s="35" t="s">
        <v>566</v>
      </c>
      <c r="C17" s="35"/>
      <c r="D17" s="35"/>
      <c r="E17" s="35"/>
      <c r="F17" s="65" t="s">
        <v>556</v>
      </c>
      <c r="G17" s="165" cm="1">
        <f t="array" ref="G17">_xlfn.PERCENTILE.INC(_xlfn._xlws.FILTER('Pillar-2'!$E$5:$E$40,ISNUMBER('Pillar-2'!$E$5:$E$40)),0.95)</f>
        <v>0.18224109167130084</v>
      </c>
      <c r="H17" s="65" t="s">
        <v>879</v>
      </c>
    </row>
    <row r="18" spans="1:9" ht="20" customHeight="1">
      <c r="A18" s="35" t="s">
        <v>585</v>
      </c>
      <c r="B18" s="35" t="s">
        <v>586</v>
      </c>
      <c r="C18" s="35"/>
      <c r="D18" s="35"/>
      <c r="E18" s="35"/>
      <c r="F18" s="65" t="s">
        <v>557</v>
      </c>
      <c r="G18" s="165" cm="1">
        <f t="array" ref="G18">_xlfn.PERCENTILE.INC(_xlfn._xlws.FILTER('Pillar-2'!$F$5:$F$40,ISNUMBER('Pillar-2'!$F$5:$F$40)),0.05)</f>
        <v>-3.4138571428571427</v>
      </c>
      <c r="H18" s="65" t="str">
        <f>"P5 lower fence; minimum observed: "&amp;INDEX('Pillar-2'!$A$5:$A$40,MATCH(MIN('Pillar-2'!$F$5:$F$40),'Pillar-2'!$F$5:$F$40,0))&amp;" ("&amp;TEXT(MIN('Pillar-2'!$F$5:$F$40),"0.00")&amp;" pp/yr)."</f>
        <v>P5 lower fence; minimum observed: Chile (-4.05 pp/yr).</v>
      </c>
    </row>
    <row r="19" spans="1:9" ht="20" customHeight="1">
      <c r="A19" s="35" t="s">
        <v>585</v>
      </c>
      <c r="B19" s="35" t="s">
        <v>586</v>
      </c>
      <c r="C19" s="35"/>
      <c r="D19" s="35"/>
      <c r="E19" s="35"/>
      <c r="F19" s="65" t="s">
        <v>558</v>
      </c>
      <c r="G19" s="137" cm="1">
        <f t="array" ref="G19">_xlfn.PERCENTILE.INC(_xlfn._xlws.FILTER('Pillar-2'!$F$5:$F$40,ISNUMBER('Pillar-2'!$F$5:$F$40)),0.95)</f>
        <v>2.390857142857143</v>
      </c>
      <c r="H19" s="65" t="str">
        <f>"P95 upper fence; maximum observed: "&amp;INDEX('Pillar-2'!$A$5:$A$40,MATCH(MAX('Pillar-2'!$F$5:$F$40),'Pillar-2'!$F$5:$F$40,0))&amp;" ("&amp;TEXT(MAX('Pillar-2'!$F$5:$F$40),"0.00")&amp;" pp/yr)."</f>
        <v>P95 upper fence; maximum observed: Cambodia (4.03 pp/yr).</v>
      </c>
    </row>
    <row r="20" spans="1:9" ht="20" customHeight="1">
      <c r="A20" s="35" t="s">
        <v>587</v>
      </c>
      <c r="B20" s="35" t="s">
        <v>588</v>
      </c>
      <c r="C20" s="35"/>
      <c r="D20" s="35"/>
      <c r="E20" s="35"/>
      <c r="F20" s="65" t="s">
        <v>559</v>
      </c>
      <c r="G20" s="165" cm="1">
        <f t="array" ref="G20">_xlfn.PERCENTILE.INC(_xlfn._xlws.FILTER('Pillar-2'!$G$5:$G$40,ISNUMBER('Pillar-2'!$G$5:$G$40)),0.05)</f>
        <v>-0.23771428571428585</v>
      </c>
      <c r="H20" s="65" t="str">
        <f>"P5 lower fence; minimum observed: "&amp;INDEX('Pillar-2'!$A$5:$A$40,MATCH(MIN('Pillar-2'!$G$5:$G$40),'Pillar-2'!$G$5:$G$40,0))&amp;" ("&amp;TEXT(MIN('Pillar-2'!$G$5:$G$40),"0.00")&amp;" pp/yr)."</f>
        <v>P5 lower fence; minimum observed: Cambodia (-2.77 pp/yr).</v>
      </c>
    </row>
    <row r="21" spans="1:9" ht="20" customHeight="1">
      <c r="A21" s="35" t="s">
        <v>587</v>
      </c>
      <c r="B21" s="35" t="s">
        <v>588</v>
      </c>
      <c r="C21" s="35"/>
      <c r="D21" s="35"/>
      <c r="E21" s="35"/>
      <c r="F21" s="65" t="s">
        <v>560</v>
      </c>
      <c r="G21" s="165" cm="1">
        <f t="array" ref="G21">_xlfn.PERCENTILE.INC(_xlfn._xlws.FILTER('Pillar-2'!$G$5:$G$40,ISNUMBER('Pillar-2'!$G$5:$G$40)),0.95)</f>
        <v>3.7822142857142862</v>
      </c>
      <c r="H21" s="65" t="str">
        <f>"P95 upper fence; maximum observed: "&amp;INDEX('Pillar-2'!$A$5:$A$40,MATCH(MAX('Pillar-2'!$G$5:$G$40),'Pillar-2'!$G$5:$G$40,0))&amp;" ("&amp;TEXT(MAX('Pillar-2'!$G$5:$G$40),"0.00")&amp;" pp/yr)."</f>
        <v>P95 upper fence; maximum observed: Chile (4.85 pp/yr).</v>
      </c>
    </row>
    <row r="22" spans="1:9" ht="20" customHeight="1">
      <c r="A22" s="35" t="s">
        <v>589</v>
      </c>
      <c r="B22" s="35" t="s">
        <v>590</v>
      </c>
      <c r="C22" s="35"/>
      <c r="D22" s="35"/>
      <c r="E22" s="35"/>
      <c r="F22" s="65" t="s">
        <v>561</v>
      </c>
      <c r="G22" s="165" cm="1">
        <f t="array" ref="G22">_xlfn.PERCENTILE.INC(_xlfn._xlws.FILTER('Pillar-2'!$H$5:$H$40,ISNUMBER('Pillar-2'!$H$5:$H$40)),0.05)</f>
        <v>-29.173428571428566</v>
      </c>
      <c r="H22" s="65" t="str">
        <f>"P5 lower fence; minimum observed: "&amp;INDEX('Pillar-2'!$A$5:$A$40,MATCH(MIN('Pillar-2'!$H$5:$H$40),'Pillar-2'!$H$5:$H$40,0))&amp;" ("&amp;TEXT(MIN('Pillar-2'!$H$5:$H$40),"0.00")&amp;" gCO₂/kWh/yr)."</f>
        <v>P5 lower fence; minimum observed: Chile (-41.16 gCO₂/kWh/yr).</v>
      </c>
    </row>
    <row r="23" spans="1:9" ht="20" customHeight="1">
      <c r="A23" s="35" t="s">
        <v>589</v>
      </c>
      <c r="B23" s="35" t="s">
        <v>590</v>
      </c>
      <c r="C23" s="35"/>
      <c r="D23" s="35"/>
      <c r="E23" s="35"/>
      <c r="F23" s="65" t="s">
        <v>562</v>
      </c>
      <c r="G23" s="137" cm="1">
        <f t="array" ref="G23">_xlfn.PERCENTILE.INC(_xlfn._xlws.FILTER('Pillar-2'!$H$5:$H$40,ISNUMBER('Pillar-2'!$H$5:$H$40)),0.95)</f>
        <v>3.8832857142857162</v>
      </c>
      <c r="H23" s="65" t="str">
        <f>"P95 upper fence; maximum observed: "&amp;INDEX('Pillar-2'!$A$5:$A$40,MATCH(MAX('Pillar-2'!$H$5:$H$40),'Pillar-2'!$H$5:$H$40,0))&amp;" ("&amp;TEXT(MAX('Pillar-2'!$H$5:$H$40),"0.00")&amp;" gCO₂/kWh/yr)."</f>
        <v>P95 upper fence; maximum observed: Cambodia (21.46 gCO₂/kWh/yr).</v>
      </c>
    </row>
    <row r="24" spans="1:9" ht="35" customHeight="1">
      <c r="A24" s="35" t="s">
        <v>686</v>
      </c>
      <c r="B24" s="35" t="s">
        <v>868</v>
      </c>
      <c r="C24" s="35"/>
      <c r="D24" s="35"/>
      <c r="E24" s="35"/>
      <c r="F24" s="243" t="s">
        <v>887</v>
      </c>
      <c r="G24" s="243"/>
      <c r="H24" s="243"/>
      <c r="I24" s="243"/>
    </row>
    <row r="25" spans="1:9" ht="30">
      <c r="A25" s="35"/>
      <c r="B25" s="35"/>
      <c r="C25" s="35"/>
      <c r="D25" s="35"/>
      <c r="E25" s="35"/>
      <c r="F25" s="68" t="s">
        <v>511</v>
      </c>
      <c r="G25" s="68" t="s">
        <v>528</v>
      </c>
      <c r="H25" s="68" t="s">
        <v>512</v>
      </c>
      <c r="I25" s="68" t="s">
        <v>513</v>
      </c>
    </row>
    <row r="26" spans="1:9" ht="20" customHeight="1">
      <c r="A26" s="35"/>
      <c r="B26" s="35"/>
      <c r="C26" s="35"/>
      <c r="D26" s="35"/>
      <c r="E26" s="35"/>
      <c r="F26" s="239" t="s">
        <v>514</v>
      </c>
      <c r="G26" s="239">
        <v>50</v>
      </c>
      <c r="H26" s="38" t="s">
        <v>515</v>
      </c>
      <c r="I26" s="39">
        <v>50</v>
      </c>
    </row>
    <row r="27" spans="1:9" ht="20" customHeight="1">
      <c r="A27" s="35"/>
      <c r="B27" s="35"/>
      <c r="C27" s="35"/>
      <c r="D27" s="35"/>
      <c r="E27" s="35"/>
      <c r="F27" s="241"/>
      <c r="G27" s="241"/>
      <c r="H27" s="38" t="s">
        <v>516</v>
      </c>
      <c r="I27" s="39">
        <v>20</v>
      </c>
    </row>
    <row r="28" spans="1:9" ht="20" customHeight="1">
      <c r="A28" s="35"/>
      <c r="B28" s="35"/>
      <c r="C28" s="35"/>
      <c r="D28" s="35"/>
      <c r="E28" s="35"/>
      <c r="F28" s="241"/>
      <c r="G28" s="241"/>
      <c r="H28" s="38" t="s">
        <v>517</v>
      </c>
      <c r="I28" s="39">
        <v>5</v>
      </c>
    </row>
    <row r="29" spans="1:9" ht="20" customHeight="1">
      <c r="A29" s="35"/>
      <c r="B29" s="35"/>
      <c r="C29" s="35"/>
      <c r="D29" s="35"/>
      <c r="E29" s="35"/>
      <c r="F29" s="240"/>
      <c r="G29" s="240"/>
      <c r="H29" s="38" t="s">
        <v>539</v>
      </c>
      <c r="I29" s="39">
        <v>0</v>
      </c>
    </row>
    <row r="30" spans="1:9" ht="20" customHeight="1">
      <c r="A30" s="35"/>
      <c r="B30" s="35"/>
      <c r="C30" s="35"/>
      <c r="D30" s="35"/>
      <c r="E30" s="35"/>
      <c r="F30" s="239" t="s">
        <v>518</v>
      </c>
      <c r="G30" s="239">
        <v>10</v>
      </c>
      <c r="H30" s="38" t="s">
        <v>519</v>
      </c>
      <c r="I30" s="39">
        <v>10</v>
      </c>
    </row>
    <row r="31" spans="1:9" ht="20" customHeight="1">
      <c r="A31" s="35"/>
      <c r="B31" s="35"/>
      <c r="C31" s="35"/>
      <c r="D31" s="35"/>
      <c r="E31" s="35"/>
      <c r="F31" s="240"/>
      <c r="G31" s="240"/>
      <c r="H31" s="38" t="s">
        <v>451</v>
      </c>
      <c r="I31" s="39">
        <v>5</v>
      </c>
    </row>
    <row r="32" spans="1:9" ht="20" customHeight="1">
      <c r="A32" s="35"/>
      <c r="B32" s="35"/>
      <c r="C32" s="35"/>
      <c r="D32" s="35"/>
      <c r="E32" s="35"/>
      <c r="F32" s="239" t="s">
        <v>520</v>
      </c>
      <c r="G32" s="239">
        <v>20</v>
      </c>
      <c r="H32" s="38" t="s">
        <v>521</v>
      </c>
      <c r="I32" s="39">
        <v>20</v>
      </c>
    </row>
    <row r="33" spans="1:9" ht="20" customHeight="1">
      <c r="A33" s="35"/>
      <c r="B33" s="35"/>
      <c r="C33" s="35"/>
      <c r="D33" s="35"/>
      <c r="E33" s="35"/>
      <c r="F33" s="241"/>
      <c r="G33" s="241"/>
      <c r="H33" s="38" t="s">
        <v>522</v>
      </c>
      <c r="I33" s="39">
        <v>10</v>
      </c>
    </row>
    <row r="34" spans="1:9" ht="20" customHeight="1">
      <c r="A34" s="35"/>
      <c r="B34" s="35"/>
      <c r="C34" s="35"/>
      <c r="D34" s="35"/>
      <c r="E34" s="35"/>
      <c r="F34" s="240"/>
      <c r="G34" s="240"/>
      <c r="H34" s="38" t="s">
        <v>523</v>
      </c>
      <c r="I34" s="39">
        <v>0</v>
      </c>
    </row>
    <row r="35" spans="1:9" ht="20" customHeight="1">
      <c r="A35" s="35"/>
      <c r="B35" s="35"/>
      <c r="C35" s="35"/>
      <c r="D35" s="35"/>
      <c r="E35" s="35"/>
      <c r="F35" s="239" t="s">
        <v>540</v>
      </c>
      <c r="G35" s="239">
        <v>10</v>
      </c>
      <c r="H35" s="38" t="s">
        <v>524</v>
      </c>
      <c r="I35" s="39">
        <v>10</v>
      </c>
    </row>
    <row r="36" spans="1:9" ht="20" customHeight="1">
      <c r="A36" s="35"/>
      <c r="B36" s="35"/>
      <c r="C36" s="35"/>
      <c r="D36" s="35"/>
      <c r="E36" s="35"/>
      <c r="F36" s="240"/>
      <c r="G36" s="240"/>
      <c r="H36" s="38" t="s">
        <v>525</v>
      </c>
      <c r="I36" s="39">
        <v>0</v>
      </c>
    </row>
    <row r="37" spans="1:9" ht="20" customHeight="1">
      <c r="A37" s="35"/>
      <c r="B37" s="35"/>
      <c r="C37" s="35"/>
      <c r="D37" s="35"/>
      <c r="E37" s="35"/>
      <c r="F37" s="239" t="s">
        <v>526</v>
      </c>
      <c r="G37" s="239">
        <v>5</v>
      </c>
      <c r="H37" s="38" t="s">
        <v>527</v>
      </c>
      <c r="I37" s="39">
        <v>5</v>
      </c>
    </row>
    <row r="38" spans="1:9" ht="20" customHeight="1">
      <c r="A38" s="35"/>
      <c r="B38" s="35"/>
      <c r="C38" s="35"/>
      <c r="D38" s="35"/>
      <c r="E38" s="35"/>
      <c r="F38" s="241"/>
      <c r="G38" s="241"/>
      <c r="H38" s="38" t="s">
        <v>542</v>
      </c>
      <c r="I38" s="39">
        <v>4</v>
      </c>
    </row>
    <row r="39" spans="1:9" ht="20" customHeight="1">
      <c r="A39" s="35"/>
      <c r="B39" s="35"/>
      <c r="C39" s="35"/>
      <c r="D39" s="35"/>
      <c r="E39" s="35"/>
      <c r="F39" s="241"/>
      <c r="G39" s="241"/>
      <c r="H39" s="38" t="s">
        <v>543</v>
      </c>
      <c r="I39" s="39">
        <v>3</v>
      </c>
    </row>
    <row r="40" spans="1:9" ht="20" customHeight="1">
      <c r="A40" s="35"/>
      <c r="B40" s="35"/>
      <c r="C40" s="35"/>
      <c r="D40" s="35"/>
      <c r="E40" s="35"/>
      <c r="F40" s="241"/>
      <c r="G40" s="241"/>
      <c r="H40" s="38" t="s">
        <v>544</v>
      </c>
      <c r="I40" s="39">
        <v>2</v>
      </c>
    </row>
    <row r="41" spans="1:9" ht="20" customHeight="1">
      <c r="A41" s="35"/>
      <c r="B41" s="35"/>
      <c r="C41" s="35"/>
      <c r="D41" s="35"/>
      <c r="E41" s="35"/>
      <c r="F41" s="241"/>
      <c r="G41" s="241"/>
      <c r="H41" s="38" t="s">
        <v>545</v>
      </c>
      <c r="I41" s="39">
        <v>1</v>
      </c>
    </row>
    <row r="42" spans="1:9" ht="20" customHeight="1">
      <c r="A42" s="35"/>
      <c r="B42" s="35"/>
      <c r="C42" s="35"/>
      <c r="D42" s="35"/>
      <c r="E42" s="35"/>
      <c r="F42" s="240"/>
      <c r="G42" s="240"/>
      <c r="H42" s="38" t="s">
        <v>546</v>
      </c>
      <c r="I42" s="39">
        <v>0</v>
      </c>
    </row>
    <row r="43" spans="1:9" ht="20" customHeight="1">
      <c r="A43" s="35"/>
      <c r="B43" s="35"/>
      <c r="C43" s="35"/>
      <c r="D43" s="35"/>
      <c r="E43" s="35"/>
      <c r="F43" s="242" t="s">
        <v>541</v>
      </c>
      <c r="G43" s="242">
        <v>5</v>
      </c>
      <c r="H43" s="38" t="s">
        <v>547</v>
      </c>
      <c r="I43" s="39">
        <v>5</v>
      </c>
    </row>
    <row r="44" spans="1:9" ht="20" customHeight="1">
      <c r="A44" s="35"/>
      <c r="B44" s="35"/>
      <c r="C44" s="35"/>
      <c r="D44" s="35"/>
      <c r="E44" s="35"/>
      <c r="F44" s="242"/>
      <c r="G44" s="242"/>
      <c r="H44" s="38" t="s">
        <v>548</v>
      </c>
      <c r="I44" s="39">
        <v>4</v>
      </c>
    </row>
    <row r="45" spans="1:9" ht="20" customHeight="1">
      <c r="A45" s="35"/>
      <c r="B45" s="35"/>
      <c r="C45" s="35"/>
      <c r="D45" s="35"/>
      <c r="E45" s="35"/>
      <c r="F45" s="242"/>
      <c r="G45" s="242"/>
      <c r="H45" s="38" t="s">
        <v>549</v>
      </c>
      <c r="I45" s="39">
        <v>3</v>
      </c>
    </row>
    <row r="46" spans="1:9" ht="20" customHeight="1">
      <c r="A46" s="35"/>
      <c r="B46" s="35"/>
      <c r="C46" s="35"/>
      <c r="D46" s="35"/>
      <c r="E46" s="35"/>
      <c r="F46" s="242"/>
      <c r="G46" s="242"/>
      <c r="H46" s="38" t="s">
        <v>550</v>
      </c>
      <c r="I46" s="39">
        <v>2</v>
      </c>
    </row>
    <row r="47" spans="1:9" ht="20" customHeight="1">
      <c r="A47" s="35"/>
      <c r="B47" s="35"/>
      <c r="C47" s="35"/>
      <c r="D47" s="35"/>
      <c r="E47" s="35"/>
      <c r="F47" s="242"/>
      <c r="G47" s="242"/>
      <c r="H47" s="38" t="s">
        <v>551</v>
      </c>
      <c r="I47" s="39">
        <v>1</v>
      </c>
    </row>
    <row r="48" spans="1:9" ht="20" customHeight="1">
      <c r="A48" s="35"/>
      <c r="B48" s="35"/>
      <c r="C48" s="35"/>
      <c r="D48" s="35"/>
      <c r="E48" s="35"/>
      <c r="F48" s="242"/>
      <c r="G48" s="242"/>
      <c r="H48" s="38" t="s">
        <v>552</v>
      </c>
      <c r="I48" s="39">
        <v>0</v>
      </c>
    </row>
    <row r="49" spans="1:8" ht="20" customHeight="1">
      <c r="A49" s="35"/>
      <c r="B49" s="35"/>
      <c r="C49" s="35"/>
      <c r="D49" s="35"/>
      <c r="E49" s="35"/>
      <c r="F49" s="67"/>
      <c r="G49" s="59"/>
      <c r="H49" s="67"/>
    </row>
    <row r="50" spans="1:8" ht="20" customHeight="1">
      <c r="A50" s="35"/>
      <c r="B50" s="35"/>
      <c r="C50" s="35"/>
      <c r="D50" s="35"/>
      <c r="E50" s="35"/>
      <c r="F50" s="35" t="s">
        <v>538</v>
      </c>
      <c r="G50" s="40"/>
      <c r="H50" s="40"/>
    </row>
    <row r="51" spans="1:8" ht="20" customHeight="1">
      <c r="A51" s="35"/>
      <c r="B51" s="35"/>
      <c r="C51" s="35"/>
      <c r="D51" s="35"/>
      <c r="E51" s="35"/>
      <c r="F51" s="237" t="s">
        <v>529</v>
      </c>
      <c r="G51" s="238"/>
      <c r="H51" s="68" t="s">
        <v>530</v>
      </c>
    </row>
    <row r="52" spans="1:8" ht="20" customHeight="1">
      <c r="A52" s="35"/>
      <c r="B52" s="35"/>
      <c r="C52" s="35"/>
      <c r="D52" s="35"/>
      <c r="E52" s="35"/>
      <c r="F52" s="236" t="s">
        <v>531</v>
      </c>
      <c r="G52" s="236"/>
      <c r="H52" s="39">
        <v>100</v>
      </c>
    </row>
    <row r="53" spans="1:8" ht="20" customHeight="1">
      <c r="A53" s="35"/>
      <c r="B53" s="35"/>
      <c r="C53" s="35"/>
      <c r="D53" s="35"/>
      <c r="E53" s="35"/>
      <c r="F53" s="236" t="s">
        <v>492</v>
      </c>
      <c r="G53" s="236"/>
      <c r="H53" s="39">
        <v>50</v>
      </c>
    </row>
    <row r="54" spans="1:8" ht="20" customHeight="1">
      <c r="A54" s="35"/>
      <c r="B54" s="35"/>
      <c r="C54" s="35"/>
      <c r="D54" s="35"/>
      <c r="E54" s="35"/>
      <c r="F54" s="236" t="s">
        <v>532</v>
      </c>
      <c r="G54" s="236"/>
      <c r="H54" s="39">
        <v>40</v>
      </c>
    </row>
    <row r="55" spans="1:8" ht="20" customHeight="1">
      <c r="A55" s="35"/>
      <c r="B55" s="35"/>
      <c r="C55" s="35"/>
      <c r="D55" s="35"/>
      <c r="E55" s="35"/>
      <c r="F55" s="236" t="s">
        <v>533</v>
      </c>
      <c r="G55" s="236"/>
      <c r="H55" s="39">
        <v>25</v>
      </c>
    </row>
    <row r="56" spans="1:8" ht="20" customHeight="1">
      <c r="A56" s="35"/>
      <c r="B56" s="35"/>
      <c r="C56" s="35"/>
      <c r="D56" s="35"/>
      <c r="E56" s="35"/>
      <c r="F56" s="236" t="s">
        <v>534</v>
      </c>
      <c r="G56" s="236"/>
      <c r="H56" s="39">
        <v>15</v>
      </c>
    </row>
    <row r="57" spans="1:8" ht="20" customHeight="1">
      <c r="A57" s="35"/>
      <c r="B57" s="35"/>
      <c r="C57" s="35"/>
      <c r="D57" s="35"/>
      <c r="E57" s="35"/>
      <c r="F57" s="236" t="s">
        <v>535</v>
      </c>
      <c r="G57" s="236"/>
      <c r="H57" s="39">
        <v>10</v>
      </c>
    </row>
    <row r="58" spans="1:8" ht="20" customHeight="1">
      <c r="A58" s="35"/>
      <c r="B58" s="35"/>
      <c r="C58" s="35"/>
      <c r="D58" s="35"/>
      <c r="E58" s="35"/>
      <c r="F58" s="236" t="s">
        <v>536</v>
      </c>
      <c r="G58" s="236"/>
      <c r="H58" s="39">
        <v>0</v>
      </c>
    </row>
    <row r="59" spans="1:8" ht="20" customHeight="1">
      <c r="A59" s="35"/>
      <c r="B59" s="35"/>
      <c r="C59" s="35"/>
      <c r="D59" s="35"/>
      <c r="E59" s="35"/>
      <c r="F59" s="236" t="s">
        <v>537</v>
      </c>
      <c r="G59" s="236"/>
      <c r="H59" s="39">
        <v>0</v>
      </c>
    </row>
    <row r="60" spans="1:8" ht="20" customHeight="1">
      <c r="A60" s="35"/>
      <c r="B60" s="35"/>
      <c r="C60" s="35"/>
      <c r="D60" s="35"/>
      <c r="E60" s="35"/>
      <c r="F60" s="67"/>
      <c r="G60" s="59"/>
      <c r="H60" s="67"/>
    </row>
    <row r="61" spans="1:8" ht="20" customHeight="1">
      <c r="A61" s="35" t="s">
        <v>880</v>
      </c>
      <c r="B61" s="35" t="s">
        <v>862</v>
      </c>
      <c r="C61" s="35"/>
      <c r="D61" s="35"/>
      <c r="E61" s="35"/>
      <c r="F61" s="67" t="s">
        <v>881</v>
      </c>
      <c r="G61" s="136">
        <v>0</v>
      </c>
      <c r="H61" s="67" t="s">
        <v>923</v>
      </c>
    </row>
    <row r="62" spans="1:8" ht="20" customHeight="1">
      <c r="A62" s="35" t="s">
        <v>880</v>
      </c>
      <c r="B62" s="35" t="s">
        <v>862</v>
      </c>
      <c r="C62" s="35"/>
      <c r="D62" s="35"/>
      <c r="E62" s="35"/>
      <c r="F62" s="67" t="s">
        <v>881</v>
      </c>
      <c r="G62" s="136">
        <v>0</v>
      </c>
      <c r="H62" s="67" t="s">
        <v>924</v>
      </c>
    </row>
    <row r="63" spans="1:8" ht="20" customHeight="1">
      <c r="A63" s="35" t="s">
        <v>880</v>
      </c>
      <c r="B63" s="35" t="s">
        <v>862</v>
      </c>
      <c r="C63" s="35"/>
      <c r="D63" s="35"/>
      <c r="E63" s="35"/>
      <c r="F63" s="67" t="s">
        <v>881</v>
      </c>
      <c r="G63" s="136">
        <v>25</v>
      </c>
      <c r="H63" s="166" t="s">
        <v>882</v>
      </c>
    </row>
    <row r="64" spans="1:8" ht="20" customHeight="1">
      <c r="A64" s="35" t="s">
        <v>880</v>
      </c>
      <c r="B64" s="35" t="s">
        <v>862</v>
      </c>
      <c r="C64" s="35"/>
      <c r="D64" s="35"/>
      <c r="E64" s="35"/>
      <c r="F64" s="67" t="s">
        <v>881</v>
      </c>
      <c r="G64" s="136">
        <v>50</v>
      </c>
      <c r="H64" s="67" t="s">
        <v>883</v>
      </c>
    </row>
    <row r="65" spans="1:9" ht="20" customHeight="1">
      <c r="A65" s="35" t="s">
        <v>880</v>
      </c>
      <c r="B65" s="35" t="s">
        <v>862</v>
      </c>
      <c r="C65" s="35"/>
      <c r="D65" s="35"/>
      <c r="E65" s="35"/>
      <c r="F65" s="67" t="s">
        <v>881</v>
      </c>
      <c r="G65" s="136">
        <v>75</v>
      </c>
      <c r="H65" s="67" t="s">
        <v>884</v>
      </c>
    </row>
    <row r="66" spans="1:9" ht="20" customHeight="1">
      <c r="A66" s="35" t="s">
        <v>880</v>
      </c>
      <c r="B66" s="35" t="s">
        <v>862</v>
      </c>
      <c r="C66" s="35"/>
      <c r="D66" s="35"/>
      <c r="E66" s="35"/>
      <c r="F66" s="67" t="s">
        <v>881</v>
      </c>
      <c r="G66" s="136">
        <v>100</v>
      </c>
      <c r="H66" s="67" t="s">
        <v>885</v>
      </c>
    </row>
    <row r="67" spans="1:9" ht="20" customHeight="1">
      <c r="A67" s="35"/>
      <c r="B67" s="35"/>
      <c r="C67" s="35"/>
      <c r="D67" s="35"/>
      <c r="E67" s="35"/>
      <c r="F67" s="138"/>
      <c r="G67" s="140"/>
      <c r="H67" s="138"/>
    </row>
    <row r="68" spans="1:9" ht="20" customHeight="1">
      <c r="A68" s="62" t="s">
        <v>450</v>
      </c>
      <c r="B68" s="62"/>
      <c r="C68" s="62"/>
      <c r="D68" s="62"/>
      <c r="E68" s="62"/>
      <c r="F68" s="62" t="s">
        <v>501</v>
      </c>
      <c r="G68" s="63" t="s">
        <v>502</v>
      </c>
      <c r="H68" s="62" t="s">
        <v>444</v>
      </c>
      <c r="I68" s="62"/>
    </row>
    <row r="69" spans="1:9" ht="20" customHeight="1">
      <c r="A69" s="35" t="s">
        <v>618</v>
      </c>
      <c r="B69" s="35" t="s">
        <v>445</v>
      </c>
      <c r="C69" s="35"/>
      <c r="D69" s="35"/>
      <c r="E69" s="35"/>
      <c r="F69" s="139" t="s">
        <v>624</v>
      </c>
      <c r="G69" s="141" cm="1">
        <f t="array" ref="G69">MAX(_xlfn._xlws.FILTER('Pillar-4'!$C$5:$C$40,ISNUMBER('Pillar-4'!$C$5:$C$40)))</f>
        <v>1720</v>
      </c>
      <c r="H69" s="139" t="s">
        <v>888</v>
      </c>
    </row>
    <row r="70" spans="1:9" ht="20" customHeight="1">
      <c r="A70" s="35" t="s">
        <v>619</v>
      </c>
      <c r="B70" s="35" t="s">
        <v>446</v>
      </c>
      <c r="C70" s="35"/>
      <c r="D70" s="35"/>
      <c r="E70" s="35"/>
      <c r="F70" s="65" t="s">
        <v>624</v>
      </c>
      <c r="G70" s="135" cm="1">
        <f t="array" ref="G70">MAX(_xlfn._xlws.FILTER('Pillar-4'!$D$5:$D$40,ISNUMBER('Pillar-4'!$D$5:$D$40)))</f>
        <v>503987087</v>
      </c>
      <c r="H70" s="139" t="s">
        <v>888</v>
      </c>
    </row>
    <row r="71" spans="1:9" ht="20" customHeight="1">
      <c r="A71" s="35" t="s">
        <v>620</v>
      </c>
      <c r="B71" s="35" t="s">
        <v>447</v>
      </c>
      <c r="C71" s="35"/>
      <c r="D71" s="35"/>
      <c r="E71" s="35"/>
      <c r="F71" s="35" t="s">
        <v>624</v>
      </c>
      <c r="G71" s="136" cm="1">
        <f t="array" ref="G71">MAX(_xlfn._xlws.FILTER('Pillar-4'!$E$5:$E$40,ISNUMBER('Pillar-4'!$E$5:$E$40)))</f>
        <v>342523049</v>
      </c>
      <c r="H71" s="139" t="s">
        <v>888</v>
      </c>
    </row>
    <row r="72" spans="1:9" ht="20" hidden="1" customHeight="1">
      <c r="A72" s="35" t="s">
        <v>621</v>
      </c>
      <c r="B72" s="35" t="s">
        <v>786</v>
      </c>
      <c r="C72" s="35"/>
      <c r="D72" s="35"/>
      <c r="E72" s="35"/>
      <c r="F72" s="35" t="s">
        <v>625</v>
      </c>
      <c r="G72" s="136">
        <v>5</v>
      </c>
      <c r="H72" s="35" t="s">
        <v>630</v>
      </c>
    </row>
    <row r="73" spans="1:9" ht="20" hidden="1" customHeight="1">
      <c r="A73" s="35" t="s">
        <v>631</v>
      </c>
      <c r="B73" s="35" t="s">
        <v>769</v>
      </c>
      <c r="C73" s="35"/>
      <c r="D73" s="35"/>
      <c r="E73" s="35"/>
      <c r="F73" s="35" t="s">
        <v>626</v>
      </c>
      <c r="G73" s="136">
        <v>100</v>
      </c>
      <c r="H73" s="35" t="s">
        <v>627</v>
      </c>
    </row>
    <row r="74" spans="1:9" ht="20" hidden="1" customHeight="1">
      <c r="A74" s="35" t="s">
        <v>631</v>
      </c>
      <c r="B74" s="35" t="s">
        <v>769</v>
      </c>
      <c r="C74" s="35"/>
      <c r="D74" s="35"/>
      <c r="E74" s="35"/>
      <c r="F74" s="35" t="s">
        <v>628</v>
      </c>
      <c r="G74" s="136">
        <v>50</v>
      </c>
      <c r="H74" s="35" t="s">
        <v>632</v>
      </c>
    </row>
    <row r="75" spans="1:9" ht="20" hidden="1" customHeight="1">
      <c r="A75" s="35" t="s">
        <v>631</v>
      </c>
      <c r="B75" s="35" t="s">
        <v>769</v>
      </c>
      <c r="C75" s="35"/>
      <c r="D75" s="35"/>
      <c r="E75" s="35"/>
      <c r="F75" s="35" t="s">
        <v>633</v>
      </c>
      <c r="G75" s="136">
        <v>0</v>
      </c>
      <c r="H75" s="35" t="s">
        <v>634</v>
      </c>
    </row>
    <row r="76" spans="1:9" ht="20" customHeight="1">
      <c r="A76" s="35" t="s">
        <v>621</v>
      </c>
      <c r="B76" s="35" t="s">
        <v>773</v>
      </c>
      <c r="C76" s="35"/>
      <c r="D76" s="35"/>
      <c r="E76" s="35"/>
      <c r="F76" s="35" t="s">
        <v>776</v>
      </c>
      <c r="G76" s="136">
        <v>20</v>
      </c>
      <c r="H76" s="35" t="s">
        <v>777</v>
      </c>
    </row>
    <row r="77" spans="1:9" ht="20" customHeight="1">
      <c r="A77" s="35" t="s">
        <v>631</v>
      </c>
      <c r="B77" s="35" t="s">
        <v>774</v>
      </c>
      <c r="C77" s="35"/>
      <c r="D77" s="35"/>
      <c r="E77" s="35"/>
      <c r="F77" s="35" t="s">
        <v>778</v>
      </c>
      <c r="G77" s="136">
        <v>25</v>
      </c>
      <c r="H77" s="35" t="s">
        <v>779</v>
      </c>
    </row>
    <row r="78" spans="1:9" ht="20" customHeight="1">
      <c r="A78" s="35" t="s">
        <v>631</v>
      </c>
      <c r="B78" s="35" t="s">
        <v>774</v>
      </c>
      <c r="C78" s="35"/>
      <c r="D78" s="35"/>
      <c r="E78" s="35"/>
      <c r="F78" s="35" t="s">
        <v>780</v>
      </c>
      <c r="G78" s="136">
        <v>50</v>
      </c>
      <c r="H78" s="35" t="s">
        <v>781</v>
      </c>
    </row>
    <row r="79" spans="1:9" ht="20" customHeight="1">
      <c r="A79" s="35" t="s">
        <v>631</v>
      </c>
      <c r="B79" s="35" t="s">
        <v>774</v>
      </c>
      <c r="C79" s="35"/>
      <c r="D79" s="35"/>
      <c r="E79" s="35"/>
      <c r="F79" s="35" t="s">
        <v>782</v>
      </c>
      <c r="G79" s="136">
        <v>75</v>
      </c>
      <c r="H79" s="35" t="s">
        <v>783</v>
      </c>
    </row>
    <row r="80" spans="1:9" ht="20" customHeight="1">
      <c r="A80" s="35" t="s">
        <v>631</v>
      </c>
      <c r="B80" s="35" t="s">
        <v>774</v>
      </c>
      <c r="C80" s="35"/>
      <c r="D80" s="35"/>
      <c r="E80" s="35"/>
      <c r="F80" s="35" t="s">
        <v>784</v>
      </c>
      <c r="G80" s="137">
        <v>100</v>
      </c>
      <c r="H80" s="35" t="s">
        <v>785</v>
      </c>
    </row>
    <row r="81" spans="1:9" ht="20" customHeight="1">
      <c r="A81" s="35"/>
      <c r="B81" s="35"/>
      <c r="C81" s="35"/>
      <c r="D81" s="35"/>
      <c r="E81" s="35"/>
      <c r="F81" s="35"/>
      <c r="G81" s="137"/>
      <c r="H81" s="35"/>
    </row>
    <row r="82" spans="1:9" ht="20" customHeight="1">
      <c r="A82" s="62" t="s">
        <v>635</v>
      </c>
      <c r="B82" s="62"/>
      <c r="C82" s="62"/>
      <c r="D82" s="62"/>
      <c r="E82" s="62"/>
      <c r="F82" s="62" t="s">
        <v>501</v>
      </c>
      <c r="G82" s="63" t="s">
        <v>502</v>
      </c>
      <c r="H82" s="62" t="s">
        <v>444</v>
      </c>
      <c r="I82" s="62"/>
    </row>
    <row r="83" spans="1:9" ht="20" customHeight="1">
      <c r="A83" s="35" t="s">
        <v>618</v>
      </c>
      <c r="B83" s="35" t="s">
        <v>452</v>
      </c>
      <c r="C83" s="35"/>
      <c r="D83" s="35"/>
      <c r="E83" s="35"/>
      <c r="F83" s="35" t="s">
        <v>636</v>
      </c>
      <c r="G83" s="136">
        <v>200</v>
      </c>
      <c r="H83" s="35" t="s">
        <v>637</v>
      </c>
    </row>
    <row r="84" spans="1:9" ht="20" customHeight="1">
      <c r="A84" s="35" t="s">
        <v>619</v>
      </c>
      <c r="B84" s="35" t="s">
        <v>453</v>
      </c>
      <c r="C84" s="35"/>
      <c r="D84" s="35"/>
      <c r="E84" s="35"/>
      <c r="F84" s="35" t="s">
        <v>638</v>
      </c>
      <c r="G84" s="136">
        <v>5</v>
      </c>
      <c r="H84" s="35" t="s">
        <v>639</v>
      </c>
    </row>
    <row r="85" spans="1:9" ht="20" customHeight="1">
      <c r="A85" s="35" t="s">
        <v>619</v>
      </c>
      <c r="B85" s="35" t="s">
        <v>453</v>
      </c>
      <c r="C85" s="35"/>
      <c r="D85" s="35"/>
      <c r="E85" s="35"/>
      <c r="F85" s="35" t="s">
        <v>640</v>
      </c>
      <c r="G85" s="136">
        <v>10</v>
      </c>
      <c r="H85" s="35" t="s">
        <v>641</v>
      </c>
    </row>
    <row r="86" spans="1:9" ht="20" customHeight="1">
      <c r="A86" s="35" t="s">
        <v>619</v>
      </c>
      <c r="B86" s="35" t="s">
        <v>453</v>
      </c>
      <c r="C86" s="35"/>
      <c r="D86" s="35"/>
      <c r="E86" s="35"/>
      <c r="F86" s="35" t="s">
        <v>642</v>
      </c>
      <c r="G86" s="136">
        <v>20</v>
      </c>
      <c r="H86" s="35" t="s">
        <v>643</v>
      </c>
    </row>
    <row r="87" spans="1:9" ht="20" customHeight="1">
      <c r="A87" s="35" t="s">
        <v>619</v>
      </c>
      <c r="B87" s="35" t="s">
        <v>453</v>
      </c>
      <c r="C87" s="35"/>
      <c r="D87" s="35"/>
      <c r="E87" s="35"/>
      <c r="F87" s="35" t="s">
        <v>644</v>
      </c>
      <c r="G87" s="136">
        <v>50</v>
      </c>
      <c r="H87" s="35" t="s">
        <v>645</v>
      </c>
    </row>
    <row r="88" spans="1:9" ht="20" customHeight="1">
      <c r="A88" s="35" t="s">
        <v>620</v>
      </c>
      <c r="B88" s="35" t="s">
        <v>454</v>
      </c>
      <c r="C88" s="35"/>
      <c r="D88" s="35"/>
      <c r="E88" s="35"/>
      <c r="F88" s="35" t="s">
        <v>646</v>
      </c>
      <c r="G88" s="136">
        <v>150</v>
      </c>
      <c r="H88" s="35" t="s">
        <v>647</v>
      </c>
    </row>
    <row r="89" spans="1:9" ht="20" customHeight="1">
      <c r="A89" s="35" t="s">
        <v>621</v>
      </c>
      <c r="B89" s="35" t="s">
        <v>891</v>
      </c>
      <c r="C89" s="35"/>
      <c r="D89" s="35"/>
      <c r="E89" s="35"/>
      <c r="F89" s="35" t="s">
        <v>895</v>
      </c>
      <c r="G89" s="136" cm="1">
        <f t="array" ref="G89">_xlfn.PERCENTILE.INC(_xlfn._xlws.FILTER('Pillar-5'!$F$5:$F$215,ISNUMBER('Pillar-5'!$F$5:$F$215)),0.95)</f>
        <v>14.666163523860387</v>
      </c>
      <c r="H89" s="35" t="s">
        <v>896</v>
      </c>
    </row>
    <row r="90" spans="1:9" ht="20" hidden="1" customHeight="1">
      <c r="A90" s="35" t="s">
        <v>893</v>
      </c>
      <c r="B90" s="35" t="s">
        <v>455</v>
      </c>
      <c r="C90" s="35"/>
      <c r="D90" s="35"/>
      <c r="E90" s="35"/>
      <c r="F90" s="35" t="s">
        <v>648</v>
      </c>
      <c r="G90" s="136" cm="1">
        <f t="array" ref="G90">MAX(_xlfn._xlws.FILTER('Pillar-5'!$G$5:$G$40,ISNUMBER('Pillar-5'!$G$5:$G$40)))</f>
        <v>76432280000</v>
      </c>
      <c r="H90" s="35" t="s">
        <v>629</v>
      </c>
    </row>
    <row r="91" spans="1:9" ht="20" hidden="1" customHeight="1">
      <c r="A91" s="35" t="s">
        <v>894</v>
      </c>
      <c r="B91" s="35" t="s">
        <v>456</v>
      </c>
      <c r="C91" s="35"/>
      <c r="D91" s="35"/>
      <c r="E91" s="35"/>
      <c r="F91" s="35" t="s">
        <v>649</v>
      </c>
      <c r="G91" s="136" cm="1">
        <f t="array" ref="G91">MAX(_xlfn._xlws.FILTER('Pillar-5'!$H$5:$H$40,ISNUMBER('Pillar-5'!$H$5:$H$40)))</f>
        <v>158</v>
      </c>
      <c r="H91" s="35" t="s">
        <v>629</v>
      </c>
    </row>
    <row r="92" spans="1:9" ht="20" customHeight="1">
      <c r="A92" s="35"/>
      <c r="B92" s="35"/>
      <c r="C92" s="35"/>
      <c r="D92" s="35"/>
      <c r="E92" s="35"/>
      <c r="F92" s="35"/>
      <c r="G92" s="137"/>
      <c r="H92" s="35"/>
    </row>
    <row r="93" spans="1:9" ht="20" customHeight="1">
      <c r="A93" s="35"/>
      <c r="B93" s="35"/>
      <c r="C93" s="35"/>
      <c r="D93" s="35"/>
      <c r="E93" s="35"/>
      <c r="F93" s="35"/>
      <c r="G93" s="137"/>
      <c r="H93" s="35"/>
    </row>
    <row r="94" spans="1:9" ht="20" customHeight="1">
      <c r="A94" s="62" t="s">
        <v>650</v>
      </c>
      <c r="B94" s="62"/>
      <c r="C94" s="62"/>
      <c r="D94" s="62"/>
      <c r="E94" s="62"/>
      <c r="F94" s="62" t="s">
        <v>501</v>
      </c>
      <c r="G94" s="63" t="s">
        <v>502</v>
      </c>
      <c r="H94" s="62" t="s">
        <v>444</v>
      </c>
      <c r="I94" s="62"/>
    </row>
    <row r="95" spans="1:9" ht="20" customHeight="1">
      <c r="A95" s="35" t="s">
        <v>618</v>
      </c>
      <c r="B95" s="35" t="s">
        <v>467</v>
      </c>
      <c r="C95" s="35"/>
      <c r="D95" s="35"/>
      <c r="E95" s="35"/>
      <c r="F95" s="35" t="s">
        <v>651</v>
      </c>
      <c r="G95" s="136">
        <v>20</v>
      </c>
      <c r="H95" s="35" t="s">
        <v>652</v>
      </c>
    </row>
    <row r="96" spans="1:9" ht="20" customHeight="1">
      <c r="A96" s="35" t="s">
        <v>618</v>
      </c>
      <c r="B96" s="35" t="s">
        <v>467</v>
      </c>
      <c r="C96" s="35"/>
      <c r="D96" s="35"/>
      <c r="E96" s="35"/>
      <c r="F96" s="35" t="s">
        <v>653</v>
      </c>
      <c r="G96" s="136">
        <v>5</v>
      </c>
      <c r="H96" s="35" t="s">
        <v>654</v>
      </c>
    </row>
    <row r="97" spans="1:8" ht="20" customHeight="1">
      <c r="A97" s="35" t="s">
        <v>618</v>
      </c>
      <c r="B97" s="35" t="s">
        <v>467</v>
      </c>
      <c r="C97" s="35"/>
      <c r="D97" s="35"/>
      <c r="E97" s="35"/>
      <c r="F97" s="35" t="s">
        <v>655</v>
      </c>
      <c r="G97" s="136">
        <v>-5</v>
      </c>
      <c r="H97" s="35" t="s">
        <v>656</v>
      </c>
    </row>
    <row r="98" spans="1:8" ht="20" customHeight="1">
      <c r="A98" s="35" t="s">
        <v>619</v>
      </c>
      <c r="B98" s="35" t="s">
        <v>902</v>
      </c>
      <c r="C98" s="35"/>
      <c r="D98" s="35"/>
      <c r="E98" s="35"/>
      <c r="F98" s="35" t="s">
        <v>910</v>
      </c>
      <c r="G98" s="173">
        <v>0.35</v>
      </c>
      <c r="H98" s="67" t="s">
        <v>916</v>
      </c>
    </row>
    <row r="99" spans="1:8" ht="20" customHeight="1">
      <c r="A99" s="35" t="s">
        <v>619</v>
      </c>
      <c r="B99" s="35" t="s">
        <v>902</v>
      </c>
      <c r="C99" s="35"/>
      <c r="D99" s="35"/>
      <c r="E99" s="35"/>
      <c r="F99" s="35" t="s">
        <v>910</v>
      </c>
      <c r="G99" s="173">
        <v>0.65</v>
      </c>
      <c r="H99" s="67" t="s">
        <v>917</v>
      </c>
    </row>
    <row r="100" spans="1:8" ht="20" hidden="1" customHeight="1">
      <c r="A100" s="35" t="s">
        <v>911</v>
      </c>
      <c r="B100" s="35" t="s">
        <v>901</v>
      </c>
      <c r="C100" s="35"/>
      <c r="D100" s="35"/>
      <c r="E100" s="35"/>
      <c r="F100" s="35" t="s">
        <v>692</v>
      </c>
      <c r="G100" s="136"/>
      <c r="H100" s="35" t="s">
        <v>912</v>
      </c>
    </row>
    <row r="101" spans="1:8" ht="20" customHeight="1">
      <c r="A101" s="35" t="s">
        <v>620</v>
      </c>
      <c r="B101" s="35" t="s">
        <v>468</v>
      </c>
      <c r="C101" s="35"/>
      <c r="D101" s="35"/>
      <c r="E101" s="35"/>
      <c r="F101" s="35" t="s">
        <v>657</v>
      </c>
      <c r="G101" s="136">
        <v>5</v>
      </c>
      <c r="H101" s="35" t="s">
        <v>658</v>
      </c>
    </row>
    <row r="102" spans="1:8" ht="20" customHeight="1">
      <c r="A102" s="35" t="s">
        <v>620</v>
      </c>
      <c r="B102" s="35" t="s">
        <v>468</v>
      </c>
      <c r="C102" s="35"/>
      <c r="D102" s="35"/>
      <c r="E102" s="35"/>
      <c r="F102" s="35" t="s">
        <v>659</v>
      </c>
      <c r="G102" s="136">
        <v>10</v>
      </c>
      <c r="H102" s="35" t="s">
        <v>660</v>
      </c>
    </row>
    <row r="103" spans="1:8" ht="20" customHeight="1">
      <c r="A103" s="35" t="s">
        <v>620</v>
      </c>
      <c r="B103" s="35" t="s">
        <v>468</v>
      </c>
      <c r="C103" s="35"/>
      <c r="D103" s="35"/>
      <c r="E103" s="35"/>
      <c r="F103" s="35" t="s">
        <v>661</v>
      </c>
      <c r="G103" s="136">
        <v>20</v>
      </c>
      <c r="H103" s="35" t="s">
        <v>662</v>
      </c>
    </row>
    <row r="104" spans="1:8" ht="20" customHeight="1">
      <c r="A104" s="35" t="s">
        <v>620</v>
      </c>
      <c r="B104" s="35" t="s">
        <v>468</v>
      </c>
      <c r="C104" s="35"/>
      <c r="D104" s="35"/>
      <c r="E104" s="35"/>
      <c r="F104" s="35" t="s">
        <v>663</v>
      </c>
      <c r="G104" s="136">
        <v>30</v>
      </c>
      <c r="H104" s="35" t="s">
        <v>664</v>
      </c>
    </row>
    <row r="105" spans="1:8" ht="20" hidden="1" customHeight="1">
      <c r="A105" s="35" t="s">
        <v>893</v>
      </c>
      <c r="B105" s="35" t="s">
        <v>903</v>
      </c>
      <c r="C105" s="35"/>
      <c r="D105" s="35"/>
      <c r="E105" s="35"/>
      <c r="F105" s="35" t="s">
        <v>913</v>
      </c>
      <c r="G105" s="136"/>
      <c r="H105" s="35" t="s">
        <v>914</v>
      </c>
    </row>
    <row r="106" spans="1:8" ht="20" hidden="1" customHeight="1">
      <c r="A106" s="35" t="s">
        <v>894</v>
      </c>
      <c r="B106" s="35" t="s">
        <v>836</v>
      </c>
      <c r="C106" s="35"/>
      <c r="D106" s="35"/>
      <c r="E106" s="35"/>
      <c r="F106" s="35" t="s">
        <v>665</v>
      </c>
      <c r="G106" s="137" cm="1">
        <f t="array" ref="G106">MAX(_xlfn._xlws.FILTER('Pillar-6'!$H$5:$H$40,ISNUMBER('Pillar-6'!$H$5:$H$40)))</f>
        <v>879.37812949129693</v>
      </c>
      <c r="H106" s="35" t="s">
        <v>915</v>
      </c>
    </row>
  </sheetData>
  <mergeCells count="23">
    <mergeCell ref="A1:I1"/>
    <mergeCell ref="F32:F34"/>
    <mergeCell ref="G32:G34"/>
    <mergeCell ref="F24:I24"/>
    <mergeCell ref="F26:F29"/>
    <mergeCell ref="G26:G29"/>
    <mergeCell ref="F30:F31"/>
    <mergeCell ref="G30:G31"/>
    <mergeCell ref="F35:F36"/>
    <mergeCell ref="G35:G36"/>
    <mergeCell ref="F37:F42"/>
    <mergeCell ref="G37:G42"/>
    <mergeCell ref="F43:F48"/>
    <mergeCell ref="G43:G48"/>
    <mergeCell ref="F57:G57"/>
    <mergeCell ref="F58:G58"/>
    <mergeCell ref="F59:G59"/>
    <mergeCell ref="F51:G51"/>
    <mergeCell ref="F52:G52"/>
    <mergeCell ref="F53:G53"/>
    <mergeCell ref="F54:G54"/>
    <mergeCell ref="F55:G55"/>
    <mergeCell ref="F56:G5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FF84-B061-3144-9C99-8C78B02F549B}">
  <dimension ref="A1:R225"/>
  <sheetViews>
    <sheetView workbookViewId="0">
      <pane xSplit="2" ySplit="1" topLeftCell="C133" activePane="bottomRight" state="frozen"/>
      <selection pane="topRight" activeCell="C1" sqref="C1"/>
      <selection pane="bottomLeft" activeCell="A2" sqref="A2"/>
      <selection pane="bottomRight" activeCell="A163" sqref="A163:XFD163"/>
    </sheetView>
  </sheetViews>
  <sheetFormatPr baseColWidth="10" defaultRowHeight="15"/>
  <cols>
    <col min="1" max="1" width="28.33203125" style="32" bestFit="1" customWidth="1"/>
    <col min="2" max="3" width="15.83203125" style="32" customWidth="1"/>
    <col min="4" max="4" width="15.83203125" style="92" customWidth="1"/>
    <col min="5" max="6" width="15.83203125" style="32" customWidth="1"/>
    <col min="7" max="7" width="15.83203125" style="136" customWidth="1"/>
    <col min="8" max="12" width="15.83203125" style="32" customWidth="1"/>
    <col min="13" max="13" width="63.6640625" style="32" bestFit="1" customWidth="1"/>
    <col min="14" max="14" width="10.83203125" style="32"/>
    <col min="15" max="15" width="35.83203125" style="32" customWidth="1"/>
    <col min="16" max="16" width="15.83203125" style="32" customWidth="1"/>
    <col min="17" max="16384" width="10.83203125" style="32"/>
  </cols>
  <sheetData>
    <row r="1" spans="1:18" ht="50" customHeight="1">
      <c r="A1" s="8" t="s">
        <v>2</v>
      </c>
      <c r="B1" s="8" t="s">
        <v>443</v>
      </c>
      <c r="C1" s="8" t="s">
        <v>841</v>
      </c>
      <c r="D1" s="143" t="s">
        <v>615</v>
      </c>
      <c r="E1" s="8" t="s">
        <v>842</v>
      </c>
      <c r="F1" s="8" t="s">
        <v>843</v>
      </c>
      <c r="G1" s="8" t="s">
        <v>845</v>
      </c>
      <c r="H1" s="8" t="s">
        <v>846</v>
      </c>
      <c r="I1" s="8" t="s">
        <v>847</v>
      </c>
      <c r="J1" s="8" t="s">
        <v>848</v>
      </c>
      <c r="K1" s="143" t="s">
        <v>849</v>
      </c>
      <c r="L1" s="143" t="s">
        <v>491</v>
      </c>
      <c r="M1" s="144" t="s">
        <v>839</v>
      </c>
      <c r="O1" s="151" t="s">
        <v>850</v>
      </c>
      <c r="P1" s="244" t="s">
        <v>856</v>
      </c>
      <c r="Q1" s="244"/>
      <c r="R1" s="245"/>
    </row>
    <row r="2" spans="1:18" ht="20" customHeight="1">
      <c r="A2" s="70" t="s">
        <v>24</v>
      </c>
      <c r="B2" s="70" t="s">
        <v>25</v>
      </c>
      <c r="C2" s="93">
        <f>IF($B2="","",_xlfn.LET(_xlpm.x,IFERROR(_xlfn.XLOOKUP($B2,[1]comp_GEM_coal!$B$2:$B$110,[1]comp_GEM_coal!$C$2:$C$110,0,0),0),IF(ISNUMBER(_xlpm.x),_xlpm.x,0)))</f>
        <v>0</v>
      </c>
      <c r="D2" s="93" t="str">
        <f>IF($B2="","",IF(C2&gt;0,"Pass","Fail"))</f>
        <v>Fail</v>
      </c>
      <c r="E2" s="93">
        <f>IF($B2="","",_xlfn.LET(_xlpm.src,IFERROR(_xlfn.XLOOKUP($B2,[1]clean_EMBER_2024!$D$5:$D$201,[1]clean_EMBER_2024!$J$5:$J$201,"",0),""),IF(ISNUMBER(_xlpm.src),_xlpm.src,"Missing")))</f>
        <v>3.03</v>
      </c>
      <c r="F2" s="93">
        <f>IF($B2="","",_xlfn.LET(_xlpm.x,IFERROR(_xlfn.XLOOKUP($B2,[1]comp_GEM_coal!$B$2:$B$110,[1]comp_GEM_coal!$F$2:$F$110,"",0),""),IF(ISNUMBER(_xlpm.x),_xlpm.x,"Missing")))</f>
        <v>0</v>
      </c>
      <c r="G2" s="93" t="str">
        <f>IF($D2&lt;&gt;"Pass","",--($C2&gt;=$Q$3))</f>
        <v/>
      </c>
      <c r="H2" s="93" t="str">
        <f>IF($D2&lt;&gt;"Pass","",IF(ISNUMBER($E2),--($E2&gt;=$Q$4),""))</f>
        <v/>
      </c>
      <c r="I2" s="93" t="str">
        <f>IF($D2&lt;&gt;"Pass","",IF(ISNUMBER($F2),--($F2&gt;=$Q$5),""))</f>
        <v/>
      </c>
      <c r="J2" s="93" t="str">
        <f>IF($D2&lt;&gt;"Pass","",IF(COUNT($G2:$I2)=3,SUM($G2:$I2),""))</f>
        <v/>
      </c>
      <c r="K2" s="93" t="str">
        <f>IF($B2="","",IF($D2="Fail","Not screened",IF(COUNT($G2:$I2)&lt;3,"Review – missing data",IF($J2&gt;=$Q$6,"Pass","Fail"))))</f>
        <v>Not screened</v>
      </c>
      <c r="L2" s="93" t="str">
        <f>IF($B2="","",IF(AND($D2="Pass",$K2="Pass"),"Yes","No"))</f>
        <v>No</v>
      </c>
      <c r="M2" s="93" t="str">
        <f>IF($B2="","",IF($L2="Yes","",IF($D2="Fail","No operating coal capacity recorded in GEM",IF($K2="Review – missing data","Opportunity screen incomplete because one or more fields are missing","Does not meet at least two material-opportunity thresholds"))))</f>
        <v>No operating coal capacity recorded in GEM</v>
      </c>
      <c r="O2" s="125" t="s">
        <v>851</v>
      </c>
      <c r="P2" s="35">
        <v>0.25</v>
      </c>
      <c r="Q2" s="35">
        <v>0.5</v>
      </c>
      <c r="R2" s="145">
        <v>0.75</v>
      </c>
    </row>
    <row r="3" spans="1:18" ht="20" customHeight="1">
      <c r="A3" s="70" t="s">
        <v>30</v>
      </c>
      <c r="B3" s="70" t="s">
        <v>31</v>
      </c>
      <c r="C3" s="93">
        <f>IF($B3="","",_xlfn.LET(_xlpm.x,IFERROR(_xlfn.XLOOKUP($B3,[1]comp_GEM_coal!$B$2:$B$110,[1]comp_GEM_coal!$C$2:$C$110,0,0),0),IF(ISNUMBER(_xlpm.x),_xlpm.x,0)))</f>
        <v>0</v>
      </c>
      <c r="D3" s="93" t="str">
        <f t="shared" ref="D3:D66" si="0">IF($B3="","",IF(C3&gt;0,"Pass","Fail"))</f>
        <v>Fail</v>
      </c>
      <c r="E3" s="93">
        <f>IF($B3="","",_xlfn.LET(_xlpm.src,IFERROR(_xlfn.XLOOKUP($B3,[1]clean_EMBER_2024!$D$5:$D$201,[1]clean_EMBER_2024!$J$5:$J$201,"",0),""),IF(ISNUMBER(_xlpm.src),_xlpm.src,"Missing")))</f>
        <v>0</v>
      </c>
      <c r="F3" s="93">
        <f>IF($B3="","",_xlfn.LET(_xlpm.x,IFERROR(_xlfn.XLOOKUP($B3,[1]comp_GEM_coal!$B$2:$B$110,[1]comp_GEM_coal!$F$2:$F$110,"",0),""),IF(ISNUMBER(_xlpm.x),_xlpm.x,"Missing")))</f>
        <v>0</v>
      </c>
      <c r="G3" s="93" t="str">
        <f t="shared" ref="G3:G66" si="1">IF($D3&lt;&gt;"Pass","",--($C3&gt;=$Q$3))</f>
        <v/>
      </c>
      <c r="H3" s="93" t="str">
        <f t="shared" ref="H3:H66" si="2">IF($D3&lt;&gt;"Pass","",IF(ISNUMBER($E3),--($E3&gt;=$Q$4),""))</f>
        <v/>
      </c>
      <c r="I3" s="93" t="str">
        <f t="shared" ref="I3:I66" si="3">IF($D3&lt;&gt;"Pass","",IF(ISNUMBER($F3),--($F3&gt;=$Q$5),""))</f>
        <v/>
      </c>
      <c r="J3" s="93" t="str">
        <f t="shared" ref="J3:J66" si="4">IF($D3&lt;&gt;"Pass","",IF(COUNT($G3:$I3)=3,SUM($G3:$I3),""))</f>
        <v/>
      </c>
      <c r="K3" s="93" t="str">
        <f t="shared" ref="K3:K66" si="5">IF($B3="","",IF($D3="Fail","Not screened",IF(COUNT($G3:$I3)&lt;3,"Review – missing data",IF($J3&gt;=$Q$6,"Pass","Fail"))))</f>
        <v>Not screened</v>
      </c>
      <c r="L3" s="93" t="str">
        <f t="shared" ref="L3:L66" si="6">IF($B3="","",IF(AND($D3="Pass",$K3="Pass"),"Yes","No"))</f>
        <v>No</v>
      </c>
      <c r="M3" s="93" t="str">
        <f t="shared" ref="M3:M66" si="7">IF($B3="","",IF($L3="Yes","",IF($D3="Fail","No operating coal capacity recorded in GEM",IF($K3="Review – missing data","Opportunity screen incomplete because one or more fields are missing","Does not meet at least two material-opportunity thresholds"))))</f>
        <v>No operating coal capacity recorded in GEM</v>
      </c>
      <c r="O3" s="125" t="s">
        <v>841</v>
      </c>
      <c r="P3" s="35" cm="1">
        <f t="array" ref="P3">_xlfn.PERCENTILE.INC(_xlfn._xlws.FILTER($C$2:$C$216,($D$2:$D$216="Pass")*ISNUMBER($C$2:$C$216)),P$2)</f>
        <v>525</v>
      </c>
      <c r="Q3" s="35" cm="1">
        <f t="array" ref="Q3">_xlfn.PERCENTILE.INC(_xlfn._xlws.FILTER($C$2:$C$216,($D$2:$D$216="Pass")*ISNUMBER($C$2:$C$216)),Q$2)</f>
        <v>1907</v>
      </c>
      <c r="R3" s="145" cm="1">
        <f t="array" ref="R3">_xlfn.PERCENTILE.INC(_xlfn._xlws.FILTER($C$2:$C$216,($D$2:$D$216="Pass")*ISNUMBER($C$2:$C$216)),R$2)</f>
        <v>7230</v>
      </c>
    </row>
    <row r="4" spans="1:18" ht="20" customHeight="1">
      <c r="A4" s="70" t="s">
        <v>129</v>
      </c>
      <c r="B4" s="70" t="s">
        <v>130</v>
      </c>
      <c r="C4" s="93">
        <f>IF($B4="","",_xlfn.LET(_xlpm.x,IFERROR(_xlfn.XLOOKUP($B4,[1]comp_GEM_coal!$B$2:$B$110,[1]comp_GEM_coal!$C$2:$C$110,0,0),0),IF(ISNUMBER(_xlpm.x),_xlpm.x,0)))</f>
        <v>0</v>
      </c>
      <c r="D4" s="93" t="str">
        <f t="shared" si="0"/>
        <v>Fail</v>
      </c>
      <c r="E4" s="93">
        <f>IF($B4="","",_xlfn.LET(_xlpm.src,IFERROR(_xlfn.XLOOKUP($B4,[1]clean_EMBER_2024!$D$5:$D$201,[1]clean_EMBER_2024!$J$5:$J$201,"",0),""),IF(ISNUMBER(_xlpm.src),_xlpm.src,"Missing")))</f>
        <v>0</v>
      </c>
      <c r="F4" s="93" t="str">
        <f>IF($B4="","",_xlfn.LET(_xlpm.x,IFERROR(_xlfn.XLOOKUP($B4,[1]comp_GEM_coal!$B$2:$B$110,[1]comp_GEM_coal!$F$2:$F$110,"",0),""),IF(ISNUMBER(_xlpm.x),_xlpm.x,"Missing")))</f>
        <v>Missing</v>
      </c>
      <c r="G4" s="93" t="str">
        <f t="shared" si="1"/>
        <v/>
      </c>
      <c r="H4" s="93" t="str">
        <f t="shared" si="2"/>
        <v/>
      </c>
      <c r="I4" s="93" t="str">
        <f t="shared" si="3"/>
        <v/>
      </c>
      <c r="J4" s="93" t="str">
        <f t="shared" si="4"/>
        <v/>
      </c>
      <c r="K4" s="93" t="str">
        <f t="shared" si="5"/>
        <v>Not screened</v>
      </c>
      <c r="L4" s="93" t="str">
        <f t="shared" si="6"/>
        <v>No</v>
      </c>
      <c r="M4" s="93" t="str">
        <f t="shared" si="7"/>
        <v>No operating coal capacity recorded in GEM</v>
      </c>
      <c r="O4" s="125" t="s">
        <v>842</v>
      </c>
      <c r="P4" s="110" cm="1">
        <f t="array" ref="P4">_xlfn.LET(_xlpm.iso,_xlfn._xlws.FILTER($B$2:$B$216,$D$2:$D$216="Pass"),_xlpm.src,_xlfn.XLOOKUP(_xlpm.iso,[1]clean_EMBER_2024!$D$5:$D$201,[1]clean_EMBER_2024!$J$5:$J$201,"",0),_xlfn.PERCENTILE.INC(_xlfn._xlws.FILTER(_xlpm.src,ISNUMBER(_xlpm.src)),P$2))</f>
        <v>5.6800000000000006</v>
      </c>
      <c r="Q4" s="110" cm="1">
        <f t="array" ref="Q4">_xlfn.LET(_xlpm.iso,_xlfn._xlws.FILTER($B$2:$B$216,$D$2:$D$216="Pass"),_xlpm.src,_xlfn.XLOOKUP(_xlpm.iso,[1]clean_EMBER_2024!$D$5:$D$201,[1]clean_EMBER_2024!$J$5:$J$201,"",0),_xlfn.PERCENTILE.INC(_xlfn._xlws.FILTER(_xlpm.src,ISNUMBER(_xlpm.src)),Q$2))</f>
        <v>20.259999999999998</v>
      </c>
      <c r="R4" s="146" cm="1">
        <f t="array" ref="R4">_xlfn.LET(_xlpm.iso,_xlfn._xlws.FILTER($B$2:$B$216,$D$2:$D$216="Pass"),_xlpm.src,_xlfn.XLOOKUP(_xlpm.iso,[1]clean_EMBER_2024!$D$5:$D$201,[1]clean_EMBER_2024!$J$5:$J$201,"",0),_xlfn.PERCENTILE.INC(_xlfn._xlws.FILTER(_xlpm.src,ISNUMBER(_xlpm.src)),R$2))</f>
        <v>41.102499999999999</v>
      </c>
    </row>
    <row r="5" spans="1:18" ht="20" customHeight="1">
      <c r="A5" s="70" t="s">
        <v>38</v>
      </c>
      <c r="B5" s="70" t="s">
        <v>39</v>
      </c>
      <c r="C5" s="93">
        <f>IF($B5="","",_xlfn.LET(_xlpm.x,IFERROR(_xlfn.XLOOKUP($B5,[1]comp_GEM_coal!$B$2:$B$110,[1]comp_GEM_coal!$C$2:$C$110,0,0),0),IF(ISNUMBER(_xlpm.x),_xlpm.x,0)))</f>
        <v>0</v>
      </c>
      <c r="D5" s="93" t="str">
        <f t="shared" si="0"/>
        <v>Fail</v>
      </c>
      <c r="E5" s="93">
        <f>IF($B5="","",_xlfn.LET(_xlpm.src,IFERROR(_xlfn.XLOOKUP($B5,[1]clean_EMBER_2024!$D$5:$D$201,[1]clean_EMBER_2024!$J$5:$J$201,"",0),""),IF(ISNUMBER(_xlpm.src),_xlpm.src,"Missing")))</f>
        <v>0</v>
      </c>
      <c r="F5" s="93" t="str">
        <f>IF($B5="","",_xlfn.LET(_xlpm.x,IFERROR(_xlfn.XLOOKUP($B5,[1]comp_GEM_coal!$B$2:$B$110,[1]comp_GEM_coal!$F$2:$F$110,"",0),""),IF(ISNUMBER(_xlpm.x),_xlpm.x,"Missing")))</f>
        <v>Missing</v>
      </c>
      <c r="G5" s="93" t="str">
        <f t="shared" si="1"/>
        <v/>
      </c>
      <c r="H5" s="93" t="str">
        <f t="shared" si="2"/>
        <v/>
      </c>
      <c r="I5" s="93" t="str">
        <f t="shared" si="3"/>
        <v/>
      </c>
      <c r="J5" s="93" t="str">
        <f t="shared" si="4"/>
        <v/>
      </c>
      <c r="K5" s="93" t="str">
        <f t="shared" si="5"/>
        <v>Not screened</v>
      </c>
      <c r="L5" s="93" t="str">
        <f t="shared" si="6"/>
        <v>No</v>
      </c>
      <c r="M5" s="93" t="str">
        <f t="shared" si="7"/>
        <v>No operating coal capacity recorded in GEM</v>
      </c>
      <c r="O5" s="125" t="s">
        <v>843</v>
      </c>
      <c r="P5" s="110" cm="1">
        <f t="array" ref="P5">_xlfn.PERCENTILE.INC(_xlfn._xlws.FILTER($F$2:$F$216,($D$2:$D$216="Pass")*ISNUMBER($F$2:$F$216)),P$2)</f>
        <v>14.593113333</v>
      </c>
      <c r="Q5" s="110" cm="1">
        <f t="array" ref="Q5">_xlfn.PERCENTILE.INC(_xlfn._xlws.FILTER($F$2:$F$216,($D$2:$D$216="Pass")*ISNUMBER($F$2:$F$216)),Q$2)</f>
        <v>70.511284266999994</v>
      </c>
      <c r="R5" s="146" cm="1">
        <f t="array" ref="R5">_xlfn.PERCENTILE.INC(_xlfn._xlws.FILTER($F$2:$F$216,($D$2:$D$216="Pass")*ISNUMBER($F$2:$F$216)),R$2)</f>
        <v>522.58517739700028</v>
      </c>
    </row>
    <row r="6" spans="1:18" ht="20" customHeight="1">
      <c r="A6" s="70" t="s">
        <v>22</v>
      </c>
      <c r="B6" s="70" t="s">
        <v>23</v>
      </c>
      <c r="C6" s="93">
        <f>IF($B6="","",_xlfn.LET(_xlpm.x,IFERROR(_xlfn.XLOOKUP($B6,[1]comp_GEM_coal!$B$2:$B$110,[1]comp_GEM_coal!$C$2:$C$110,0,0),0),IF(ISNUMBER(_xlpm.x),_xlpm.x,0)))</f>
        <v>0</v>
      </c>
      <c r="D6" s="93" t="str">
        <f t="shared" si="0"/>
        <v>Fail</v>
      </c>
      <c r="E6" s="93" t="str">
        <f>IF($B6="","",_xlfn.LET(_xlpm.src,IFERROR(_xlfn.XLOOKUP($B6,[1]clean_EMBER_2024!$D$5:$D$201,[1]clean_EMBER_2024!$J$5:$J$201,"",0),""),IF(ISNUMBER(_xlpm.src),_xlpm.src,"Missing")))</f>
        <v>Missing</v>
      </c>
      <c r="F6" s="93" t="str">
        <f>IF($B6="","",_xlfn.LET(_xlpm.x,IFERROR(_xlfn.XLOOKUP($B6,[1]comp_GEM_coal!$B$2:$B$110,[1]comp_GEM_coal!$F$2:$F$110,"",0),""),IF(ISNUMBER(_xlpm.x),_xlpm.x,"Missing")))</f>
        <v>Missing</v>
      </c>
      <c r="G6" s="93" t="str">
        <f t="shared" si="1"/>
        <v/>
      </c>
      <c r="H6" s="93" t="str">
        <f t="shared" si="2"/>
        <v/>
      </c>
      <c r="I6" s="93" t="str">
        <f t="shared" si="3"/>
        <v/>
      </c>
      <c r="J6" s="93" t="str">
        <f t="shared" si="4"/>
        <v/>
      </c>
      <c r="K6" s="93" t="str">
        <f t="shared" si="5"/>
        <v>Not screened</v>
      </c>
      <c r="L6" s="93" t="str">
        <f t="shared" si="6"/>
        <v>No</v>
      </c>
      <c r="M6" s="93" t="str">
        <f t="shared" si="7"/>
        <v>No operating coal capacity recorded in GEM</v>
      </c>
      <c r="O6" s="125" t="s">
        <v>844</v>
      </c>
      <c r="P6" s="35">
        <v>2</v>
      </c>
      <c r="Q6" s="35">
        <v>2</v>
      </c>
      <c r="R6" s="145">
        <v>2</v>
      </c>
    </row>
    <row r="7" spans="1:18" ht="20" customHeight="1">
      <c r="A7" s="70" t="s">
        <v>26</v>
      </c>
      <c r="B7" s="70" t="s">
        <v>27</v>
      </c>
      <c r="C7" s="93">
        <f>IF($B7="","",_xlfn.LET(_xlpm.x,IFERROR(_xlfn.XLOOKUP($B7,[1]comp_GEM_coal!$B$2:$B$110,[1]comp_GEM_coal!$C$2:$C$110,0,0),0),IF(ISNUMBER(_xlpm.x),_xlpm.x,0)))</f>
        <v>0</v>
      </c>
      <c r="D7" s="93" t="str">
        <f t="shared" si="0"/>
        <v>Fail</v>
      </c>
      <c r="E7" s="93">
        <f>IF($B7="","",_xlfn.LET(_xlpm.src,IFERROR(_xlfn.XLOOKUP($B7,[1]clean_EMBER_2024!$D$5:$D$201,[1]clean_EMBER_2024!$J$5:$J$201,"",0),""),IF(ISNUMBER(_xlpm.src),_xlpm.src,"Missing")))</f>
        <v>0</v>
      </c>
      <c r="F7" s="93" t="str">
        <f>IF($B7="","",_xlfn.LET(_xlpm.x,IFERROR(_xlfn.XLOOKUP($B7,[1]comp_GEM_coal!$B$2:$B$110,[1]comp_GEM_coal!$F$2:$F$110,"",0),""),IF(ISNUMBER(_xlpm.x),_xlpm.x,"Missing")))</f>
        <v>Missing</v>
      </c>
      <c r="G7" s="93" t="str">
        <f t="shared" si="1"/>
        <v/>
      </c>
      <c r="H7" s="93" t="str">
        <f t="shared" si="2"/>
        <v/>
      </c>
      <c r="I7" s="93" t="str">
        <f t="shared" si="3"/>
        <v/>
      </c>
      <c r="J7" s="93" t="str">
        <f t="shared" si="4"/>
        <v/>
      </c>
      <c r="K7" s="93" t="str">
        <f t="shared" si="5"/>
        <v>Not screened</v>
      </c>
      <c r="L7" s="93" t="str">
        <f t="shared" si="6"/>
        <v>No</v>
      </c>
      <c r="M7" s="93" t="str">
        <f t="shared" si="7"/>
        <v>No operating coal capacity recorded in GEM</v>
      </c>
      <c r="O7" s="152" t="s">
        <v>852</v>
      </c>
      <c r="P7" s="35">
        <f>COUNTIF($D$2:$D$216,"Pass")</f>
        <v>73</v>
      </c>
      <c r="Q7" s="35">
        <f>COUNTIF($D$2:$D$216,"Pass")</f>
        <v>73</v>
      </c>
      <c r="R7" s="145">
        <f>COUNTIF($D$2:$D$216,"Pass")</f>
        <v>73</v>
      </c>
    </row>
    <row r="8" spans="1:18" ht="20" customHeight="1">
      <c r="A8" s="70" t="s">
        <v>28</v>
      </c>
      <c r="B8" s="70" t="s">
        <v>29</v>
      </c>
      <c r="C8" s="93">
        <f>IF($B8="","",_xlfn.LET(_xlpm.x,IFERROR(_xlfn.XLOOKUP($B8,[1]comp_GEM_coal!$B$2:$B$110,[1]comp_GEM_coal!$C$2:$C$110,0,0),0),IF(ISNUMBER(_xlpm.x),_xlpm.x,0)))</f>
        <v>0</v>
      </c>
      <c r="D8" s="93" t="str">
        <f t="shared" si="0"/>
        <v>Fail</v>
      </c>
      <c r="E8" s="93" t="str">
        <f>IF($B8="","",_xlfn.LET(_xlpm.src,IFERROR(_xlfn.XLOOKUP($B8,[1]clean_EMBER_2024!$D$5:$D$201,[1]clean_EMBER_2024!$J$5:$J$201,"",0),""),IF(ISNUMBER(_xlpm.src),_xlpm.src,"Missing")))</f>
        <v>Missing</v>
      </c>
      <c r="F8" s="93" t="str">
        <f>IF($B8="","",_xlfn.LET(_xlpm.x,IFERROR(_xlfn.XLOOKUP($B8,[1]comp_GEM_coal!$B$2:$B$110,[1]comp_GEM_coal!$F$2:$F$110,"",0),""),IF(ISNUMBER(_xlpm.x),_xlpm.x,"Missing")))</f>
        <v>Missing</v>
      </c>
      <c r="G8" s="93" t="str">
        <f t="shared" si="1"/>
        <v/>
      </c>
      <c r="H8" s="93" t="str">
        <f t="shared" si="2"/>
        <v/>
      </c>
      <c r="I8" s="93" t="str">
        <f t="shared" si="3"/>
        <v/>
      </c>
      <c r="J8" s="93" t="str">
        <f t="shared" si="4"/>
        <v/>
      </c>
      <c r="K8" s="93" t="str">
        <f t="shared" si="5"/>
        <v>Not screened</v>
      </c>
      <c r="L8" s="93" t="str">
        <f t="shared" si="6"/>
        <v>No</v>
      </c>
      <c r="M8" s="93" t="str">
        <f t="shared" si="7"/>
        <v>No operating coal capacity recorded in GEM</v>
      </c>
      <c r="O8" s="154" t="s">
        <v>853</v>
      </c>
      <c r="P8" s="155" cm="1">
        <f t="array" ref="P8">SUMPRODUCT(--($D$2:$D$216="Pass"),--ISNUMBER($C$2:$C$216),--ISNUMBER($E$2:$E$216),--ISNUMBER($F$2:$F$216),--((($C$2:$C$216&gt;=P$3)+($E$2:$E$216&gt;=P$4)+($F$2:$F$216&gt;=P$5))&gt;=P$6))</f>
        <v>56</v>
      </c>
      <c r="Q8" s="155" cm="1">
        <f t="array" ref="Q8">SUMPRODUCT(--($D$2:$D$216="Pass"),--ISNUMBER($C$2:$C$216),--ISNUMBER($E$2:$E$216),--ISNUMBER($F$2:$F$216),--((($C$2:$C$216&gt;=Q$3)+($E$2:$E$216&gt;=Q$4)+($F$2:$F$216&gt;=Q$5))&gt;=Q$6))</f>
        <v>36</v>
      </c>
      <c r="R8" s="156" cm="1">
        <f t="array" ref="R8">SUMPRODUCT(--($D$2:$D$216="Pass"),--ISNUMBER($C$2:$C$216),--ISNUMBER($E$2:$E$216),--ISNUMBER($F$2:$F$216),--((($C$2:$C$216&gt;=R$3)+($E$2:$E$216&gt;=R$4)+($F$2:$F$216&gt;=R$5))&gt;=R$6))</f>
        <v>19</v>
      </c>
    </row>
    <row r="9" spans="1:18" ht="20" customHeight="1">
      <c r="A9" s="70" t="s">
        <v>40</v>
      </c>
      <c r="B9" s="70" t="s">
        <v>41</v>
      </c>
      <c r="C9" s="93">
        <f>IF($B9="","",_xlfn.LET(_xlpm.x,IFERROR(_xlfn.XLOOKUP($B9,[1]comp_GEM_coal!$B$2:$B$110,[1]comp_GEM_coal!$C$2:$C$110,0,0),0),IF(ISNUMBER(_xlpm.x),_xlpm.x,0)))</f>
        <v>0</v>
      </c>
      <c r="D9" s="93" t="str">
        <f t="shared" si="0"/>
        <v>Fail</v>
      </c>
      <c r="E9" s="93">
        <f>IF($B9="","",_xlfn.LET(_xlpm.src,IFERROR(_xlfn.XLOOKUP($B9,[1]clean_EMBER_2024!$D$5:$D$201,[1]clean_EMBER_2024!$J$5:$J$201,"",0),""),IF(ISNUMBER(_xlpm.src),_xlpm.src,"Missing")))</f>
        <v>0</v>
      </c>
      <c r="F9" s="93" t="str">
        <f>IF($B9="","",_xlfn.LET(_xlpm.x,IFERROR(_xlfn.XLOOKUP($B9,[1]comp_GEM_coal!$B$2:$B$110,[1]comp_GEM_coal!$F$2:$F$110,"",0),""),IF(ISNUMBER(_xlpm.x),_xlpm.x,"Missing")))</f>
        <v>Missing</v>
      </c>
      <c r="G9" s="93" t="str">
        <f t="shared" si="1"/>
        <v/>
      </c>
      <c r="H9" s="93" t="str">
        <f t="shared" si="2"/>
        <v/>
      </c>
      <c r="I9" s="93" t="str">
        <f t="shared" si="3"/>
        <v/>
      </c>
      <c r="J9" s="93" t="str">
        <f t="shared" si="4"/>
        <v/>
      </c>
      <c r="K9" s="93" t="str">
        <f t="shared" si="5"/>
        <v>Not screened</v>
      </c>
      <c r="L9" s="93" t="str">
        <f t="shared" si="6"/>
        <v>No</v>
      </c>
      <c r="M9" s="93" t="str">
        <f t="shared" si="7"/>
        <v>No operating coal capacity recorded in GEM</v>
      </c>
      <c r="O9" s="152" t="s">
        <v>854</v>
      </c>
      <c r="P9" s="35">
        <f>P7-P8-P10</f>
        <v>17</v>
      </c>
      <c r="Q9" s="35">
        <f>Q7-Q8-Q10</f>
        <v>37</v>
      </c>
      <c r="R9" s="145">
        <f>R7-R8-R10</f>
        <v>54</v>
      </c>
    </row>
    <row r="10" spans="1:18" ht="20" customHeight="1">
      <c r="A10" s="70" t="s">
        <v>34</v>
      </c>
      <c r="B10" s="70" t="s">
        <v>35</v>
      </c>
      <c r="C10" s="93">
        <f>IF($B10="","",_xlfn.LET(_xlpm.x,IFERROR(_xlfn.XLOOKUP($B10,[1]comp_GEM_coal!$B$2:$B$110,[1]comp_GEM_coal!$C$2:$C$110,0,0),0),IF(ISNUMBER(_xlpm.x),_xlpm.x,0)))</f>
        <v>525</v>
      </c>
      <c r="D10" s="93" t="str">
        <f t="shared" si="0"/>
        <v>Pass</v>
      </c>
      <c r="E10" s="93">
        <f>IF($B10="","",_xlfn.LET(_xlpm.src,IFERROR(_xlfn.XLOOKUP($B10,[1]clean_EMBER_2024!$D$5:$D$201,[1]clean_EMBER_2024!$J$5:$J$201,"",0),""),IF(ISNUMBER(_xlpm.src),_xlpm.src,"Missing")))</f>
        <v>0.86</v>
      </c>
      <c r="F10" s="93">
        <f>IF($B10="","",_xlfn.LET(_xlpm.x,IFERROR(_xlfn.XLOOKUP($B10,[1]comp_GEM_coal!$B$2:$B$110,[1]comp_GEM_coal!$F$2:$F$110,"",0),""),IF(ISNUMBER(_xlpm.x),_xlpm.x,"Missing")))</f>
        <v>6.3629721920000009</v>
      </c>
      <c r="G10" s="93">
        <f t="shared" si="1"/>
        <v>0</v>
      </c>
      <c r="H10" s="93">
        <f t="shared" si="2"/>
        <v>0</v>
      </c>
      <c r="I10" s="93">
        <f t="shared" si="3"/>
        <v>0</v>
      </c>
      <c r="J10" s="93">
        <f t="shared" si="4"/>
        <v>0</v>
      </c>
      <c r="K10" s="93" t="str">
        <f t="shared" si="5"/>
        <v>Fail</v>
      </c>
      <c r="L10" s="93" t="str">
        <f t="shared" si="6"/>
        <v>No</v>
      </c>
      <c r="M10" s="93" t="str">
        <f t="shared" si="7"/>
        <v>Does not meet at least two material-opportunity thresholds</v>
      </c>
      <c r="O10" s="153" t="s">
        <v>855</v>
      </c>
      <c r="P10" s="132" cm="1">
        <f t="array" ref="P10">SUMPRODUCT(--($D$2:$D$216="Pass"),--((--ISNUMBER($C$2:$C$216)+--ISNUMBER($E$2:$E$216)+--ISNUMBER($F$2:$F$216))&lt;3))</f>
        <v>0</v>
      </c>
      <c r="Q10" s="132" cm="1">
        <f t="array" ref="Q10">SUMPRODUCT(--($D$2:$D$216="Pass"),--((--ISNUMBER($C$2:$C$216)+--ISNUMBER($E$2:$E$216)+--ISNUMBER($F$2:$F$216))&lt;3))</f>
        <v>0</v>
      </c>
      <c r="R10" s="147" cm="1">
        <f t="array" ref="R10">SUMPRODUCT(--($D$2:$D$216="Pass"),--((--ISNUMBER($C$2:$C$216)+--ISNUMBER($E$2:$E$216)+--ISNUMBER($F$2:$F$216))&lt;3))</f>
        <v>0</v>
      </c>
    </row>
    <row r="11" spans="1:18" ht="20" customHeight="1">
      <c r="A11" s="70" t="s">
        <v>36</v>
      </c>
      <c r="B11" s="70" t="s">
        <v>37</v>
      </c>
      <c r="C11" s="93">
        <f>IF($B11="","",_xlfn.LET(_xlpm.x,IFERROR(_xlfn.XLOOKUP($B11,[1]comp_GEM_coal!$B$2:$B$110,[1]comp_GEM_coal!$C$2:$C$110,0,0),0),IF(ISNUMBER(_xlpm.x),_xlpm.x,0)))</f>
        <v>0</v>
      </c>
      <c r="D11" s="93" t="str">
        <f t="shared" si="0"/>
        <v>Fail</v>
      </c>
      <c r="E11" s="93">
        <f>IF($B11="","",_xlfn.LET(_xlpm.src,IFERROR(_xlfn.XLOOKUP($B11,[1]clean_EMBER_2024!$D$5:$D$201,[1]clean_EMBER_2024!$J$5:$J$201,"",0),""),IF(ISNUMBER(_xlpm.src),_xlpm.src,"Missing")))</f>
        <v>0</v>
      </c>
      <c r="F11" s="93" t="str">
        <f>IF($B11="","",_xlfn.LET(_xlpm.x,IFERROR(_xlfn.XLOOKUP($B11,[1]comp_GEM_coal!$B$2:$B$110,[1]comp_GEM_coal!$F$2:$F$110,"",0),""),IF(ISNUMBER(_xlpm.x),_xlpm.x,"Missing")))</f>
        <v>Missing</v>
      </c>
      <c r="G11" s="93" t="str">
        <f t="shared" si="1"/>
        <v/>
      </c>
      <c r="H11" s="93" t="str">
        <f t="shared" si="2"/>
        <v/>
      </c>
      <c r="I11" s="93" t="str">
        <f t="shared" si="3"/>
        <v/>
      </c>
      <c r="J11" s="93" t="str">
        <f t="shared" si="4"/>
        <v/>
      </c>
      <c r="K11" s="93" t="str">
        <f t="shared" si="5"/>
        <v>Not screened</v>
      </c>
      <c r="L11" s="93" t="str">
        <f t="shared" si="6"/>
        <v>No</v>
      </c>
      <c r="M11" s="93" t="str">
        <f t="shared" si="7"/>
        <v>No operating coal capacity recorded in GEM</v>
      </c>
      <c r="O11"/>
      <c r="P11"/>
      <c r="Q11"/>
      <c r="R11"/>
    </row>
    <row r="12" spans="1:18" ht="20" customHeight="1">
      <c r="A12" s="70" t="s">
        <v>20</v>
      </c>
      <c r="B12" s="70" t="s">
        <v>21</v>
      </c>
      <c r="C12" s="93">
        <f>IF($B12="","",_xlfn.LET(_xlpm.x,IFERROR(_xlfn.XLOOKUP($B12,[1]comp_GEM_coal!$B$2:$B$110,[1]comp_GEM_coal!$C$2:$C$110,0,0),0),IF(ISNUMBER(_xlpm.x),_xlpm.x,0)))</f>
        <v>0</v>
      </c>
      <c r="D12" s="93" t="str">
        <f t="shared" si="0"/>
        <v>Fail</v>
      </c>
      <c r="E12" s="93">
        <f>IF($B12="","",_xlfn.LET(_xlpm.src,IFERROR(_xlfn.XLOOKUP($B12,[1]clean_EMBER_2024!$D$5:$D$201,[1]clean_EMBER_2024!$J$5:$J$201,"",0),""),IF(ISNUMBER(_xlpm.src),_xlpm.src,"Missing")))</f>
        <v>0</v>
      </c>
      <c r="F12" s="93" t="str">
        <f>IF($B12="","",_xlfn.LET(_xlpm.x,IFERROR(_xlfn.XLOOKUP($B12,[1]comp_GEM_coal!$B$2:$B$110,[1]comp_GEM_coal!$F$2:$F$110,"",0),""),IF(ISNUMBER(_xlpm.x),_xlpm.x,"Missing")))</f>
        <v>Missing</v>
      </c>
      <c r="G12" s="93" t="str">
        <f t="shared" si="1"/>
        <v/>
      </c>
      <c r="H12" s="93" t="str">
        <f t="shared" si="2"/>
        <v/>
      </c>
      <c r="I12" s="93" t="str">
        <f t="shared" si="3"/>
        <v/>
      </c>
      <c r="J12" s="93" t="str">
        <f t="shared" si="4"/>
        <v/>
      </c>
      <c r="K12" s="93" t="str">
        <f t="shared" si="5"/>
        <v>Not screened</v>
      </c>
      <c r="L12" s="93" t="str">
        <f t="shared" si="6"/>
        <v>No</v>
      </c>
      <c r="M12" s="93" t="str">
        <f t="shared" si="7"/>
        <v>No operating coal capacity recorded in GEM</v>
      </c>
      <c r="O12"/>
      <c r="P12"/>
      <c r="Q12"/>
      <c r="R12"/>
    </row>
    <row r="13" spans="1:18" ht="20" customHeight="1">
      <c r="A13" s="70" t="s">
        <v>42</v>
      </c>
      <c r="B13" s="70" t="s">
        <v>43</v>
      </c>
      <c r="C13" s="93">
        <f>IF($B13="","",_xlfn.LET(_xlpm.x,IFERROR(_xlfn.XLOOKUP($B13,[1]comp_GEM_coal!$B$2:$B$110,[1]comp_GEM_coal!$C$2:$C$110,0,0),0),IF(ISNUMBER(_xlpm.x),_xlpm.x,0)))</f>
        <v>22629</v>
      </c>
      <c r="D13" s="93" t="str">
        <f t="shared" si="0"/>
        <v>Pass</v>
      </c>
      <c r="E13" s="93">
        <f>IF($B13="","",_xlfn.LET(_xlpm.src,IFERROR(_xlfn.XLOOKUP($B13,[1]clean_EMBER_2024!$D$5:$D$201,[1]clean_EMBER_2024!$J$5:$J$201,"",0),""),IF(ISNUMBER(_xlpm.src),_xlpm.src,"Missing")))</f>
        <v>45.21</v>
      </c>
      <c r="F13" s="93">
        <f>IF($B13="","",_xlfn.LET(_xlpm.x,IFERROR(_xlfn.XLOOKUP($B13,[1]comp_GEM_coal!$B$2:$B$110,[1]comp_GEM_coal!$F$2:$F$110,"",0),""),IF(ISNUMBER(_xlpm.x),_xlpm.x,"Missing")))</f>
        <v>1439.6275699960001</v>
      </c>
      <c r="G13" s="93">
        <f t="shared" si="1"/>
        <v>1</v>
      </c>
      <c r="H13" s="93">
        <f t="shared" si="2"/>
        <v>1</v>
      </c>
      <c r="I13" s="93">
        <f t="shared" si="3"/>
        <v>1</v>
      </c>
      <c r="J13" s="93">
        <f t="shared" si="4"/>
        <v>3</v>
      </c>
      <c r="K13" s="93" t="str">
        <f t="shared" si="5"/>
        <v>Pass</v>
      </c>
      <c r="L13" s="93" t="str">
        <f t="shared" si="6"/>
        <v>Yes</v>
      </c>
      <c r="M13" s="93" t="str">
        <f t="shared" si="7"/>
        <v/>
      </c>
      <c r="O13" s="35"/>
      <c r="P13" s="35"/>
    </row>
    <row r="14" spans="1:18" ht="20" customHeight="1">
      <c r="A14" s="70" t="s">
        <v>44</v>
      </c>
      <c r="B14" s="70" t="s">
        <v>45</v>
      </c>
      <c r="C14" s="93">
        <f>IF($B14="","",_xlfn.LET(_xlpm.x,IFERROR(_xlfn.XLOOKUP($B14,[1]comp_GEM_coal!$B$2:$B$110,[1]comp_GEM_coal!$C$2:$C$110,0,0),0),IF(ISNUMBER(_xlpm.x),_xlpm.x,0)))</f>
        <v>0</v>
      </c>
      <c r="D14" s="93" t="str">
        <f t="shared" si="0"/>
        <v>Fail</v>
      </c>
      <c r="E14" s="93">
        <f>IF($B14="","",_xlfn.LET(_xlpm.src,IFERROR(_xlfn.XLOOKUP($B14,[1]clean_EMBER_2024!$D$5:$D$201,[1]clean_EMBER_2024!$J$5:$J$201,"",0),""),IF(ISNUMBER(_xlpm.src),_xlpm.src,"Missing")))</f>
        <v>0</v>
      </c>
      <c r="F14" s="93">
        <f>IF($B14="","",_xlfn.LET(_xlpm.x,IFERROR(_xlfn.XLOOKUP($B14,[1]comp_GEM_coal!$B$2:$B$110,[1]comp_GEM_coal!$F$2:$F$110,"",0),""),IF(ISNUMBER(_xlpm.x),_xlpm.x,"Missing")))</f>
        <v>0</v>
      </c>
      <c r="G14" s="93" t="str">
        <f t="shared" si="1"/>
        <v/>
      </c>
      <c r="H14" s="93" t="str">
        <f t="shared" si="2"/>
        <v/>
      </c>
      <c r="I14" s="93" t="str">
        <f t="shared" si="3"/>
        <v/>
      </c>
      <c r="J14" s="93" t="str">
        <f t="shared" si="4"/>
        <v/>
      </c>
      <c r="K14" s="93" t="str">
        <f t="shared" si="5"/>
        <v>Not screened</v>
      </c>
      <c r="L14" s="93" t="str">
        <f t="shared" si="6"/>
        <v>No</v>
      </c>
      <c r="M14" s="93" t="str">
        <f t="shared" si="7"/>
        <v>No operating coal capacity recorded in GEM</v>
      </c>
      <c r="O14" s="35"/>
      <c r="P14" s="35"/>
    </row>
    <row r="15" spans="1:18" ht="20" customHeight="1">
      <c r="A15" s="70" t="s">
        <v>46</v>
      </c>
      <c r="B15" s="70" t="s">
        <v>47</v>
      </c>
      <c r="C15" s="93">
        <f>IF($B15="","",_xlfn.LET(_xlpm.x,IFERROR(_xlfn.XLOOKUP($B15,[1]comp_GEM_coal!$B$2:$B$110,[1]comp_GEM_coal!$C$2:$C$110,0,0),0),IF(ISNUMBER(_xlpm.x),_xlpm.x,0)))</f>
        <v>0</v>
      </c>
      <c r="D15" s="93" t="str">
        <f t="shared" si="0"/>
        <v>Fail</v>
      </c>
      <c r="E15" s="93">
        <f>IF($B15="","",_xlfn.LET(_xlpm.src,IFERROR(_xlfn.XLOOKUP($B15,[1]clean_EMBER_2024!$D$5:$D$201,[1]clean_EMBER_2024!$J$5:$J$201,"",0),""),IF(ISNUMBER(_xlpm.src),_xlpm.src,"Missing")))</f>
        <v>0</v>
      </c>
      <c r="F15" s="93" t="str">
        <f>IF($B15="","",_xlfn.LET(_xlpm.x,IFERROR(_xlfn.XLOOKUP($B15,[1]comp_GEM_coal!$B$2:$B$110,[1]comp_GEM_coal!$F$2:$F$110,"",0),""),IF(ISNUMBER(_xlpm.x),_xlpm.x,"Missing")))</f>
        <v>Missing</v>
      </c>
      <c r="G15" s="93" t="str">
        <f t="shared" si="1"/>
        <v/>
      </c>
      <c r="H15" s="93" t="str">
        <f t="shared" si="2"/>
        <v/>
      </c>
      <c r="I15" s="93" t="str">
        <f t="shared" si="3"/>
        <v/>
      </c>
      <c r="J15" s="93" t="str">
        <f t="shared" si="4"/>
        <v/>
      </c>
      <c r="K15" s="93" t="str">
        <f t="shared" si="5"/>
        <v>Not screened</v>
      </c>
      <c r="L15" s="93" t="str">
        <f t="shared" si="6"/>
        <v>No</v>
      </c>
      <c r="M15" s="93" t="str">
        <f t="shared" si="7"/>
        <v>No operating coal capacity recorded in GEM</v>
      </c>
      <c r="O15" s="35"/>
      <c r="P15" s="35"/>
    </row>
    <row r="16" spans="1:18" ht="20" customHeight="1">
      <c r="A16" s="70" t="s">
        <v>62</v>
      </c>
      <c r="B16" s="70" t="s">
        <v>63</v>
      </c>
      <c r="C16" s="93">
        <f>IF($B16="","",_xlfn.LET(_xlpm.x,IFERROR(_xlfn.XLOOKUP($B16,[1]comp_GEM_coal!$B$2:$B$110,[1]comp_GEM_coal!$C$2:$C$110,0,0),0),IF(ISNUMBER(_xlpm.x),_xlpm.x,0)))</f>
        <v>0</v>
      </c>
      <c r="D16" s="93" t="str">
        <f t="shared" si="0"/>
        <v>Fail</v>
      </c>
      <c r="E16" s="93">
        <f>IF($B16="","",_xlfn.LET(_xlpm.src,IFERROR(_xlfn.XLOOKUP($B16,[1]clean_EMBER_2024!$D$5:$D$201,[1]clean_EMBER_2024!$J$5:$J$201,"",0),""),IF(ISNUMBER(_xlpm.src),_xlpm.src,"Missing")))</f>
        <v>0</v>
      </c>
      <c r="F16" s="93" t="str">
        <f>IF($B16="","",_xlfn.LET(_xlpm.x,IFERROR(_xlfn.XLOOKUP($B16,[1]comp_GEM_coal!$B$2:$B$110,[1]comp_GEM_coal!$F$2:$F$110,"",0),""),IF(ISNUMBER(_xlpm.x),_xlpm.x,"Missing")))</f>
        <v>Missing</v>
      </c>
      <c r="G16" s="93" t="str">
        <f t="shared" si="1"/>
        <v/>
      </c>
      <c r="H16" s="93" t="str">
        <f t="shared" si="2"/>
        <v/>
      </c>
      <c r="I16" s="93" t="str">
        <f t="shared" si="3"/>
        <v/>
      </c>
      <c r="J16" s="93" t="str">
        <f t="shared" si="4"/>
        <v/>
      </c>
      <c r="K16" s="93" t="str">
        <f t="shared" si="5"/>
        <v>Not screened</v>
      </c>
      <c r="L16" s="93" t="str">
        <f t="shared" si="6"/>
        <v>No</v>
      </c>
      <c r="M16" s="93" t="str">
        <f t="shared" si="7"/>
        <v>No operating coal capacity recorded in GEM</v>
      </c>
      <c r="O16" s="35"/>
      <c r="P16" s="35"/>
    </row>
    <row r="17" spans="1:16" ht="20" customHeight="1">
      <c r="A17" s="70" t="s">
        <v>60</v>
      </c>
      <c r="B17" s="70" t="s">
        <v>61</v>
      </c>
      <c r="C17" s="93">
        <f>IF($B17="","",_xlfn.LET(_xlpm.x,IFERROR(_xlfn.XLOOKUP($B17,[1]comp_GEM_coal!$B$2:$B$110,[1]comp_GEM_coal!$C$2:$C$110,0,0),0),IF(ISNUMBER(_xlpm.x),_xlpm.x,0)))</f>
        <v>0</v>
      </c>
      <c r="D17" s="93" t="str">
        <f t="shared" si="0"/>
        <v>Fail</v>
      </c>
      <c r="E17" s="93">
        <f>IF($B17="","",_xlfn.LET(_xlpm.src,IFERROR(_xlfn.XLOOKUP($B17,[1]clean_EMBER_2024!$D$5:$D$201,[1]clean_EMBER_2024!$J$5:$J$201,"",0),""),IF(ISNUMBER(_xlpm.src),_xlpm.src,"Missing")))</f>
        <v>0</v>
      </c>
      <c r="F17" s="93" t="str">
        <f>IF($B17="","",_xlfn.LET(_xlpm.x,IFERROR(_xlfn.XLOOKUP($B17,[1]comp_GEM_coal!$B$2:$B$110,[1]comp_GEM_coal!$F$2:$F$110,"",0),""),IF(ISNUMBER(_xlpm.x),_xlpm.x,"Missing")))</f>
        <v>Missing</v>
      </c>
      <c r="G17" s="93" t="str">
        <f t="shared" si="1"/>
        <v/>
      </c>
      <c r="H17" s="93" t="str">
        <f t="shared" si="2"/>
        <v/>
      </c>
      <c r="I17" s="93" t="str">
        <f t="shared" si="3"/>
        <v/>
      </c>
      <c r="J17" s="93" t="str">
        <f t="shared" si="4"/>
        <v/>
      </c>
      <c r="K17" s="93" t="str">
        <f t="shared" si="5"/>
        <v>Not screened</v>
      </c>
      <c r="L17" s="93" t="str">
        <f t="shared" si="6"/>
        <v>No</v>
      </c>
      <c r="M17" s="93" t="str">
        <f t="shared" si="7"/>
        <v>No operating coal capacity recorded in GEM</v>
      </c>
      <c r="O17" s="35"/>
      <c r="P17" s="35"/>
    </row>
    <row r="18" spans="1:16" ht="20" customHeight="1">
      <c r="A18" s="70" t="s">
        <v>56</v>
      </c>
      <c r="B18" s="70" t="s">
        <v>57</v>
      </c>
      <c r="C18" s="93">
        <f>IF($B18="","",_xlfn.LET(_xlpm.x,IFERROR(_xlfn.XLOOKUP($B18,[1]comp_GEM_coal!$B$2:$B$110,[1]comp_GEM_coal!$C$2:$C$110,0,0),0),IF(ISNUMBER(_xlpm.x),_xlpm.x,0)))</f>
        <v>7230</v>
      </c>
      <c r="D18" s="93" t="str">
        <f t="shared" si="0"/>
        <v>Pass</v>
      </c>
      <c r="E18" s="93">
        <f>IF($B18="","",_xlfn.LET(_xlpm.src,IFERROR(_xlfn.XLOOKUP($B18,[1]clean_EMBER_2024!$D$5:$D$201,[1]clean_EMBER_2024!$J$5:$J$201,"",0),""),IF(ISNUMBER(_xlpm.src),_xlpm.src,"Missing")))</f>
        <v>19.940000000000001</v>
      </c>
      <c r="F18" s="93">
        <f>IF($B18="","",_xlfn.LET(_xlpm.x,IFERROR(_xlfn.XLOOKUP($B18,[1]comp_GEM_coal!$B$2:$B$110,[1]comp_GEM_coal!$F$2:$F$110,"",0),""),IF(ISNUMBER(_xlpm.x),_xlpm.x,"Missing")))</f>
        <v>597.91774692499996</v>
      </c>
      <c r="G18" s="93">
        <f t="shared" si="1"/>
        <v>1</v>
      </c>
      <c r="H18" s="93">
        <f t="shared" si="2"/>
        <v>0</v>
      </c>
      <c r="I18" s="93">
        <f t="shared" si="3"/>
        <v>1</v>
      </c>
      <c r="J18" s="93">
        <f t="shared" si="4"/>
        <v>2</v>
      </c>
      <c r="K18" s="93" t="str">
        <f t="shared" si="5"/>
        <v>Pass</v>
      </c>
      <c r="L18" s="93" t="str">
        <f t="shared" si="6"/>
        <v>Yes</v>
      </c>
      <c r="M18" s="93" t="str">
        <f t="shared" si="7"/>
        <v/>
      </c>
      <c r="O18" s="35"/>
      <c r="P18" s="35"/>
    </row>
    <row r="19" spans="1:16" ht="20" customHeight="1">
      <c r="A19" s="70" t="s">
        <v>76</v>
      </c>
      <c r="B19" s="70" t="s">
        <v>77</v>
      </c>
      <c r="C19" s="93">
        <f>IF($B19="","",_xlfn.LET(_xlpm.x,IFERROR(_xlfn.XLOOKUP($B19,[1]comp_GEM_coal!$B$2:$B$110,[1]comp_GEM_coal!$C$2:$C$110,0,0),0),IF(ISNUMBER(_xlpm.x),_xlpm.x,0)))</f>
        <v>0</v>
      </c>
      <c r="D19" s="93" t="str">
        <f t="shared" si="0"/>
        <v>Fail</v>
      </c>
      <c r="E19" s="93">
        <f>IF($B19="","",_xlfn.LET(_xlpm.src,IFERROR(_xlfn.XLOOKUP($B19,[1]clean_EMBER_2024!$D$5:$D$201,[1]clean_EMBER_2024!$J$5:$J$201,"",0),""),IF(ISNUMBER(_xlpm.src),_xlpm.src,"Missing")))</f>
        <v>0</v>
      </c>
      <c r="F19" s="93" t="str">
        <f>IF($B19="","",_xlfn.LET(_xlpm.x,IFERROR(_xlfn.XLOOKUP($B19,[1]comp_GEM_coal!$B$2:$B$110,[1]comp_GEM_coal!$F$2:$F$110,"",0),""),IF(ISNUMBER(_xlpm.x),_xlpm.x,"Missing")))</f>
        <v>Missing</v>
      </c>
      <c r="G19" s="93" t="str">
        <f t="shared" si="1"/>
        <v/>
      </c>
      <c r="H19" s="93" t="str">
        <f t="shared" si="2"/>
        <v/>
      </c>
      <c r="I19" s="93" t="str">
        <f t="shared" si="3"/>
        <v/>
      </c>
      <c r="J19" s="93" t="str">
        <f t="shared" si="4"/>
        <v/>
      </c>
      <c r="K19" s="93" t="str">
        <f t="shared" si="5"/>
        <v>Not screened</v>
      </c>
      <c r="L19" s="93" t="str">
        <f t="shared" si="6"/>
        <v>No</v>
      </c>
      <c r="M19" s="93" t="str">
        <f t="shared" si="7"/>
        <v>No operating coal capacity recorded in GEM</v>
      </c>
      <c r="O19" s="35"/>
      <c r="P19" s="35"/>
    </row>
    <row r="20" spans="1:16" ht="20" customHeight="1">
      <c r="A20" s="70" t="s">
        <v>66</v>
      </c>
      <c r="B20" s="70" t="s">
        <v>67</v>
      </c>
      <c r="C20" s="93">
        <f>IF($B20="","",_xlfn.LET(_xlpm.x,IFERROR(_xlfn.XLOOKUP($B20,[1]comp_GEM_coal!$B$2:$B$110,[1]comp_GEM_coal!$C$2:$C$110,0,0),0),IF(ISNUMBER(_xlpm.x),_xlpm.x,0)))</f>
        <v>0</v>
      </c>
      <c r="D20" s="93" t="str">
        <f t="shared" si="0"/>
        <v>Fail</v>
      </c>
      <c r="E20" s="93">
        <f>IF($B20="","",_xlfn.LET(_xlpm.src,IFERROR(_xlfn.XLOOKUP($B20,[1]clean_EMBER_2024!$D$5:$D$201,[1]clean_EMBER_2024!$J$5:$J$201,"",0),""),IF(ISNUMBER(_xlpm.src),_xlpm.src,"Missing")))</f>
        <v>0.04</v>
      </c>
      <c r="F20" s="93">
        <f>IF($B20="","",_xlfn.LET(_xlpm.x,IFERROR(_xlfn.XLOOKUP($B20,[1]comp_GEM_coal!$B$2:$B$110,[1]comp_GEM_coal!$F$2:$F$110,"",0),""),IF(ISNUMBER(_xlpm.x),_xlpm.x,"Missing")))</f>
        <v>0</v>
      </c>
      <c r="G20" s="93" t="str">
        <f t="shared" si="1"/>
        <v/>
      </c>
      <c r="H20" s="93" t="str">
        <f t="shared" si="2"/>
        <v/>
      </c>
      <c r="I20" s="93" t="str">
        <f t="shared" si="3"/>
        <v/>
      </c>
      <c r="J20" s="93" t="str">
        <f t="shared" si="4"/>
        <v/>
      </c>
      <c r="K20" s="93" t="str">
        <f t="shared" si="5"/>
        <v>Not screened</v>
      </c>
      <c r="L20" s="93" t="str">
        <f t="shared" si="6"/>
        <v>No</v>
      </c>
      <c r="M20" s="93" t="str">
        <f t="shared" si="7"/>
        <v>No operating coal capacity recorded in GEM</v>
      </c>
      <c r="O20" s="35"/>
      <c r="P20" s="35"/>
    </row>
    <row r="21" spans="1:16" ht="20" customHeight="1">
      <c r="A21" s="70" t="s">
        <v>50</v>
      </c>
      <c r="B21" s="70" t="s">
        <v>51</v>
      </c>
      <c r="C21" s="93">
        <f>IF($B21="","",_xlfn.LET(_xlpm.x,IFERROR(_xlfn.XLOOKUP($B21,[1]comp_GEM_coal!$B$2:$B$110,[1]comp_GEM_coal!$C$2:$C$110,0,0),0),IF(ISNUMBER(_xlpm.x),_xlpm.x,0)))</f>
        <v>0</v>
      </c>
      <c r="D21" s="93" t="str">
        <f t="shared" si="0"/>
        <v>Fail</v>
      </c>
      <c r="E21" s="93">
        <f>IF($B21="","",_xlfn.LET(_xlpm.src,IFERROR(_xlfn.XLOOKUP($B21,[1]clean_EMBER_2024!$D$5:$D$201,[1]clean_EMBER_2024!$J$5:$J$201,"",0),""),IF(ISNUMBER(_xlpm.src),_xlpm.src,"Missing")))</f>
        <v>0</v>
      </c>
      <c r="F21" s="93">
        <f>IF($B21="","",_xlfn.LET(_xlpm.x,IFERROR(_xlfn.XLOOKUP($B21,[1]comp_GEM_coal!$B$2:$B$110,[1]comp_GEM_coal!$F$2:$F$110,"",0),""),IF(ISNUMBER(_xlpm.x),_xlpm.x,"Missing")))</f>
        <v>0</v>
      </c>
      <c r="G21" s="93" t="str">
        <f t="shared" si="1"/>
        <v/>
      </c>
      <c r="H21" s="93" t="str">
        <f t="shared" si="2"/>
        <v/>
      </c>
      <c r="I21" s="93" t="str">
        <f t="shared" si="3"/>
        <v/>
      </c>
      <c r="J21" s="93" t="str">
        <f t="shared" si="4"/>
        <v/>
      </c>
      <c r="K21" s="93" t="str">
        <f t="shared" si="5"/>
        <v>Not screened</v>
      </c>
      <c r="L21" s="93" t="str">
        <f t="shared" si="6"/>
        <v>No</v>
      </c>
      <c r="M21" s="93" t="str">
        <f t="shared" si="7"/>
        <v>No operating coal capacity recorded in GEM</v>
      </c>
      <c r="O21" s="35"/>
      <c r="P21" s="35"/>
    </row>
    <row r="22" spans="1:16" ht="20" customHeight="1">
      <c r="A22" s="70" t="s">
        <v>68</v>
      </c>
      <c r="B22" s="70" t="s">
        <v>69</v>
      </c>
      <c r="C22" s="93">
        <f>IF($B22="","",_xlfn.LET(_xlpm.x,IFERROR(_xlfn.XLOOKUP($B22,[1]comp_GEM_coal!$B$2:$B$110,[1]comp_GEM_coal!$C$2:$C$110,0,0),0),IF(ISNUMBER(_xlpm.x),_xlpm.x,0)))</f>
        <v>0</v>
      </c>
      <c r="D22" s="93" t="str">
        <f t="shared" si="0"/>
        <v>Fail</v>
      </c>
      <c r="E22" s="93">
        <f>IF($B22="","",_xlfn.LET(_xlpm.src,IFERROR(_xlfn.XLOOKUP($B22,[1]clean_EMBER_2024!$D$5:$D$201,[1]clean_EMBER_2024!$J$5:$J$201,"",0),""),IF(ISNUMBER(_xlpm.src),_xlpm.src,"Missing")))</f>
        <v>0</v>
      </c>
      <c r="F22" s="93" t="str">
        <f>IF($B22="","",_xlfn.LET(_xlpm.x,IFERROR(_xlfn.XLOOKUP($B22,[1]comp_GEM_coal!$B$2:$B$110,[1]comp_GEM_coal!$F$2:$F$110,"",0),""),IF(ISNUMBER(_xlpm.x),_xlpm.x,"Missing")))</f>
        <v>Missing</v>
      </c>
      <c r="G22" s="93" t="str">
        <f t="shared" si="1"/>
        <v/>
      </c>
      <c r="H22" s="93" t="str">
        <f t="shared" si="2"/>
        <v/>
      </c>
      <c r="I22" s="93" t="str">
        <f t="shared" si="3"/>
        <v/>
      </c>
      <c r="J22" s="93" t="str">
        <f t="shared" si="4"/>
        <v/>
      </c>
      <c r="K22" s="93" t="str">
        <f t="shared" si="5"/>
        <v>Not screened</v>
      </c>
      <c r="L22" s="93" t="str">
        <f t="shared" si="6"/>
        <v>No</v>
      </c>
      <c r="M22" s="93" t="str">
        <f t="shared" si="7"/>
        <v>No operating coal capacity recorded in GEM</v>
      </c>
      <c r="O22" s="35"/>
      <c r="P22" s="35"/>
    </row>
    <row r="23" spans="1:16" ht="20" customHeight="1">
      <c r="A23" s="70" t="s">
        <v>52</v>
      </c>
      <c r="B23" s="70" t="s">
        <v>53</v>
      </c>
      <c r="C23" s="93">
        <f>IF($B23="","",_xlfn.LET(_xlpm.x,IFERROR(_xlfn.XLOOKUP($B23,[1]comp_GEM_coal!$B$2:$B$110,[1]comp_GEM_coal!$C$2:$C$110,0,0),0),IF(ISNUMBER(_xlpm.x),_xlpm.x,0)))</f>
        <v>0</v>
      </c>
      <c r="D23" s="93" t="str">
        <f t="shared" si="0"/>
        <v>Fail</v>
      </c>
      <c r="E23" s="93">
        <f>IF($B23="","",_xlfn.LET(_xlpm.src,IFERROR(_xlfn.XLOOKUP($B23,[1]clean_EMBER_2024!$D$5:$D$201,[1]clean_EMBER_2024!$J$5:$J$201,"",0),""),IF(ISNUMBER(_xlpm.src),_xlpm.src,"Missing")))</f>
        <v>0</v>
      </c>
      <c r="F23" s="93" t="str">
        <f>IF($B23="","",_xlfn.LET(_xlpm.x,IFERROR(_xlfn.XLOOKUP($B23,[1]comp_GEM_coal!$B$2:$B$110,[1]comp_GEM_coal!$F$2:$F$110,"",0),""),IF(ISNUMBER(_xlpm.x),_xlpm.x,"Missing")))</f>
        <v>Missing</v>
      </c>
      <c r="G23" s="93" t="str">
        <f t="shared" si="1"/>
        <v/>
      </c>
      <c r="H23" s="93" t="str">
        <f t="shared" si="2"/>
        <v/>
      </c>
      <c r="I23" s="93" t="str">
        <f t="shared" si="3"/>
        <v/>
      </c>
      <c r="J23" s="93" t="str">
        <f t="shared" si="4"/>
        <v/>
      </c>
      <c r="K23" s="93" t="str">
        <f t="shared" si="5"/>
        <v>Not screened</v>
      </c>
      <c r="L23" s="93" t="str">
        <f t="shared" si="6"/>
        <v>No</v>
      </c>
      <c r="M23" s="93" t="str">
        <f t="shared" si="7"/>
        <v>No operating coal capacity recorded in GEM</v>
      </c>
      <c r="O23" s="35"/>
      <c r="P23" s="35"/>
    </row>
    <row r="24" spans="1:16" ht="20" customHeight="1">
      <c r="A24" s="70" t="s">
        <v>70</v>
      </c>
      <c r="B24" s="70" t="s">
        <v>71</v>
      </c>
      <c r="C24" s="93">
        <f>IF($B24="","",_xlfn.LET(_xlpm.x,IFERROR(_xlfn.XLOOKUP($B24,[1]comp_GEM_coal!$B$2:$B$110,[1]comp_GEM_coal!$C$2:$C$110,0,0),0),IF(ISNUMBER(_xlpm.x),_xlpm.x,0)))</f>
        <v>0</v>
      </c>
      <c r="D24" s="93" t="str">
        <f t="shared" si="0"/>
        <v>Fail</v>
      </c>
      <c r="E24" s="93">
        <f>IF($B24="","",_xlfn.LET(_xlpm.src,IFERROR(_xlfn.XLOOKUP($B24,[1]clean_EMBER_2024!$D$5:$D$201,[1]clean_EMBER_2024!$J$5:$J$201,"",0),""),IF(ISNUMBER(_xlpm.src),_xlpm.src,"Missing")))</f>
        <v>0</v>
      </c>
      <c r="F24" s="93" t="str">
        <f>IF($B24="","",_xlfn.LET(_xlpm.x,IFERROR(_xlfn.XLOOKUP($B24,[1]comp_GEM_coal!$B$2:$B$110,[1]comp_GEM_coal!$F$2:$F$110,"",0),""),IF(ISNUMBER(_xlpm.x),_xlpm.x,"Missing")))</f>
        <v>Missing</v>
      </c>
      <c r="G24" s="93" t="str">
        <f t="shared" si="1"/>
        <v/>
      </c>
      <c r="H24" s="93" t="str">
        <f t="shared" si="2"/>
        <v/>
      </c>
      <c r="I24" s="93" t="str">
        <f t="shared" si="3"/>
        <v/>
      </c>
      <c r="J24" s="93" t="str">
        <f t="shared" si="4"/>
        <v/>
      </c>
      <c r="K24" s="93" t="str">
        <f t="shared" si="5"/>
        <v>Not screened</v>
      </c>
      <c r="L24" s="93" t="str">
        <f t="shared" si="6"/>
        <v>No</v>
      </c>
      <c r="M24" s="93" t="str">
        <f t="shared" si="7"/>
        <v>No operating coal capacity recorded in GEM</v>
      </c>
      <c r="O24" s="35"/>
      <c r="P24" s="35"/>
    </row>
    <row r="25" spans="1:16" ht="20" customHeight="1">
      <c r="A25" s="70" t="s">
        <v>80</v>
      </c>
      <c r="B25" s="70" t="s">
        <v>81</v>
      </c>
      <c r="C25" s="93">
        <f>IF($B25="","",_xlfn.LET(_xlpm.x,IFERROR(_xlfn.XLOOKUP($B25,[1]comp_GEM_coal!$B$2:$B$110,[1]comp_GEM_coal!$C$2:$C$110,0,0),0),IF(ISNUMBER(_xlpm.x),_xlpm.x,0)))</f>
        <v>0</v>
      </c>
      <c r="D25" s="93" t="str">
        <f t="shared" si="0"/>
        <v>Fail</v>
      </c>
      <c r="E25" s="93">
        <f>IF($B25="","",_xlfn.LET(_xlpm.src,IFERROR(_xlfn.XLOOKUP($B25,[1]clean_EMBER_2024!$D$5:$D$201,[1]clean_EMBER_2024!$J$5:$J$201,"",0),""),IF(ISNUMBER(_xlpm.src),_xlpm.src,"Missing")))</f>
        <v>0</v>
      </c>
      <c r="F25" s="93" t="str">
        <f>IF($B25="","",_xlfn.LET(_xlpm.x,IFERROR(_xlfn.XLOOKUP($B25,[1]comp_GEM_coal!$B$2:$B$110,[1]comp_GEM_coal!$F$2:$F$110,"",0),""),IF(ISNUMBER(_xlpm.x),_xlpm.x,"Missing")))</f>
        <v>Missing</v>
      </c>
      <c r="G25" s="93" t="str">
        <f t="shared" si="1"/>
        <v/>
      </c>
      <c r="H25" s="93" t="str">
        <f t="shared" si="2"/>
        <v/>
      </c>
      <c r="I25" s="93" t="str">
        <f t="shared" si="3"/>
        <v/>
      </c>
      <c r="J25" s="93" t="str">
        <f t="shared" si="4"/>
        <v/>
      </c>
      <c r="K25" s="93" t="str">
        <f t="shared" si="5"/>
        <v>Not screened</v>
      </c>
      <c r="L25" s="93" t="str">
        <f t="shared" si="6"/>
        <v>No</v>
      </c>
      <c r="M25" s="93" t="str">
        <f t="shared" si="7"/>
        <v>No operating coal capacity recorded in GEM</v>
      </c>
      <c r="O25" s="35"/>
      <c r="P25" s="35"/>
    </row>
    <row r="26" spans="1:16" ht="20" customHeight="1">
      <c r="A26" s="70" t="s">
        <v>72</v>
      </c>
      <c r="B26" s="70" t="s">
        <v>73</v>
      </c>
      <c r="C26" s="93">
        <f>IF($B26="","",_xlfn.LET(_xlpm.x,IFERROR(_xlfn.XLOOKUP($B26,[1]comp_GEM_coal!$B$2:$B$110,[1]comp_GEM_coal!$C$2:$C$110,0,0),0),IF(ISNUMBER(_xlpm.x),_xlpm.x,0)))</f>
        <v>0</v>
      </c>
      <c r="D26" s="93" t="str">
        <f t="shared" si="0"/>
        <v>Fail</v>
      </c>
      <c r="E26" s="93">
        <f>IF($B26="","",_xlfn.LET(_xlpm.src,IFERROR(_xlfn.XLOOKUP($B26,[1]clean_EMBER_2024!$D$5:$D$201,[1]clean_EMBER_2024!$J$5:$J$201,"",0),""),IF(ISNUMBER(_xlpm.src),_xlpm.src,"Missing")))</f>
        <v>0</v>
      </c>
      <c r="F26" s="93" t="str">
        <f>IF($B26="","",_xlfn.LET(_xlpm.x,IFERROR(_xlfn.XLOOKUP($B26,[1]comp_GEM_coal!$B$2:$B$110,[1]comp_GEM_coal!$F$2:$F$110,"",0),""),IF(ISNUMBER(_xlpm.x),_xlpm.x,"Missing")))</f>
        <v>Missing</v>
      </c>
      <c r="G26" s="93" t="str">
        <f t="shared" si="1"/>
        <v/>
      </c>
      <c r="H26" s="93" t="str">
        <f t="shared" si="2"/>
        <v/>
      </c>
      <c r="I26" s="93" t="str">
        <f t="shared" si="3"/>
        <v/>
      </c>
      <c r="J26" s="93" t="str">
        <f t="shared" si="4"/>
        <v/>
      </c>
      <c r="K26" s="93" t="str">
        <f t="shared" si="5"/>
        <v>Not screened</v>
      </c>
      <c r="L26" s="93" t="str">
        <f t="shared" si="6"/>
        <v>No</v>
      </c>
      <c r="M26" s="93" t="str">
        <f t="shared" si="7"/>
        <v>No operating coal capacity recorded in GEM</v>
      </c>
      <c r="O26" s="35"/>
      <c r="P26" s="35"/>
    </row>
    <row r="27" spans="1:16" ht="20" customHeight="1">
      <c r="A27" s="70" t="s">
        <v>64</v>
      </c>
      <c r="B27" s="70" t="s">
        <v>65</v>
      </c>
      <c r="C27" s="93">
        <f>IF($B27="","",_xlfn.LET(_xlpm.x,IFERROR(_xlfn.XLOOKUP($B27,[1]comp_GEM_coal!$B$2:$B$110,[1]comp_GEM_coal!$C$2:$C$110,0,0),0),IF(ISNUMBER(_xlpm.x),_xlpm.x,0)))</f>
        <v>1990</v>
      </c>
      <c r="D27" s="93" t="str">
        <f t="shared" si="0"/>
        <v>Pass</v>
      </c>
      <c r="E27" s="93">
        <f>IF($B27="","",_xlfn.LET(_xlpm.src,IFERROR(_xlfn.XLOOKUP($B27,[1]clean_EMBER_2024!$D$5:$D$201,[1]clean_EMBER_2024!$J$5:$J$201,"",0),""),IF(ISNUMBER(_xlpm.src),_xlpm.src,"Missing")))</f>
        <v>58.68</v>
      </c>
      <c r="F27" s="93">
        <f>IF($B27="","",_xlfn.LET(_xlpm.x,IFERROR(_xlfn.XLOOKUP($B27,[1]comp_GEM_coal!$B$2:$B$110,[1]comp_GEM_coal!$F$2:$F$110,"",0),""),IF(ISNUMBER(_xlpm.x),_xlpm.x,"Missing")))</f>
        <v>70.511284266999994</v>
      </c>
      <c r="G27" s="93">
        <f t="shared" si="1"/>
        <v>1</v>
      </c>
      <c r="H27" s="93">
        <f t="shared" si="2"/>
        <v>1</v>
      </c>
      <c r="I27" s="93">
        <f t="shared" si="3"/>
        <v>1</v>
      </c>
      <c r="J27" s="93">
        <f t="shared" si="4"/>
        <v>3</v>
      </c>
      <c r="K27" s="93" t="str">
        <f t="shared" si="5"/>
        <v>Pass</v>
      </c>
      <c r="L27" s="93" t="str">
        <f t="shared" si="6"/>
        <v>Yes</v>
      </c>
      <c r="M27" s="93" t="str">
        <f t="shared" si="7"/>
        <v/>
      </c>
      <c r="O27" s="35"/>
      <c r="P27" s="35"/>
    </row>
    <row r="28" spans="1:16" ht="20" customHeight="1">
      <c r="A28" s="70" t="s">
        <v>82</v>
      </c>
      <c r="B28" s="70" t="s">
        <v>83</v>
      </c>
      <c r="C28" s="93">
        <f>IF($B28="","",_xlfn.LET(_xlpm.x,IFERROR(_xlfn.XLOOKUP($B28,[1]comp_GEM_coal!$B$2:$B$110,[1]comp_GEM_coal!$C$2:$C$110,0,0),0),IF(ISNUMBER(_xlpm.x),_xlpm.x,0)))</f>
        <v>732</v>
      </c>
      <c r="D28" s="93" t="str">
        <f t="shared" si="0"/>
        <v>Pass</v>
      </c>
      <c r="E28" s="93">
        <f>IF($B28="","",_xlfn.LET(_xlpm.src,IFERROR(_xlfn.XLOOKUP($B28,[1]clean_EMBER_2024!$D$5:$D$201,[1]clean_EMBER_2024!$J$5:$J$201,"",0),""),IF(ISNUMBER(_xlpm.src),_xlpm.src,"Missing")))</f>
        <v>98.25</v>
      </c>
      <c r="F28" s="93">
        <f>IF($B28="","",_xlfn.LET(_xlpm.x,IFERROR(_xlfn.XLOOKUP($B28,[1]comp_GEM_coal!$B$2:$B$110,[1]comp_GEM_coal!$F$2:$F$110,"",0),""),IF(ISNUMBER(_xlpm.x),_xlpm.x,"Missing")))</f>
        <v>55.528054187999999</v>
      </c>
      <c r="G28" s="93">
        <f t="shared" si="1"/>
        <v>0</v>
      </c>
      <c r="H28" s="93">
        <f t="shared" si="2"/>
        <v>1</v>
      </c>
      <c r="I28" s="93">
        <f t="shared" si="3"/>
        <v>0</v>
      </c>
      <c r="J28" s="93">
        <f t="shared" si="4"/>
        <v>1</v>
      </c>
      <c r="K28" s="93" t="str">
        <f t="shared" si="5"/>
        <v>Fail</v>
      </c>
      <c r="L28" s="93" t="str">
        <f t="shared" si="6"/>
        <v>No</v>
      </c>
      <c r="M28" s="93" t="str">
        <f t="shared" si="7"/>
        <v>Does not meet at least two material-opportunity thresholds</v>
      </c>
      <c r="O28" s="35"/>
      <c r="P28" s="35"/>
    </row>
    <row r="29" spans="1:16" ht="20" customHeight="1">
      <c r="A29" s="70" t="s">
        <v>74</v>
      </c>
      <c r="B29" s="70" t="s">
        <v>75</v>
      </c>
      <c r="C29" s="93">
        <f>IF($B29="","",_xlfn.LET(_xlpm.x,IFERROR(_xlfn.XLOOKUP($B29,[1]comp_GEM_coal!$B$2:$B$110,[1]comp_GEM_coal!$C$2:$C$110,0,0),0),IF(ISNUMBER(_xlpm.x),_xlpm.x,0)))</f>
        <v>2997</v>
      </c>
      <c r="D29" s="93" t="str">
        <f t="shared" si="0"/>
        <v>Pass</v>
      </c>
      <c r="E29" s="93">
        <f>IF($B29="","",_xlfn.LET(_xlpm.src,IFERROR(_xlfn.XLOOKUP($B29,[1]clean_EMBER_2024!$D$5:$D$201,[1]clean_EMBER_2024!$J$5:$J$201,"",0),""),IF(ISNUMBER(_xlpm.src),_xlpm.src,"Missing")))</f>
        <v>2.17</v>
      </c>
      <c r="F29" s="93">
        <f>IF($B29="","",_xlfn.LET(_xlpm.x,IFERROR(_xlfn.XLOOKUP($B29,[1]comp_GEM_coal!$B$2:$B$110,[1]comp_GEM_coal!$F$2:$F$110,"",0),""),IF(ISNUMBER(_xlpm.x),_xlpm.x,"Missing")))</f>
        <v>217.351523192</v>
      </c>
      <c r="G29" s="93">
        <f t="shared" si="1"/>
        <v>1</v>
      </c>
      <c r="H29" s="93">
        <f t="shared" si="2"/>
        <v>0</v>
      </c>
      <c r="I29" s="93">
        <f t="shared" si="3"/>
        <v>1</v>
      </c>
      <c r="J29" s="93">
        <f t="shared" si="4"/>
        <v>2</v>
      </c>
      <c r="K29" s="93" t="str">
        <f t="shared" si="5"/>
        <v>Pass</v>
      </c>
      <c r="L29" s="93" t="str">
        <f t="shared" si="6"/>
        <v>Yes</v>
      </c>
      <c r="M29" s="93" t="str">
        <f t="shared" si="7"/>
        <v/>
      </c>
      <c r="O29" s="35"/>
      <c r="P29" s="35"/>
    </row>
    <row r="30" spans="1:16" ht="20" customHeight="1">
      <c r="A30" s="70" t="s">
        <v>78</v>
      </c>
      <c r="B30" s="70" t="s">
        <v>79</v>
      </c>
      <c r="C30" s="93">
        <f>IF($B30="","",_xlfn.LET(_xlpm.x,IFERROR(_xlfn.XLOOKUP($B30,[1]comp_GEM_coal!$B$2:$B$110,[1]comp_GEM_coal!$C$2:$C$110,0,0),0),IF(ISNUMBER(_xlpm.x),_xlpm.x,0)))</f>
        <v>220</v>
      </c>
      <c r="D30" s="93" t="str">
        <f t="shared" si="0"/>
        <v>Pass</v>
      </c>
      <c r="E30" s="93">
        <f>IF($B30="","",_xlfn.LET(_xlpm.src,IFERROR(_xlfn.XLOOKUP($B30,[1]clean_EMBER_2024!$D$5:$D$201,[1]clean_EMBER_2024!$J$5:$J$201,"",0),""),IF(ISNUMBER(_xlpm.src),_xlpm.src,"Missing")))</f>
        <v>19.78</v>
      </c>
      <c r="F30" s="93">
        <f>IF($B30="","",_xlfn.LET(_xlpm.x,IFERROR(_xlfn.XLOOKUP($B30,[1]comp_GEM_coal!$B$2:$B$110,[1]comp_GEM_coal!$F$2:$F$110,"",0),""),IF(ISNUMBER(_xlpm.x),_xlpm.x,"Missing")))</f>
        <v>36.865115039999999</v>
      </c>
      <c r="G30" s="93">
        <f t="shared" si="1"/>
        <v>0</v>
      </c>
      <c r="H30" s="93">
        <f t="shared" si="2"/>
        <v>0</v>
      </c>
      <c r="I30" s="93">
        <f t="shared" si="3"/>
        <v>0</v>
      </c>
      <c r="J30" s="93">
        <f t="shared" si="4"/>
        <v>0</v>
      </c>
      <c r="K30" s="93" t="str">
        <f t="shared" si="5"/>
        <v>Fail</v>
      </c>
      <c r="L30" s="93" t="str">
        <f t="shared" si="6"/>
        <v>No</v>
      </c>
      <c r="M30" s="93" t="str">
        <f t="shared" si="7"/>
        <v>Does not meet at least two material-opportunity thresholds</v>
      </c>
      <c r="O30" s="35"/>
      <c r="P30" s="35"/>
    </row>
    <row r="31" spans="1:16" ht="20" customHeight="1">
      <c r="A31" s="70" t="s">
        <v>58</v>
      </c>
      <c r="B31" s="70" t="s">
        <v>59</v>
      </c>
      <c r="C31" s="93">
        <f>IF($B31="","",_xlfn.LET(_xlpm.x,IFERROR(_xlfn.XLOOKUP($B31,[1]comp_GEM_coal!$B$2:$B$110,[1]comp_GEM_coal!$C$2:$C$110,0,0),0),IF(ISNUMBER(_xlpm.x),_xlpm.x,0)))</f>
        <v>4115</v>
      </c>
      <c r="D31" s="93" t="str">
        <f t="shared" si="0"/>
        <v>Pass</v>
      </c>
      <c r="E31" s="93">
        <f>IF($B31="","",_xlfn.LET(_xlpm.src,IFERROR(_xlfn.XLOOKUP($B31,[1]clean_EMBER_2024!$D$5:$D$201,[1]clean_EMBER_2024!$J$5:$J$201,"",0),""),IF(ISNUMBER(_xlpm.src),_xlpm.src,"Missing")))</f>
        <v>22.87</v>
      </c>
      <c r="F31" s="93">
        <f>IF($B31="","",_xlfn.LET(_xlpm.x,IFERROR(_xlfn.XLOOKUP($B31,[1]comp_GEM_coal!$B$2:$B$110,[1]comp_GEM_coal!$F$2:$F$110,"",0),""),IF(ISNUMBER(_xlpm.x),_xlpm.x,"Missing")))</f>
        <v>76.466190517000001</v>
      </c>
      <c r="G31" s="93">
        <f t="shared" si="1"/>
        <v>1</v>
      </c>
      <c r="H31" s="93">
        <f t="shared" si="2"/>
        <v>1</v>
      </c>
      <c r="I31" s="93">
        <f t="shared" si="3"/>
        <v>1</v>
      </c>
      <c r="J31" s="93">
        <f t="shared" si="4"/>
        <v>3</v>
      </c>
      <c r="K31" s="93" t="str">
        <f t="shared" si="5"/>
        <v>Pass</v>
      </c>
      <c r="L31" s="93" t="str">
        <f t="shared" si="6"/>
        <v>Yes</v>
      </c>
      <c r="M31" s="93" t="str">
        <f t="shared" si="7"/>
        <v/>
      </c>
      <c r="O31" s="35"/>
      <c r="P31" s="35"/>
    </row>
    <row r="32" spans="1:16" ht="20" customHeight="1">
      <c r="A32" s="70" t="s">
        <v>54</v>
      </c>
      <c r="B32" s="70" t="s">
        <v>55</v>
      </c>
      <c r="C32" s="93">
        <f>IF($B32="","",_xlfn.LET(_xlpm.x,IFERROR(_xlfn.XLOOKUP($B32,[1]comp_GEM_coal!$B$2:$B$110,[1]comp_GEM_coal!$C$2:$C$110,0,0),0),IF(ISNUMBER(_xlpm.x),_xlpm.x,0)))</f>
        <v>0</v>
      </c>
      <c r="D32" s="93" t="str">
        <f t="shared" si="0"/>
        <v>Fail</v>
      </c>
      <c r="E32" s="93">
        <f>IF($B32="","",_xlfn.LET(_xlpm.src,IFERROR(_xlfn.XLOOKUP($B32,[1]clean_EMBER_2024!$D$5:$D$201,[1]clean_EMBER_2024!$J$5:$J$201,"",0),""),IF(ISNUMBER(_xlpm.src),_xlpm.src,"Missing")))</f>
        <v>0</v>
      </c>
      <c r="F32" s="93" t="str">
        <f>IF($B32="","",_xlfn.LET(_xlpm.x,IFERROR(_xlfn.XLOOKUP($B32,[1]comp_GEM_coal!$B$2:$B$110,[1]comp_GEM_coal!$F$2:$F$110,"",0),""),IF(ISNUMBER(_xlpm.x),_xlpm.x,"Missing")))</f>
        <v>Missing</v>
      </c>
      <c r="G32" s="93" t="str">
        <f t="shared" si="1"/>
        <v/>
      </c>
      <c r="H32" s="93" t="str">
        <f t="shared" si="2"/>
        <v/>
      </c>
      <c r="I32" s="93" t="str">
        <f t="shared" si="3"/>
        <v/>
      </c>
      <c r="J32" s="93" t="str">
        <f t="shared" si="4"/>
        <v/>
      </c>
      <c r="K32" s="93" t="str">
        <f t="shared" si="5"/>
        <v>Not screened</v>
      </c>
      <c r="L32" s="93" t="str">
        <f t="shared" si="6"/>
        <v>No</v>
      </c>
      <c r="M32" s="93" t="str">
        <f t="shared" si="7"/>
        <v>No operating coal capacity recorded in GEM</v>
      </c>
      <c r="O32" s="35"/>
      <c r="P32" s="35"/>
    </row>
    <row r="33" spans="1:16" ht="20" customHeight="1">
      <c r="A33" s="70" t="s">
        <v>48</v>
      </c>
      <c r="B33" s="70" t="s">
        <v>49</v>
      </c>
      <c r="C33" s="93">
        <f>IF($B33="","",_xlfn.LET(_xlpm.x,IFERROR(_xlfn.XLOOKUP($B33,[1]comp_GEM_coal!$B$2:$B$110,[1]comp_GEM_coal!$C$2:$C$110,0,0),0),IF(ISNUMBER(_xlpm.x),_xlpm.x,0)))</f>
        <v>0</v>
      </c>
      <c r="D33" s="93" t="str">
        <f t="shared" si="0"/>
        <v>Fail</v>
      </c>
      <c r="E33" s="93">
        <f>IF($B33="","",_xlfn.LET(_xlpm.src,IFERROR(_xlfn.XLOOKUP($B33,[1]clean_EMBER_2024!$D$5:$D$201,[1]clean_EMBER_2024!$J$5:$J$201,"",0),""),IF(ISNUMBER(_xlpm.src),_xlpm.src,"Missing")))</f>
        <v>0</v>
      </c>
      <c r="F33" s="93" t="str">
        <f>IF($B33="","",_xlfn.LET(_xlpm.x,IFERROR(_xlfn.XLOOKUP($B33,[1]comp_GEM_coal!$B$2:$B$110,[1]comp_GEM_coal!$F$2:$F$110,"",0),""),IF(ISNUMBER(_xlpm.x),_xlpm.x,"Missing")))</f>
        <v>Missing</v>
      </c>
      <c r="G33" s="93" t="str">
        <f t="shared" si="1"/>
        <v/>
      </c>
      <c r="H33" s="93" t="str">
        <f t="shared" si="2"/>
        <v/>
      </c>
      <c r="I33" s="93" t="str">
        <f t="shared" si="3"/>
        <v/>
      </c>
      <c r="J33" s="93" t="str">
        <f t="shared" si="4"/>
        <v/>
      </c>
      <c r="K33" s="93" t="str">
        <f t="shared" si="5"/>
        <v>Not screened</v>
      </c>
      <c r="L33" s="93" t="str">
        <f t="shared" si="6"/>
        <v>No</v>
      </c>
      <c r="M33" s="93" t="str">
        <f t="shared" si="7"/>
        <v>No operating coal capacity recorded in GEM</v>
      </c>
      <c r="O33" s="35"/>
      <c r="P33" s="35"/>
    </row>
    <row r="34" spans="1:16" ht="20" customHeight="1">
      <c r="A34" s="70" t="s">
        <v>108</v>
      </c>
      <c r="B34" s="70" t="s">
        <v>109</v>
      </c>
      <c r="C34" s="93">
        <f>IF($B34="","",_xlfn.LET(_xlpm.x,IFERROR(_xlfn.XLOOKUP($B34,[1]comp_GEM_coal!$B$2:$B$110,[1]comp_GEM_coal!$C$2:$C$110,0,0),0),IF(ISNUMBER(_xlpm.x),_xlpm.x,0)))</f>
        <v>0</v>
      </c>
      <c r="D34" s="93" t="str">
        <f t="shared" si="0"/>
        <v>Fail</v>
      </c>
      <c r="E34" s="93">
        <f>IF($B34="","",_xlfn.LET(_xlpm.src,IFERROR(_xlfn.XLOOKUP($B34,[1]clean_EMBER_2024!$D$5:$D$201,[1]clean_EMBER_2024!$J$5:$J$201,"",0),""),IF(ISNUMBER(_xlpm.src),_xlpm.src,"Missing")))</f>
        <v>0</v>
      </c>
      <c r="F34" s="93" t="str">
        <f>IF($B34="","",_xlfn.LET(_xlpm.x,IFERROR(_xlfn.XLOOKUP($B34,[1]comp_GEM_coal!$B$2:$B$110,[1]comp_GEM_coal!$F$2:$F$110,"",0),""),IF(ISNUMBER(_xlpm.x),_xlpm.x,"Missing")))</f>
        <v>Missing</v>
      </c>
      <c r="G34" s="93" t="str">
        <f t="shared" si="1"/>
        <v/>
      </c>
      <c r="H34" s="93" t="str">
        <f t="shared" si="2"/>
        <v/>
      </c>
      <c r="I34" s="93" t="str">
        <f t="shared" si="3"/>
        <v/>
      </c>
      <c r="J34" s="93" t="str">
        <f t="shared" si="4"/>
        <v/>
      </c>
      <c r="K34" s="93" t="str">
        <f t="shared" si="5"/>
        <v>Not screened</v>
      </c>
      <c r="L34" s="93" t="str">
        <f t="shared" si="6"/>
        <v>No</v>
      </c>
      <c r="M34" s="93" t="str">
        <f t="shared" si="7"/>
        <v>No operating coal capacity recorded in GEM</v>
      </c>
      <c r="O34" s="35"/>
      <c r="P34" s="35"/>
    </row>
    <row r="35" spans="1:16" ht="20" customHeight="1">
      <c r="A35" s="70" t="s">
        <v>218</v>
      </c>
      <c r="B35" s="70" t="s">
        <v>219</v>
      </c>
      <c r="C35" s="93">
        <f>IF($B35="","",_xlfn.LET(_xlpm.x,IFERROR(_xlfn.XLOOKUP($B35,[1]comp_GEM_coal!$B$2:$B$110,[1]comp_GEM_coal!$C$2:$C$110,0,0),0),IF(ISNUMBER(_xlpm.x),_xlpm.x,0)))</f>
        <v>1455</v>
      </c>
      <c r="D35" s="93" t="str">
        <f t="shared" si="0"/>
        <v>Pass</v>
      </c>
      <c r="E35" s="93">
        <f>IF($B35="","",_xlfn.LET(_xlpm.src,IFERROR(_xlfn.XLOOKUP($B35,[1]clean_EMBER_2024!$D$5:$D$201,[1]clean_EMBER_2024!$J$5:$J$201,"",0),""),IF(ISNUMBER(_xlpm.src),_xlpm.src,"Missing")))</f>
        <v>60.92</v>
      </c>
      <c r="F35" s="93">
        <f>IF($B35="","",_xlfn.LET(_xlpm.x,IFERROR(_xlfn.XLOOKUP($B35,[1]comp_GEM_coal!$B$2:$B$110,[1]comp_GEM_coal!$F$2:$F$110,"",0),""),IF(ISNUMBER(_xlpm.x),_xlpm.x,"Missing")))</f>
        <v>260.12776960799999</v>
      </c>
      <c r="G35" s="93">
        <f t="shared" si="1"/>
        <v>0</v>
      </c>
      <c r="H35" s="93">
        <f t="shared" si="2"/>
        <v>1</v>
      </c>
      <c r="I35" s="93">
        <f t="shared" si="3"/>
        <v>1</v>
      </c>
      <c r="J35" s="93">
        <f t="shared" si="4"/>
        <v>2</v>
      </c>
      <c r="K35" s="93" t="str">
        <f t="shared" si="5"/>
        <v>Pass</v>
      </c>
      <c r="L35" s="93" t="str">
        <f t="shared" si="6"/>
        <v>Yes</v>
      </c>
      <c r="M35" s="93" t="str">
        <f t="shared" si="7"/>
        <v/>
      </c>
      <c r="O35" s="35"/>
      <c r="P35" s="35"/>
    </row>
    <row r="36" spans="1:16" ht="20" customHeight="1">
      <c r="A36" s="70" t="s">
        <v>96</v>
      </c>
      <c r="B36" s="70" t="s">
        <v>97</v>
      </c>
      <c r="C36" s="93">
        <f>IF($B36="","",_xlfn.LET(_xlpm.x,IFERROR(_xlfn.XLOOKUP($B36,[1]comp_GEM_coal!$B$2:$B$110,[1]comp_GEM_coal!$C$2:$C$110,0,0),0),IF(ISNUMBER(_xlpm.x),_xlpm.x,0)))</f>
        <v>0</v>
      </c>
      <c r="D36" s="93" t="str">
        <f t="shared" si="0"/>
        <v>Fail</v>
      </c>
      <c r="E36" s="93">
        <f>IF($B36="","",_xlfn.LET(_xlpm.src,IFERROR(_xlfn.XLOOKUP($B36,[1]clean_EMBER_2024!$D$5:$D$201,[1]clean_EMBER_2024!$J$5:$J$201,"",0),""),IF(ISNUMBER(_xlpm.src),_xlpm.src,"Missing")))</f>
        <v>0</v>
      </c>
      <c r="F36" s="93" t="str">
        <f>IF($B36="","",_xlfn.LET(_xlpm.x,IFERROR(_xlfn.XLOOKUP($B36,[1]comp_GEM_coal!$B$2:$B$110,[1]comp_GEM_coal!$F$2:$F$110,"",0),""),IF(ISNUMBER(_xlpm.x),_xlpm.x,"Missing")))</f>
        <v>Missing</v>
      </c>
      <c r="G36" s="93" t="str">
        <f t="shared" si="1"/>
        <v/>
      </c>
      <c r="H36" s="93" t="str">
        <f t="shared" si="2"/>
        <v/>
      </c>
      <c r="I36" s="93" t="str">
        <f t="shared" si="3"/>
        <v/>
      </c>
      <c r="J36" s="93" t="str">
        <f t="shared" si="4"/>
        <v/>
      </c>
      <c r="K36" s="93" t="str">
        <f t="shared" si="5"/>
        <v>Not screened</v>
      </c>
      <c r="L36" s="93" t="str">
        <f t="shared" si="6"/>
        <v>No</v>
      </c>
      <c r="M36" s="93" t="str">
        <f t="shared" si="7"/>
        <v>No operating coal capacity recorded in GEM</v>
      </c>
      <c r="O36" s="35"/>
      <c r="P36" s="35"/>
    </row>
    <row r="37" spans="1:16" ht="20" customHeight="1">
      <c r="A37" s="70" t="s">
        <v>86</v>
      </c>
      <c r="B37" s="70" t="s">
        <v>87</v>
      </c>
      <c r="C37" s="93">
        <f>IF($B37="","",_xlfn.LET(_xlpm.x,IFERROR(_xlfn.XLOOKUP($B37,[1]comp_GEM_coal!$B$2:$B$110,[1]comp_GEM_coal!$C$2:$C$110,0,0),0),IF(ISNUMBER(_xlpm.x),_xlpm.x,0)))</f>
        <v>3080</v>
      </c>
      <c r="D37" s="93" t="str">
        <f t="shared" si="0"/>
        <v>Pass</v>
      </c>
      <c r="E37" s="93">
        <f>IF($B37="","",_xlfn.LET(_xlpm.src,IFERROR(_xlfn.XLOOKUP($B37,[1]clean_EMBER_2024!$D$5:$D$201,[1]clean_EMBER_2024!$J$5:$J$201,"",0),""),IF(ISNUMBER(_xlpm.src),_xlpm.src,"Missing")))</f>
        <v>3.95</v>
      </c>
      <c r="F37" s="93">
        <f>IF($B37="","",_xlfn.LET(_xlpm.x,IFERROR(_xlfn.XLOOKUP($B37,[1]comp_GEM_coal!$B$2:$B$110,[1]comp_GEM_coal!$F$2:$F$110,"",0),""),IF(ISNUMBER(_xlpm.x),_xlpm.x,"Missing")))</f>
        <v>100.155606952</v>
      </c>
      <c r="G37" s="93">
        <f t="shared" si="1"/>
        <v>1</v>
      </c>
      <c r="H37" s="93">
        <f t="shared" si="2"/>
        <v>0</v>
      </c>
      <c r="I37" s="93">
        <f t="shared" si="3"/>
        <v>1</v>
      </c>
      <c r="J37" s="93">
        <f t="shared" si="4"/>
        <v>2</v>
      </c>
      <c r="K37" s="93" t="str">
        <f t="shared" si="5"/>
        <v>Pass</v>
      </c>
      <c r="L37" s="93" t="str">
        <f t="shared" si="6"/>
        <v>Yes</v>
      </c>
      <c r="M37" s="93" t="str">
        <f t="shared" si="7"/>
        <v/>
      </c>
      <c r="O37" s="35"/>
      <c r="P37" s="35"/>
    </row>
    <row r="38" spans="1:16" ht="20" customHeight="1">
      <c r="A38" s="70" t="s">
        <v>114</v>
      </c>
      <c r="B38" s="70" t="s">
        <v>115</v>
      </c>
      <c r="C38" s="93">
        <f>IF($B38="","",_xlfn.LET(_xlpm.x,IFERROR(_xlfn.XLOOKUP($B38,[1]comp_GEM_coal!$B$2:$B$110,[1]comp_GEM_coal!$C$2:$C$110,0,0),0),IF(ISNUMBER(_xlpm.x),_xlpm.x,0)))</f>
        <v>0</v>
      </c>
      <c r="D38" s="93" t="str">
        <f t="shared" si="0"/>
        <v>Fail</v>
      </c>
      <c r="E38" s="93">
        <f>IF($B38="","",_xlfn.LET(_xlpm.src,IFERROR(_xlfn.XLOOKUP($B38,[1]clean_EMBER_2024!$D$5:$D$201,[1]clean_EMBER_2024!$J$5:$J$201,"",0),""),IF(ISNUMBER(_xlpm.src),_xlpm.src,"Missing")))</f>
        <v>0</v>
      </c>
      <c r="F38" s="93" t="str">
        <f>IF($B38="","",_xlfn.LET(_xlpm.x,IFERROR(_xlfn.XLOOKUP($B38,[1]comp_GEM_coal!$B$2:$B$110,[1]comp_GEM_coal!$F$2:$F$110,"",0),""),IF(ISNUMBER(_xlpm.x),_xlpm.x,"Missing")))</f>
        <v>Missing</v>
      </c>
      <c r="G38" s="93" t="str">
        <f t="shared" si="1"/>
        <v/>
      </c>
      <c r="H38" s="93" t="str">
        <f t="shared" si="2"/>
        <v/>
      </c>
      <c r="I38" s="93" t="str">
        <f t="shared" si="3"/>
        <v/>
      </c>
      <c r="J38" s="93" t="str">
        <f t="shared" si="4"/>
        <v/>
      </c>
      <c r="K38" s="93" t="str">
        <f t="shared" si="5"/>
        <v>Not screened</v>
      </c>
      <c r="L38" s="93" t="str">
        <f t="shared" si="6"/>
        <v>No</v>
      </c>
      <c r="M38" s="93" t="str">
        <f t="shared" si="7"/>
        <v>No operating coal capacity recorded in GEM</v>
      </c>
      <c r="O38" s="35"/>
      <c r="P38" s="35"/>
    </row>
    <row r="39" spans="1:16" ht="20" customHeight="1">
      <c r="A39" s="70" t="s">
        <v>84</v>
      </c>
      <c r="B39" s="70" t="s">
        <v>85</v>
      </c>
      <c r="C39" s="93">
        <f>IF($B39="","",_xlfn.LET(_xlpm.x,IFERROR(_xlfn.XLOOKUP($B39,[1]comp_GEM_coal!$B$2:$B$110,[1]comp_GEM_coal!$C$2:$C$110,0,0),0),IF(ISNUMBER(_xlpm.x),_xlpm.x,0)))</f>
        <v>0</v>
      </c>
      <c r="D39" s="93" t="str">
        <f t="shared" si="0"/>
        <v>Fail</v>
      </c>
      <c r="E39" s="93" t="str">
        <f>IF($B39="","",_xlfn.LET(_xlpm.src,IFERROR(_xlfn.XLOOKUP($B39,[1]clean_EMBER_2024!$D$5:$D$201,[1]clean_EMBER_2024!$J$5:$J$201,"",0),""),IF(ISNUMBER(_xlpm.src),_xlpm.src,"Missing")))</f>
        <v>Missing</v>
      </c>
      <c r="F39" s="93" t="str">
        <f>IF($B39="","",_xlfn.LET(_xlpm.x,IFERROR(_xlfn.XLOOKUP($B39,[1]comp_GEM_coal!$B$2:$B$110,[1]comp_GEM_coal!$F$2:$F$110,"",0),""),IF(ISNUMBER(_xlpm.x),_xlpm.x,"Missing")))</f>
        <v>Missing</v>
      </c>
      <c r="G39" s="93" t="str">
        <f t="shared" si="1"/>
        <v/>
      </c>
      <c r="H39" s="93" t="str">
        <f t="shared" si="2"/>
        <v/>
      </c>
      <c r="I39" s="93" t="str">
        <f t="shared" si="3"/>
        <v/>
      </c>
      <c r="J39" s="93" t="str">
        <f t="shared" si="4"/>
        <v/>
      </c>
      <c r="K39" s="93" t="str">
        <f t="shared" si="5"/>
        <v>Not screened</v>
      </c>
      <c r="L39" s="93" t="str">
        <f t="shared" si="6"/>
        <v>No</v>
      </c>
      <c r="M39" s="93" t="str">
        <f t="shared" si="7"/>
        <v>No operating coal capacity recorded in GEM</v>
      </c>
      <c r="O39" s="35"/>
      <c r="P39" s="35"/>
    </row>
    <row r="40" spans="1:16" ht="20" customHeight="1">
      <c r="A40" s="70" t="s">
        <v>383</v>
      </c>
      <c r="B40" s="70" t="s">
        <v>384</v>
      </c>
      <c r="C40" s="93">
        <f>IF($B40="","",_xlfn.LET(_xlpm.x,IFERROR(_xlfn.XLOOKUP($B40,[1]comp_GEM_coal!$B$2:$B$110,[1]comp_GEM_coal!$C$2:$C$110,0,0),0),IF(ISNUMBER(_xlpm.x),_xlpm.x,0)))</f>
        <v>0</v>
      </c>
      <c r="D40" s="93" t="str">
        <f t="shared" si="0"/>
        <v>Fail</v>
      </c>
      <c r="E40" s="93">
        <f>IF($B40="","",_xlfn.LET(_xlpm.src,IFERROR(_xlfn.XLOOKUP($B40,[1]clean_EMBER_2024!$D$5:$D$201,[1]clean_EMBER_2024!$J$5:$J$201,"",0),""),IF(ISNUMBER(_xlpm.src),_xlpm.src,"Missing")))</f>
        <v>0</v>
      </c>
      <c r="F40" s="93" t="str">
        <f>IF($B40="","",_xlfn.LET(_xlpm.x,IFERROR(_xlfn.XLOOKUP($B40,[1]comp_GEM_coal!$B$2:$B$110,[1]comp_GEM_coal!$F$2:$F$110,"",0),""),IF(ISNUMBER(_xlpm.x),_xlpm.x,"Missing")))</f>
        <v>Missing</v>
      </c>
      <c r="G40" s="93" t="str">
        <f t="shared" si="1"/>
        <v/>
      </c>
      <c r="H40" s="93" t="str">
        <f t="shared" si="2"/>
        <v/>
      </c>
      <c r="I40" s="93" t="str">
        <f t="shared" si="3"/>
        <v/>
      </c>
      <c r="J40" s="93" t="str">
        <f t="shared" si="4"/>
        <v/>
      </c>
      <c r="K40" s="93" t="str">
        <f t="shared" si="5"/>
        <v>Not screened</v>
      </c>
      <c r="L40" s="93" t="str">
        <f t="shared" si="6"/>
        <v>No</v>
      </c>
      <c r="M40" s="93" t="str">
        <f t="shared" si="7"/>
        <v>No operating coal capacity recorded in GEM</v>
      </c>
      <c r="O40" s="35"/>
      <c r="P40" s="35"/>
    </row>
    <row r="41" spans="1:16" ht="20" customHeight="1">
      <c r="A41" s="70" t="s">
        <v>90</v>
      </c>
      <c r="B41" s="70" t="s">
        <v>91</v>
      </c>
      <c r="C41" s="93">
        <f>IF($B41="","",_xlfn.LET(_xlpm.x,IFERROR(_xlfn.XLOOKUP($B41,[1]comp_GEM_coal!$B$2:$B$110,[1]comp_GEM_coal!$C$2:$C$110,0,0),0),IF(ISNUMBER(_xlpm.x),_xlpm.x,0)))</f>
        <v>3117</v>
      </c>
      <c r="D41" s="93" t="str">
        <f t="shared" si="0"/>
        <v>Pass</v>
      </c>
      <c r="E41" s="93">
        <f>IF($B41="","",_xlfn.LET(_xlpm.src,IFERROR(_xlfn.XLOOKUP($B41,[1]clean_EMBER_2024!$D$5:$D$201,[1]clean_EMBER_2024!$J$5:$J$201,"",0),""),IF(ISNUMBER(_xlpm.src),_xlpm.src,"Missing")))</f>
        <v>15.3</v>
      </c>
      <c r="F41" s="93">
        <f>IF($B41="","",_xlfn.LET(_xlpm.x,IFERROR(_xlfn.XLOOKUP($B41,[1]comp_GEM_coal!$B$2:$B$110,[1]comp_GEM_coal!$F$2:$F$110,"",0),""),IF(ISNUMBER(_xlpm.x),_xlpm.x,"Missing")))</f>
        <v>133.145668419</v>
      </c>
      <c r="G41" s="93">
        <f t="shared" si="1"/>
        <v>1</v>
      </c>
      <c r="H41" s="93">
        <f t="shared" si="2"/>
        <v>0</v>
      </c>
      <c r="I41" s="93">
        <f t="shared" si="3"/>
        <v>1</v>
      </c>
      <c r="J41" s="93">
        <f t="shared" si="4"/>
        <v>2</v>
      </c>
      <c r="K41" s="93" t="str">
        <f t="shared" si="5"/>
        <v>Pass</v>
      </c>
      <c r="L41" s="93" t="str">
        <f t="shared" si="6"/>
        <v>Yes</v>
      </c>
      <c r="M41" s="93" t="str">
        <f t="shared" si="7"/>
        <v/>
      </c>
      <c r="O41" s="35"/>
      <c r="P41" s="35"/>
    </row>
    <row r="42" spans="1:16" ht="20" customHeight="1">
      <c r="A42" s="70" t="s">
        <v>92</v>
      </c>
      <c r="B42" s="70" t="s">
        <v>93</v>
      </c>
      <c r="C42" s="93">
        <f>IF($B42="","",_xlfn.LET(_xlpm.x,IFERROR(_xlfn.XLOOKUP($B42,[1]comp_GEM_coal!$B$2:$B$110,[1]comp_GEM_coal!$C$2:$C$110,0,0),0),IF(ISNUMBER(_xlpm.x),_xlpm.x,0)))</f>
        <v>1239019</v>
      </c>
      <c r="D42" s="93" t="str">
        <f t="shared" si="0"/>
        <v>Pass</v>
      </c>
      <c r="E42" s="93">
        <f>IF($B42="","",_xlfn.LET(_xlpm.src,IFERROR(_xlfn.XLOOKUP($B42,[1]clean_EMBER_2024!$D$5:$D$201,[1]clean_EMBER_2024!$J$5:$J$201,"",0),""),IF(ISNUMBER(_xlpm.src),_xlpm.src,"Missing")))</f>
        <v>57.77</v>
      </c>
      <c r="F42" s="93">
        <f>IF($B42="","",_xlfn.LET(_xlpm.x,IFERROR(_xlfn.XLOOKUP($B42,[1]comp_GEM_coal!$B$2:$B$110,[1]comp_GEM_coal!$F$2:$F$110,"",0),""),IF(ISNUMBER(_xlpm.x),_xlpm.x,"Missing")))</f>
        <v>120222.65597211944</v>
      </c>
      <c r="G42" s="93">
        <f t="shared" si="1"/>
        <v>1</v>
      </c>
      <c r="H42" s="93">
        <f t="shared" si="2"/>
        <v>1</v>
      </c>
      <c r="I42" s="93">
        <f t="shared" si="3"/>
        <v>1</v>
      </c>
      <c r="J42" s="93">
        <f t="shared" si="4"/>
        <v>3</v>
      </c>
      <c r="K42" s="93" t="str">
        <f t="shared" si="5"/>
        <v>Pass</v>
      </c>
      <c r="L42" s="93" t="str">
        <f t="shared" si="6"/>
        <v>Yes</v>
      </c>
      <c r="M42" s="93" t="str">
        <f t="shared" si="7"/>
        <v/>
      </c>
      <c r="O42" s="35"/>
      <c r="P42" s="35"/>
    </row>
    <row r="43" spans="1:16" ht="20" customHeight="1">
      <c r="A43" s="70" t="s">
        <v>104</v>
      </c>
      <c r="B43" s="70" t="s">
        <v>105</v>
      </c>
      <c r="C43" s="93">
        <f>IF($B43="","",_xlfn.LET(_xlpm.x,IFERROR(_xlfn.XLOOKUP($B43,[1]comp_GEM_coal!$B$2:$B$110,[1]comp_GEM_coal!$C$2:$C$110,0,0),0),IF(ISNUMBER(_xlpm.x),_xlpm.x,0)))</f>
        <v>1613</v>
      </c>
      <c r="D43" s="93" t="str">
        <f t="shared" si="0"/>
        <v>Pass</v>
      </c>
      <c r="E43" s="93">
        <f>IF($B43="","",_xlfn.LET(_xlpm.src,IFERROR(_xlfn.XLOOKUP($B43,[1]clean_EMBER_2024!$D$5:$D$201,[1]clean_EMBER_2024!$J$5:$J$201,"",0),""),IF(ISNUMBER(_xlpm.src),_xlpm.src,"Missing")))</f>
        <v>12.58</v>
      </c>
      <c r="F43" s="93">
        <f>IF($B43="","",_xlfn.LET(_xlpm.x,IFERROR(_xlfn.XLOOKUP($B43,[1]comp_GEM_coal!$B$2:$B$110,[1]comp_GEM_coal!$F$2:$F$110,"",0),""),IF(ISNUMBER(_xlpm.x),_xlpm.x,"Missing")))</f>
        <v>132.06547193999995</v>
      </c>
      <c r="G43" s="93">
        <f t="shared" si="1"/>
        <v>0</v>
      </c>
      <c r="H43" s="93">
        <f t="shared" si="2"/>
        <v>0</v>
      </c>
      <c r="I43" s="93">
        <f t="shared" si="3"/>
        <v>1</v>
      </c>
      <c r="J43" s="93">
        <f t="shared" si="4"/>
        <v>1</v>
      </c>
      <c r="K43" s="93" t="str">
        <f t="shared" si="5"/>
        <v>Fail</v>
      </c>
      <c r="L43" s="93" t="str">
        <f t="shared" si="6"/>
        <v>No</v>
      </c>
      <c r="M43" s="93" t="str">
        <f t="shared" si="7"/>
        <v>Does not meet at least two material-opportunity thresholds</v>
      </c>
      <c r="O43" s="35"/>
      <c r="P43" s="35"/>
    </row>
    <row r="44" spans="1:16" ht="20" customHeight="1">
      <c r="A44" s="70" t="s">
        <v>106</v>
      </c>
      <c r="B44" s="70" t="s">
        <v>107</v>
      </c>
      <c r="C44" s="93">
        <f>IF($B44="","",_xlfn.LET(_xlpm.x,IFERROR(_xlfn.XLOOKUP($B44,[1]comp_GEM_coal!$B$2:$B$110,[1]comp_GEM_coal!$C$2:$C$110,0,0),0),IF(ISNUMBER(_xlpm.x),_xlpm.x,0)))</f>
        <v>0</v>
      </c>
      <c r="D44" s="93" t="str">
        <f t="shared" si="0"/>
        <v>Fail</v>
      </c>
      <c r="E44" s="93" t="str">
        <f>IF($B44="","",_xlfn.LET(_xlpm.src,IFERROR(_xlfn.XLOOKUP($B44,[1]clean_EMBER_2024!$D$5:$D$201,[1]clean_EMBER_2024!$J$5:$J$201,"",0),""),IF(ISNUMBER(_xlpm.src),_xlpm.src,"Missing")))</f>
        <v>Missing</v>
      </c>
      <c r="F44" s="93" t="str">
        <f>IF($B44="","",_xlfn.LET(_xlpm.x,IFERROR(_xlfn.XLOOKUP($B44,[1]comp_GEM_coal!$B$2:$B$110,[1]comp_GEM_coal!$F$2:$F$110,"",0),""),IF(ISNUMBER(_xlpm.x),_xlpm.x,"Missing")))</f>
        <v>Missing</v>
      </c>
      <c r="G44" s="93" t="str">
        <f t="shared" si="1"/>
        <v/>
      </c>
      <c r="H44" s="93" t="str">
        <f t="shared" si="2"/>
        <v/>
      </c>
      <c r="I44" s="93" t="str">
        <f t="shared" si="3"/>
        <v/>
      </c>
      <c r="J44" s="93" t="str">
        <f t="shared" si="4"/>
        <v/>
      </c>
      <c r="K44" s="93" t="str">
        <f t="shared" si="5"/>
        <v>Not screened</v>
      </c>
      <c r="L44" s="93" t="str">
        <f t="shared" si="6"/>
        <v>No</v>
      </c>
      <c r="M44" s="93" t="str">
        <f t="shared" si="7"/>
        <v>No operating coal capacity recorded in GEM</v>
      </c>
      <c r="O44" s="35"/>
      <c r="P44" s="35"/>
    </row>
    <row r="45" spans="1:16" ht="20" customHeight="1">
      <c r="A45" s="70" t="s">
        <v>98</v>
      </c>
      <c r="B45" s="70" t="s">
        <v>99</v>
      </c>
      <c r="C45" s="93">
        <f>IF($B45="","",_xlfn.LET(_xlpm.x,IFERROR(_xlfn.XLOOKUP($B45,[1]comp_GEM_coal!$B$2:$B$110,[1]comp_GEM_coal!$C$2:$C$110,0,0),0),IF(ISNUMBER(_xlpm.x),_xlpm.x,0)))</f>
        <v>0</v>
      </c>
      <c r="D45" s="93" t="str">
        <f t="shared" si="0"/>
        <v>Fail</v>
      </c>
      <c r="E45" s="93">
        <f>IF($B45="","",_xlfn.LET(_xlpm.src,IFERROR(_xlfn.XLOOKUP($B45,[1]clean_EMBER_2024!$D$5:$D$201,[1]clean_EMBER_2024!$J$5:$J$201,"",0),""),IF(ISNUMBER(_xlpm.src),_xlpm.src,"Missing")))</f>
        <v>0</v>
      </c>
      <c r="F45" s="93">
        <f>IF($B45="","",_xlfn.LET(_xlpm.x,IFERROR(_xlfn.XLOOKUP($B45,[1]comp_GEM_coal!$B$2:$B$110,[1]comp_GEM_coal!$F$2:$F$110,"",0),""),IF(ISNUMBER(_xlpm.x),_xlpm.x,"Missing")))</f>
        <v>0</v>
      </c>
      <c r="G45" s="93" t="str">
        <f t="shared" si="1"/>
        <v/>
      </c>
      <c r="H45" s="93" t="str">
        <f t="shared" si="2"/>
        <v/>
      </c>
      <c r="I45" s="93" t="str">
        <f t="shared" si="3"/>
        <v/>
      </c>
      <c r="J45" s="93" t="str">
        <f t="shared" si="4"/>
        <v/>
      </c>
      <c r="K45" s="93" t="str">
        <f t="shared" si="5"/>
        <v>Not screened</v>
      </c>
      <c r="L45" s="93" t="str">
        <f t="shared" si="6"/>
        <v>No</v>
      </c>
      <c r="M45" s="93" t="str">
        <f t="shared" si="7"/>
        <v>No operating coal capacity recorded in GEM</v>
      </c>
      <c r="O45" s="35"/>
      <c r="P45" s="35"/>
    </row>
    <row r="46" spans="1:16" ht="20" customHeight="1">
      <c r="A46" s="70" t="s">
        <v>100</v>
      </c>
      <c r="B46" s="70" t="s">
        <v>101</v>
      </c>
      <c r="C46" s="93">
        <f>IF($B46="","",_xlfn.LET(_xlpm.x,IFERROR(_xlfn.XLOOKUP($B46,[1]comp_GEM_coal!$B$2:$B$110,[1]comp_GEM_coal!$C$2:$C$110,0,0),0),IF(ISNUMBER(_xlpm.x),_xlpm.x,0)))</f>
        <v>0</v>
      </c>
      <c r="D46" s="93" t="str">
        <f t="shared" si="0"/>
        <v>Fail</v>
      </c>
      <c r="E46" s="93">
        <f>IF($B46="","",_xlfn.LET(_xlpm.src,IFERROR(_xlfn.XLOOKUP($B46,[1]clean_EMBER_2024!$D$5:$D$201,[1]clean_EMBER_2024!$J$5:$J$201,"",0),""),IF(ISNUMBER(_xlpm.src),_xlpm.src,"Missing")))</f>
        <v>0</v>
      </c>
      <c r="F46" s="93" t="str">
        <f>IF($B46="","",_xlfn.LET(_xlpm.x,IFERROR(_xlfn.XLOOKUP($B46,[1]comp_GEM_coal!$B$2:$B$110,[1]comp_GEM_coal!$F$2:$F$110,"",0),""),IF(ISNUMBER(_xlpm.x),_xlpm.x,"Missing")))</f>
        <v>Missing</v>
      </c>
      <c r="G46" s="93" t="str">
        <f t="shared" si="1"/>
        <v/>
      </c>
      <c r="H46" s="93" t="str">
        <f t="shared" si="2"/>
        <v/>
      </c>
      <c r="I46" s="93" t="str">
        <f t="shared" si="3"/>
        <v/>
      </c>
      <c r="J46" s="93" t="str">
        <f t="shared" si="4"/>
        <v/>
      </c>
      <c r="K46" s="93" t="str">
        <f t="shared" si="5"/>
        <v>Not screened</v>
      </c>
      <c r="L46" s="93" t="str">
        <f t="shared" si="6"/>
        <v>No</v>
      </c>
      <c r="M46" s="93" t="str">
        <f t="shared" si="7"/>
        <v>No operating coal capacity recorded in GEM</v>
      </c>
      <c r="O46" s="35"/>
      <c r="P46" s="35"/>
    </row>
    <row r="47" spans="1:16" ht="20" customHeight="1">
      <c r="A47" s="70" t="s">
        <v>102</v>
      </c>
      <c r="B47" s="70" t="s">
        <v>103</v>
      </c>
      <c r="C47" s="93">
        <f>IF($B47="","",_xlfn.LET(_xlpm.x,IFERROR(_xlfn.XLOOKUP($B47,[1]comp_GEM_coal!$B$2:$B$110,[1]comp_GEM_coal!$C$2:$C$110,0,0),0),IF(ISNUMBER(_xlpm.x),_xlpm.x,0)))</f>
        <v>0</v>
      </c>
      <c r="D47" s="93" t="str">
        <f t="shared" si="0"/>
        <v>Fail</v>
      </c>
      <c r="E47" s="93">
        <f>IF($B47="","",_xlfn.LET(_xlpm.src,IFERROR(_xlfn.XLOOKUP($B47,[1]clean_EMBER_2024!$D$5:$D$201,[1]clean_EMBER_2024!$J$5:$J$201,"",0),""),IF(ISNUMBER(_xlpm.src),_xlpm.src,"Missing")))</f>
        <v>0</v>
      </c>
      <c r="F47" s="93" t="str">
        <f>IF($B47="","",_xlfn.LET(_xlpm.x,IFERROR(_xlfn.XLOOKUP($B47,[1]comp_GEM_coal!$B$2:$B$110,[1]comp_GEM_coal!$F$2:$F$110,"",0),""),IF(ISNUMBER(_xlpm.x),_xlpm.x,"Missing")))</f>
        <v>Missing</v>
      </c>
      <c r="G47" s="93" t="str">
        <f t="shared" si="1"/>
        <v/>
      </c>
      <c r="H47" s="93" t="str">
        <f t="shared" si="2"/>
        <v/>
      </c>
      <c r="I47" s="93" t="str">
        <f t="shared" si="3"/>
        <v/>
      </c>
      <c r="J47" s="93" t="str">
        <f t="shared" si="4"/>
        <v/>
      </c>
      <c r="K47" s="93" t="str">
        <f t="shared" si="5"/>
        <v>Not screened</v>
      </c>
      <c r="L47" s="93" t="str">
        <f t="shared" si="6"/>
        <v>No</v>
      </c>
      <c r="M47" s="93" t="str">
        <f t="shared" si="7"/>
        <v>No operating coal capacity recorded in GEM</v>
      </c>
      <c r="O47" s="35"/>
      <c r="P47" s="35"/>
    </row>
    <row r="48" spans="1:16" ht="20" customHeight="1">
      <c r="A48" s="70" t="s">
        <v>110</v>
      </c>
      <c r="B48" s="70" t="s">
        <v>111</v>
      </c>
      <c r="C48" s="93">
        <f>IF($B48="","",_xlfn.LET(_xlpm.x,IFERROR(_xlfn.XLOOKUP($B48,[1]comp_GEM_coal!$B$2:$B$110,[1]comp_GEM_coal!$C$2:$C$110,0,0),0),IF(ISNUMBER(_xlpm.x),_xlpm.x,0)))</f>
        <v>0</v>
      </c>
      <c r="D48" s="93" t="str">
        <f t="shared" si="0"/>
        <v>Fail</v>
      </c>
      <c r="E48" s="93">
        <f>IF($B48="","",_xlfn.LET(_xlpm.src,IFERROR(_xlfn.XLOOKUP($B48,[1]clean_EMBER_2024!$D$5:$D$201,[1]clean_EMBER_2024!$J$5:$J$201,"",0),""),IF(ISNUMBER(_xlpm.src),_xlpm.src,"Missing")))</f>
        <v>0</v>
      </c>
      <c r="F48" s="93" t="str">
        <f>IF($B48="","",_xlfn.LET(_xlpm.x,IFERROR(_xlfn.XLOOKUP($B48,[1]comp_GEM_coal!$B$2:$B$110,[1]comp_GEM_coal!$F$2:$F$110,"",0),""),IF(ISNUMBER(_xlpm.x),_xlpm.x,"Missing")))</f>
        <v>Missing</v>
      </c>
      <c r="G48" s="93" t="str">
        <f t="shared" si="1"/>
        <v/>
      </c>
      <c r="H48" s="93" t="str">
        <f t="shared" si="2"/>
        <v/>
      </c>
      <c r="I48" s="93" t="str">
        <f t="shared" si="3"/>
        <v/>
      </c>
      <c r="J48" s="93" t="str">
        <f t="shared" si="4"/>
        <v/>
      </c>
      <c r="K48" s="93" t="str">
        <f t="shared" si="5"/>
        <v>Not screened</v>
      </c>
      <c r="L48" s="93" t="str">
        <f t="shared" si="6"/>
        <v>No</v>
      </c>
      <c r="M48" s="93" t="str">
        <f t="shared" si="7"/>
        <v>No operating coal capacity recorded in GEM</v>
      </c>
      <c r="O48" s="35"/>
      <c r="P48" s="35"/>
    </row>
    <row r="49" spans="1:16" ht="20" customHeight="1">
      <c r="A49" s="70" t="s">
        <v>94</v>
      </c>
      <c r="B49" s="70" t="s">
        <v>95</v>
      </c>
      <c r="C49" s="93">
        <f>IF($B49="","",_xlfn.LET(_xlpm.x,IFERROR(_xlfn.XLOOKUP($B49,[1]comp_GEM_coal!$B$2:$B$110,[1]comp_GEM_coal!$C$2:$C$110,0,0),0),IF(ISNUMBER(_xlpm.x),_xlpm.x,0)))</f>
        <v>0</v>
      </c>
      <c r="D49" s="93" t="str">
        <f t="shared" si="0"/>
        <v>Fail</v>
      </c>
      <c r="E49" s="93">
        <f>IF($B49="","",_xlfn.LET(_xlpm.src,IFERROR(_xlfn.XLOOKUP($B49,[1]clean_EMBER_2024!$D$5:$D$201,[1]clean_EMBER_2024!$J$5:$J$201,"",0),""),IF(ISNUMBER(_xlpm.src),_xlpm.src,"Missing")))</f>
        <v>0</v>
      </c>
      <c r="F49" s="93">
        <f>IF($B49="","",_xlfn.LET(_xlpm.x,IFERROR(_xlfn.XLOOKUP($B49,[1]comp_GEM_coal!$B$2:$B$110,[1]comp_GEM_coal!$F$2:$F$110,"",0),""),IF(ISNUMBER(_xlpm.x),_xlpm.x,"Missing")))</f>
        <v>0</v>
      </c>
      <c r="G49" s="93" t="str">
        <f t="shared" si="1"/>
        <v/>
      </c>
      <c r="H49" s="93" t="str">
        <f t="shared" si="2"/>
        <v/>
      </c>
      <c r="I49" s="93" t="str">
        <f t="shared" si="3"/>
        <v/>
      </c>
      <c r="J49" s="93" t="str">
        <f t="shared" si="4"/>
        <v/>
      </c>
      <c r="K49" s="93" t="str">
        <f t="shared" si="5"/>
        <v>Not screened</v>
      </c>
      <c r="L49" s="93" t="str">
        <f t="shared" si="6"/>
        <v>No</v>
      </c>
      <c r="M49" s="93" t="str">
        <f t="shared" si="7"/>
        <v>No operating coal capacity recorded in GEM</v>
      </c>
      <c r="O49" s="35"/>
      <c r="P49" s="35"/>
    </row>
    <row r="50" spans="1:16" ht="20" customHeight="1">
      <c r="A50" s="70" t="s">
        <v>183</v>
      </c>
      <c r="B50" s="70" t="s">
        <v>184</v>
      </c>
      <c r="C50" s="93">
        <f>IF($B50="","",_xlfn.LET(_xlpm.x,IFERROR(_xlfn.XLOOKUP($B50,[1]comp_GEM_coal!$B$2:$B$110,[1]comp_GEM_coal!$C$2:$C$110,0,0),0),IF(ISNUMBER(_xlpm.x),_xlpm.x,0)))</f>
        <v>217</v>
      </c>
      <c r="D50" s="93" t="str">
        <f t="shared" si="0"/>
        <v>Pass</v>
      </c>
      <c r="E50" s="93">
        <f>IF($B50="","",_xlfn.LET(_xlpm.src,IFERROR(_xlfn.XLOOKUP($B50,[1]clean_EMBER_2024!$D$5:$D$201,[1]clean_EMBER_2024!$J$5:$J$201,"",0),""),IF(ISNUMBER(_xlpm.src),_xlpm.src,"Missing")))</f>
        <v>5.23</v>
      </c>
      <c r="F50" s="93">
        <f>IF($B50="","",_xlfn.LET(_xlpm.x,IFERROR(_xlfn.XLOOKUP($B50,[1]comp_GEM_coal!$B$2:$B$110,[1]comp_GEM_coal!$F$2:$F$110,"",0),""),IF(ISNUMBER(_xlpm.x),_xlpm.x,"Missing")))</f>
        <v>5.5476376070000004</v>
      </c>
      <c r="G50" s="93">
        <f t="shared" si="1"/>
        <v>0</v>
      </c>
      <c r="H50" s="93">
        <f t="shared" si="2"/>
        <v>0</v>
      </c>
      <c r="I50" s="93">
        <f t="shared" si="3"/>
        <v>0</v>
      </c>
      <c r="J50" s="93">
        <f t="shared" si="4"/>
        <v>0</v>
      </c>
      <c r="K50" s="93" t="str">
        <f t="shared" si="5"/>
        <v>Fail</v>
      </c>
      <c r="L50" s="93" t="str">
        <f t="shared" si="6"/>
        <v>No</v>
      </c>
      <c r="M50" s="93" t="str">
        <f t="shared" si="7"/>
        <v>Does not meet at least two material-opportunity thresholds</v>
      </c>
      <c r="O50" s="35"/>
      <c r="P50" s="35"/>
    </row>
    <row r="51" spans="1:16" ht="20" customHeight="1">
      <c r="A51" s="70" t="s">
        <v>112</v>
      </c>
      <c r="B51" s="70" t="s">
        <v>113</v>
      </c>
      <c r="C51" s="93">
        <f>IF($B51="","",_xlfn.LET(_xlpm.x,IFERROR(_xlfn.XLOOKUP($B51,[1]comp_GEM_coal!$B$2:$B$110,[1]comp_GEM_coal!$C$2:$C$110,0,0),0),IF(ISNUMBER(_xlpm.x),_xlpm.x,0)))</f>
        <v>0</v>
      </c>
      <c r="D51" s="93" t="str">
        <f t="shared" si="0"/>
        <v>Fail</v>
      </c>
      <c r="E51" s="93">
        <f>IF($B51="","",_xlfn.LET(_xlpm.src,IFERROR(_xlfn.XLOOKUP($B51,[1]clean_EMBER_2024!$D$5:$D$201,[1]clean_EMBER_2024!$J$5:$J$201,"",0),""),IF(ISNUMBER(_xlpm.src),_xlpm.src,"Missing")))</f>
        <v>0</v>
      </c>
      <c r="F51" s="93" t="str">
        <f>IF($B51="","",_xlfn.LET(_xlpm.x,IFERROR(_xlfn.XLOOKUP($B51,[1]comp_GEM_coal!$B$2:$B$110,[1]comp_GEM_coal!$F$2:$F$110,"",0),""),IF(ISNUMBER(_xlpm.x),_xlpm.x,"Missing")))</f>
        <v>Missing</v>
      </c>
      <c r="G51" s="93" t="str">
        <f t="shared" si="1"/>
        <v/>
      </c>
      <c r="H51" s="93" t="str">
        <f t="shared" si="2"/>
        <v/>
      </c>
      <c r="I51" s="93" t="str">
        <f t="shared" si="3"/>
        <v/>
      </c>
      <c r="J51" s="93" t="str">
        <f t="shared" si="4"/>
        <v/>
      </c>
      <c r="K51" s="93" t="str">
        <f t="shared" si="5"/>
        <v>Not screened</v>
      </c>
      <c r="L51" s="93" t="str">
        <f t="shared" si="6"/>
        <v>No</v>
      </c>
      <c r="M51" s="93" t="str">
        <f t="shared" si="7"/>
        <v>No operating coal capacity recorded in GEM</v>
      </c>
      <c r="O51" s="35"/>
      <c r="P51" s="35"/>
    </row>
    <row r="52" spans="1:16" ht="20" customHeight="1">
      <c r="A52" s="70" t="s">
        <v>116</v>
      </c>
      <c r="B52" s="70" t="s">
        <v>117</v>
      </c>
      <c r="C52" s="93">
        <f>IF($B52="","",_xlfn.LET(_xlpm.x,IFERROR(_xlfn.XLOOKUP($B52,[1]comp_GEM_coal!$B$2:$B$110,[1]comp_GEM_coal!$C$2:$C$110,0,0),0),IF(ISNUMBER(_xlpm.x),_xlpm.x,0)))</f>
        <v>0</v>
      </c>
      <c r="D52" s="93" t="str">
        <f t="shared" si="0"/>
        <v>Fail</v>
      </c>
      <c r="E52" s="93">
        <f>IF($B52="","",_xlfn.LET(_xlpm.src,IFERROR(_xlfn.XLOOKUP($B52,[1]clean_EMBER_2024!$D$5:$D$201,[1]clean_EMBER_2024!$J$5:$J$201,"",0),""),IF(ISNUMBER(_xlpm.src),_xlpm.src,"Missing")))</f>
        <v>0</v>
      </c>
      <c r="F52" s="93" t="str">
        <f>IF($B52="","",_xlfn.LET(_xlpm.x,IFERROR(_xlfn.XLOOKUP($B52,[1]comp_GEM_coal!$B$2:$B$110,[1]comp_GEM_coal!$F$2:$F$110,"",0),""),IF(ISNUMBER(_xlpm.x),_xlpm.x,"Missing")))</f>
        <v>Missing</v>
      </c>
      <c r="G52" s="93" t="str">
        <f t="shared" si="1"/>
        <v/>
      </c>
      <c r="H52" s="93" t="str">
        <f t="shared" si="2"/>
        <v/>
      </c>
      <c r="I52" s="93" t="str">
        <f t="shared" si="3"/>
        <v/>
      </c>
      <c r="J52" s="93" t="str">
        <f t="shared" si="4"/>
        <v/>
      </c>
      <c r="K52" s="93" t="str">
        <f t="shared" si="5"/>
        <v>Not screened</v>
      </c>
      <c r="L52" s="93" t="str">
        <f t="shared" si="6"/>
        <v>No</v>
      </c>
      <c r="M52" s="93" t="str">
        <f t="shared" si="7"/>
        <v>No operating coal capacity recorded in GEM</v>
      </c>
      <c r="O52" s="35"/>
      <c r="P52" s="35"/>
    </row>
    <row r="53" spans="1:16" ht="20" customHeight="1">
      <c r="A53" s="35" t="s">
        <v>474</v>
      </c>
      <c r="B53" s="70" t="s">
        <v>118</v>
      </c>
      <c r="C53" s="93">
        <f>IF($B53="","",_xlfn.LET(_xlpm.x,IFERROR(_xlfn.XLOOKUP($B53,[1]comp_GEM_coal!$B$2:$B$110,[1]comp_GEM_coal!$C$2:$C$110,0,0),0),IF(ISNUMBER(_xlpm.x),_xlpm.x,0)))</f>
        <v>6803</v>
      </c>
      <c r="D53" s="93" t="str">
        <f t="shared" si="0"/>
        <v>Pass</v>
      </c>
      <c r="E53" s="93">
        <f>IF($B53="","",_xlfn.LET(_xlpm.src,IFERROR(_xlfn.XLOOKUP($B53,[1]clean_EMBER_2024!$D$5:$D$201,[1]clean_EMBER_2024!$J$5:$J$201,"",0),""),IF(ISNUMBER(_xlpm.src),_xlpm.src,"Missing")))</f>
        <v>36.42</v>
      </c>
      <c r="F53" s="93">
        <f>IF($B53="","",_xlfn.LET(_xlpm.x,IFERROR(_xlfn.XLOOKUP($B53,[1]comp_GEM_coal!$B$2:$B$110,[1]comp_GEM_coal!$F$2:$F$110,"",0),""),IF(ISNUMBER(_xlpm.x),_xlpm.x,"Missing")))</f>
        <v>252.83649548300008</v>
      </c>
      <c r="G53" s="93">
        <f t="shared" si="1"/>
        <v>1</v>
      </c>
      <c r="H53" s="93">
        <f t="shared" si="2"/>
        <v>1</v>
      </c>
      <c r="I53" s="93">
        <f t="shared" si="3"/>
        <v>1</v>
      </c>
      <c r="J53" s="93">
        <f t="shared" si="4"/>
        <v>3</v>
      </c>
      <c r="K53" s="93" t="str">
        <f t="shared" si="5"/>
        <v>Pass</v>
      </c>
      <c r="L53" s="93" t="str">
        <f t="shared" si="6"/>
        <v>Yes</v>
      </c>
      <c r="M53" s="93" t="str">
        <f t="shared" si="7"/>
        <v/>
      </c>
      <c r="O53" s="35"/>
      <c r="P53" s="35"/>
    </row>
    <row r="54" spans="1:16" ht="20" customHeight="1">
      <c r="A54" s="70" t="s">
        <v>125</v>
      </c>
      <c r="B54" s="70" t="s">
        <v>126</v>
      </c>
      <c r="C54" s="93">
        <f>IF($B54="","",_xlfn.LET(_xlpm.x,IFERROR(_xlfn.XLOOKUP($B54,[1]comp_GEM_coal!$B$2:$B$110,[1]comp_GEM_coal!$C$2:$C$110,0,0),0),IF(ISNUMBER(_xlpm.x),_xlpm.x,0)))</f>
        <v>411</v>
      </c>
      <c r="D54" s="93" t="str">
        <f t="shared" si="0"/>
        <v>Pass</v>
      </c>
      <c r="E54" s="93">
        <f>IF($B54="","",_xlfn.LET(_xlpm.src,IFERROR(_xlfn.XLOOKUP($B54,[1]clean_EMBER_2024!$D$5:$D$201,[1]clean_EMBER_2024!$J$5:$J$201,"",0),""),IF(ISNUMBER(_xlpm.src),_xlpm.src,"Missing")))</f>
        <v>4.99</v>
      </c>
      <c r="F54" s="93">
        <f>IF($B54="","",_xlfn.LET(_xlpm.x,IFERROR(_xlfn.XLOOKUP($B54,[1]comp_GEM_coal!$B$2:$B$110,[1]comp_GEM_coal!$F$2:$F$110,"",0),""),IF(ISNUMBER(_xlpm.x),_xlpm.x,"Missing")))</f>
        <v>2.8983241569999998</v>
      </c>
      <c r="G54" s="93">
        <f t="shared" si="1"/>
        <v>0</v>
      </c>
      <c r="H54" s="93">
        <f t="shared" si="2"/>
        <v>0</v>
      </c>
      <c r="I54" s="93">
        <f t="shared" si="3"/>
        <v>0</v>
      </c>
      <c r="J54" s="93">
        <f t="shared" si="4"/>
        <v>0</v>
      </c>
      <c r="K54" s="93" t="str">
        <f t="shared" si="5"/>
        <v>Fail</v>
      </c>
      <c r="L54" s="93" t="str">
        <f t="shared" si="6"/>
        <v>No</v>
      </c>
      <c r="M54" s="93" t="str">
        <f t="shared" si="7"/>
        <v>Does not meet at least two material-opportunity thresholds</v>
      </c>
      <c r="O54" s="35"/>
      <c r="P54" s="35"/>
    </row>
    <row r="55" spans="1:16" ht="20" customHeight="1">
      <c r="A55" s="70" t="s">
        <v>121</v>
      </c>
      <c r="B55" s="70" t="s">
        <v>122</v>
      </c>
      <c r="C55" s="93">
        <f>IF($B55="","",_xlfn.LET(_xlpm.x,IFERROR(_xlfn.XLOOKUP($B55,[1]comp_GEM_coal!$B$2:$B$110,[1]comp_GEM_coal!$C$2:$C$110,0,0),0),IF(ISNUMBER(_xlpm.x),_xlpm.x,0)))</f>
        <v>0</v>
      </c>
      <c r="D55" s="93" t="str">
        <f t="shared" si="0"/>
        <v>Fail</v>
      </c>
      <c r="E55" s="93">
        <f>IF($B55="","",_xlfn.LET(_xlpm.src,IFERROR(_xlfn.XLOOKUP($B55,[1]clean_EMBER_2024!$D$5:$D$201,[1]clean_EMBER_2024!$J$5:$J$201,"",0),""),IF(ISNUMBER(_xlpm.src),_xlpm.src,"Missing")))</f>
        <v>0</v>
      </c>
      <c r="F55" s="93">
        <f>IF($B55="","",_xlfn.LET(_xlpm.x,IFERROR(_xlfn.XLOOKUP($B55,[1]comp_GEM_coal!$B$2:$B$110,[1]comp_GEM_coal!$F$2:$F$110,"",0),""),IF(ISNUMBER(_xlpm.x),_xlpm.x,"Missing")))</f>
        <v>0</v>
      </c>
      <c r="G55" s="93" t="str">
        <f t="shared" si="1"/>
        <v/>
      </c>
      <c r="H55" s="93" t="str">
        <f t="shared" si="2"/>
        <v/>
      </c>
      <c r="I55" s="93" t="str">
        <f t="shared" si="3"/>
        <v/>
      </c>
      <c r="J55" s="93" t="str">
        <f t="shared" si="4"/>
        <v/>
      </c>
      <c r="K55" s="93" t="str">
        <f t="shared" si="5"/>
        <v>Not screened</v>
      </c>
      <c r="L55" s="93" t="str">
        <f t="shared" si="6"/>
        <v>No</v>
      </c>
      <c r="M55" s="93" t="str">
        <f t="shared" si="7"/>
        <v>No operating coal capacity recorded in GEM</v>
      </c>
      <c r="O55" s="35"/>
      <c r="P55" s="35"/>
    </row>
    <row r="56" spans="1:16" ht="20" customHeight="1">
      <c r="A56" s="70" t="s">
        <v>123</v>
      </c>
      <c r="B56" s="70" t="s">
        <v>124</v>
      </c>
      <c r="C56" s="93">
        <f>IF($B56="","",_xlfn.LET(_xlpm.x,IFERROR(_xlfn.XLOOKUP($B56,[1]comp_GEM_coal!$B$2:$B$110,[1]comp_GEM_coal!$C$2:$C$110,0,0),0),IF(ISNUMBER(_xlpm.x),_xlpm.x,0)))</f>
        <v>0</v>
      </c>
      <c r="D56" s="93" t="str">
        <f t="shared" si="0"/>
        <v>Fail</v>
      </c>
      <c r="E56" s="93" t="str">
        <f>IF($B56="","",_xlfn.LET(_xlpm.src,IFERROR(_xlfn.XLOOKUP($B56,[1]clean_EMBER_2024!$D$5:$D$201,[1]clean_EMBER_2024!$J$5:$J$201,"",0),""),IF(ISNUMBER(_xlpm.src),_xlpm.src,"Missing")))</f>
        <v>Missing</v>
      </c>
      <c r="F56" s="93" t="str">
        <f>IF($B56="","",_xlfn.LET(_xlpm.x,IFERROR(_xlfn.XLOOKUP($B56,[1]comp_GEM_coal!$B$2:$B$110,[1]comp_GEM_coal!$F$2:$F$110,"",0),""),IF(ISNUMBER(_xlpm.x),_xlpm.x,"Missing")))</f>
        <v>Missing</v>
      </c>
      <c r="G56" s="93" t="str">
        <f t="shared" si="1"/>
        <v/>
      </c>
      <c r="H56" s="93" t="str">
        <f t="shared" si="2"/>
        <v/>
      </c>
      <c r="I56" s="93" t="str">
        <f t="shared" si="3"/>
        <v/>
      </c>
      <c r="J56" s="93" t="str">
        <f t="shared" si="4"/>
        <v/>
      </c>
      <c r="K56" s="93" t="str">
        <f t="shared" si="5"/>
        <v>Not screened</v>
      </c>
      <c r="L56" s="93" t="str">
        <f t="shared" si="6"/>
        <v>No</v>
      </c>
      <c r="M56" s="93" t="str">
        <f t="shared" si="7"/>
        <v>No operating coal capacity recorded in GEM</v>
      </c>
      <c r="O56" s="35"/>
      <c r="P56" s="35"/>
    </row>
    <row r="57" spans="1:16" ht="20" customHeight="1">
      <c r="A57" s="70" t="s">
        <v>127</v>
      </c>
      <c r="B57" s="70" t="s">
        <v>128</v>
      </c>
      <c r="C57" s="93">
        <f>IF($B57="","",_xlfn.LET(_xlpm.x,IFERROR(_xlfn.XLOOKUP($B57,[1]comp_GEM_coal!$B$2:$B$110,[1]comp_GEM_coal!$C$2:$C$110,0,0),0),IF(ISNUMBER(_xlpm.x),_xlpm.x,0)))</f>
        <v>1064</v>
      </c>
      <c r="D57" s="93" t="str">
        <f t="shared" si="0"/>
        <v>Pass</v>
      </c>
      <c r="E57" s="93">
        <f>IF($B57="","",_xlfn.LET(_xlpm.src,IFERROR(_xlfn.XLOOKUP($B57,[1]clean_EMBER_2024!$D$5:$D$201,[1]clean_EMBER_2024!$J$5:$J$201,"",0),""),IF(ISNUMBER(_xlpm.src),_xlpm.src,"Missing")))</f>
        <v>29.96</v>
      </c>
      <c r="F57" s="93">
        <f>IF($B57="","",_xlfn.LET(_xlpm.x,IFERROR(_xlfn.XLOOKUP($B57,[1]comp_GEM_coal!$B$2:$B$110,[1]comp_GEM_coal!$F$2:$F$110,"",0),""),IF(ISNUMBER(_xlpm.x),_xlpm.x,"Missing")))</f>
        <v>122.609094631</v>
      </c>
      <c r="G57" s="93">
        <f t="shared" si="1"/>
        <v>0</v>
      </c>
      <c r="H57" s="93">
        <f t="shared" si="2"/>
        <v>1</v>
      </c>
      <c r="I57" s="93">
        <f t="shared" si="3"/>
        <v>1</v>
      </c>
      <c r="J57" s="93">
        <f t="shared" si="4"/>
        <v>2</v>
      </c>
      <c r="K57" s="93" t="str">
        <f t="shared" si="5"/>
        <v>Pass</v>
      </c>
      <c r="L57" s="93" t="str">
        <f t="shared" si="6"/>
        <v>Yes</v>
      </c>
      <c r="M57" s="93" t="str">
        <f t="shared" si="7"/>
        <v/>
      </c>
      <c r="O57" s="35"/>
      <c r="P57" s="35"/>
    </row>
    <row r="58" spans="1:16" ht="20" customHeight="1">
      <c r="A58" s="70" t="s">
        <v>131</v>
      </c>
      <c r="B58" s="70" t="s">
        <v>132</v>
      </c>
      <c r="C58" s="93">
        <f>IF($B58="","",_xlfn.LET(_xlpm.x,IFERROR(_xlfn.XLOOKUP($B58,[1]comp_GEM_coal!$B$2:$B$110,[1]comp_GEM_coal!$C$2:$C$110,0,0),0),IF(ISNUMBER(_xlpm.x),_xlpm.x,0)))</f>
        <v>0</v>
      </c>
      <c r="D58" s="93" t="str">
        <f t="shared" si="0"/>
        <v>Fail</v>
      </c>
      <c r="E58" s="93">
        <f>IF($B58="","",_xlfn.LET(_xlpm.src,IFERROR(_xlfn.XLOOKUP($B58,[1]clean_EMBER_2024!$D$5:$D$201,[1]clean_EMBER_2024!$J$5:$J$201,"",0),""),IF(ISNUMBER(_xlpm.src),_xlpm.src,"Missing")))</f>
        <v>0</v>
      </c>
      <c r="F58" s="93" t="str">
        <f>IF($B58="","",_xlfn.LET(_xlpm.x,IFERROR(_xlfn.XLOOKUP($B58,[1]comp_GEM_coal!$B$2:$B$110,[1]comp_GEM_coal!$F$2:$F$110,"",0),""),IF(ISNUMBER(_xlpm.x),_xlpm.x,"Missing")))</f>
        <v>Missing</v>
      </c>
      <c r="G58" s="93" t="str">
        <f t="shared" si="1"/>
        <v/>
      </c>
      <c r="H58" s="93" t="str">
        <f t="shared" si="2"/>
        <v/>
      </c>
      <c r="I58" s="93" t="str">
        <f t="shared" si="3"/>
        <v/>
      </c>
      <c r="J58" s="93" t="str">
        <f t="shared" si="4"/>
        <v/>
      </c>
      <c r="K58" s="93" t="str">
        <f t="shared" si="5"/>
        <v>Not screened</v>
      </c>
      <c r="L58" s="93" t="str">
        <f t="shared" si="6"/>
        <v>No</v>
      </c>
      <c r="M58" s="93" t="str">
        <f t="shared" si="7"/>
        <v>No operating coal capacity recorded in GEM</v>
      </c>
      <c r="O58" s="35"/>
      <c r="P58" s="35"/>
    </row>
    <row r="59" spans="1:16" ht="20" customHeight="1">
      <c r="A59" s="35" t="s">
        <v>475</v>
      </c>
      <c r="B59" s="70" t="s">
        <v>133</v>
      </c>
      <c r="C59" s="93">
        <f>IF($B59="","",_xlfn.LET(_xlpm.x,IFERROR(_xlfn.XLOOKUP($B59,[1]comp_GEM_coal!$B$2:$B$110,[1]comp_GEM_coal!$C$2:$C$110,0,0),0),IF(ISNUMBER(_xlpm.x),_xlpm.x,0)))</f>
        <v>0</v>
      </c>
      <c r="D59" s="93" t="str">
        <f t="shared" si="0"/>
        <v>Fail</v>
      </c>
      <c r="E59" s="93">
        <f>IF($B59="","",_xlfn.LET(_xlpm.src,IFERROR(_xlfn.XLOOKUP($B59,[1]clean_EMBER_2024!$D$5:$D$201,[1]clean_EMBER_2024!$J$5:$J$201,"",0),""),IF(ISNUMBER(_xlpm.src),_xlpm.src,"Missing")))</f>
        <v>0</v>
      </c>
      <c r="F59" s="93">
        <f>IF($B59="","",_xlfn.LET(_xlpm.x,IFERROR(_xlfn.XLOOKUP($B59,[1]comp_GEM_coal!$B$2:$B$110,[1]comp_GEM_coal!$F$2:$F$110,"",0),""),IF(ISNUMBER(_xlpm.x),_xlpm.x,"Missing")))</f>
        <v>0</v>
      </c>
      <c r="G59" s="93" t="str">
        <f t="shared" si="1"/>
        <v/>
      </c>
      <c r="H59" s="93" t="str">
        <f t="shared" si="2"/>
        <v/>
      </c>
      <c r="I59" s="93" t="str">
        <f t="shared" si="3"/>
        <v/>
      </c>
      <c r="J59" s="93" t="str">
        <f t="shared" si="4"/>
        <v/>
      </c>
      <c r="K59" s="93" t="str">
        <f t="shared" si="5"/>
        <v>Not screened</v>
      </c>
      <c r="L59" s="93" t="str">
        <f t="shared" si="6"/>
        <v>No</v>
      </c>
      <c r="M59" s="93" t="str">
        <f t="shared" si="7"/>
        <v>No operating coal capacity recorded in GEM</v>
      </c>
      <c r="O59" s="35"/>
      <c r="P59" s="35"/>
    </row>
    <row r="60" spans="1:16" ht="20" customHeight="1">
      <c r="A60" s="70" t="s">
        <v>358</v>
      </c>
      <c r="B60" s="70" t="s">
        <v>359</v>
      </c>
      <c r="C60" s="93">
        <f>IF($B60="","",_xlfn.LET(_xlpm.x,IFERROR(_xlfn.XLOOKUP($B60,[1]comp_GEM_coal!$B$2:$B$110,[1]comp_GEM_coal!$C$2:$C$110,0,0),0),IF(ISNUMBER(_xlpm.x),_xlpm.x,0)))</f>
        <v>0</v>
      </c>
      <c r="D60" s="93" t="str">
        <f t="shared" si="0"/>
        <v>Fail</v>
      </c>
      <c r="E60" s="93" t="str">
        <f>IF($B60="","",_xlfn.LET(_xlpm.src,IFERROR(_xlfn.XLOOKUP($B60,[1]clean_EMBER_2024!$D$5:$D$201,[1]clean_EMBER_2024!$J$5:$J$201,"",0),""),IF(ISNUMBER(_xlpm.src),_xlpm.src,"Missing")))</f>
        <v>Missing</v>
      </c>
      <c r="F60" s="93">
        <f>IF($B60="","",_xlfn.LET(_xlpm.x,IFERROR(_xlfn.XLOOKUP($B60,[1]comp_GEM_coal!$B$2:$B$110,[1]comp_GEM_coal!$F$2:$F$110,"",0),""),IF(ISNUMBER(_xlpm.x),_xlpm.x,"Missing")))</f>
        <v>0</v>
      </c>
      <c r="G60" s="93" t="str">
        <f t="shared" si="1"/>
        <v/>
      </c>
      <c r="H60" s="93" t="str">
        <f t="shared" si="2"/>
        <v/>
      </c>
      <c r="I60" s="93" t="str">
        <f t="shared" si="3"/>
        <v/>
      </c>
      <c r="J60" s="93" t="str">
        <f t="shared" si="4"/>
        <v/>
      </c>
      <c r="K60" s="93" t="str">
        <f t="shared" si="5"/>
        <v>Not screened</v>
      </c>
      <c r="L60" s="93" t="str">
        <f t="shared" si="6"/>
        <v>No</v>
      </c>
      <c r="M60" s="93" t="str">
        <f t="shared" si="7"/>
        <v>No operating coal capacity recorded in GEM</v>
      </c>
      <c r="O60" s="35"/>
      <c r="P60" s="35"/>
    </row>
    <row r="61" spans="1:16" ht="20" customHeight="1">
      <c r="A61" s="70" t="s">
        <v>164</v>
      </c>
      <c r="B61" s="70" t="s">
        <v>165</v>
      </c>
      <c r="C61" s="93">
        <f>IF($B61="","",_xlfn.LET(_xlpm.x,IFERROR(_xlfn.XLOOKUP($B61,[1]comp_GEM_coal!$B$2:$B$110,[1]comp_GEM_coal!$C$2:$C$110,0,0),0),IF(ISNUMBER(_xlpm.x),_xlpm.x,0)))</f>
        <v>0</v>
      </c>
      <c r="D61" s="93" t="str">
        <f t="shared" si="0"/>
        <v>Fail</v>
      </c>
      <c r="E61" s="93">
        <f>IF($B61="","",_xlfn.LET(_xlpm.src,IFERROR(_xlfn.XLOOKUP($B61,[1]clean_EMBER_2024!$D$5:$D$201,[1]clean_EMBER_2024!$J$5:$J$201,"",0),""),IF(ISNUMBER(_xlpm.src),_xlpm.src,"Missing")))</f>
        <v>0</v>
      </c>
      <c r="F61" s="93" t="str">
        <f>IF($B61="","",_xlfn.LET(_xlpm.x,IFERROR(_xlfn.XLOOKUP($B61,[1]comp_GEM_coal!$B$2:$B$110,[1]comp_GEM_coal!$F$2:$F$110,"",0),""),IF(ISNUMBER(_xlpm.x),_xlpm.x,"Missing")))</f>
        <v>Missing</v>
      </c>
      <c r="G61" s="93" t="str">
        <f t="shared" si="1"/>
        <v/>
      </c>
      <c r="H61" s="93" t="str">
        <f t="shared" si="2"/>
        <v/>
      </c>
      <c r="I61" s="93" t="str">
        <f t="shared" si="3"/>
        <v/>
      </c>
      <c r="J61" s="93" t="str">
        <f t="shared" si="4"/>
        <v/>
      </c>
      <c r="K61" s="93" t="str">
        <f t="shared" si="5"/>
        <v>Not screened</v>
      </c>
      <c r="L61" s="93" t="str">
        <f t="shared" si="6"/>
        <v>No</v>
      </c>
      <c r="M61" s="93" t="str">
        <f t="shared" si="7"/>
        <v>No operating coal capacity recorded in GEM</v>
      </c>
      <c r="O61" s="35"/>
      <c r="P61" s="35"/>
    </row>
    <row r="62" spans="1:16" ht="20" customHeight="1">
      <c r="A62" s="70" t="s">
        <v>134</v>
      </c>
      <c r="B62" s="70" t="s">
        <v>135</v>
      </c>
      <c r="C62" s="93">
        <f>IF($B62="","",_xlfn.LET(_xlpm.x,IFERROR(_xlfn.XLOOKUP($B62,[1]comp_GEM_coal!$B$2:$B$110,[1]comp_GEM_coal!$C$2:$C$110,0,0),0),IF(ISNUMBER(_xlpm.x),_xlpm.x,0)))</f>
        <v>0</v>
      </c>
      <c r="D62" s="93" t="str">
        <f t="shared" si="0"/>
        <v>Fail</v>
      </c>
      <c r="E62" s="93">
        <f>IF($B62="","",_xlfn.LET(_xlpm.src,IFERROR(_xlfn.XLOOKUP($B62,[1]clean_EMBER_2024!$D$5:$D$201,[1]clean_EMBER_2024!$J$5:$J$201,"",0),""),IF(ISNUMBER(_xlpm.src),_xlpm.src,"Missing")))</f>
        <v>0</v>
      </c>
      <c r="F62" s="93" t="str">
        <f>IF($B62="","",_xlfn.LET(_xlpm.x,IFERROR(_xlfn.XLOOKUP($B62,[1]comp_GEM_coal!$B$2:$B$110,[1]comp_GEM_coal!$F$2:$F$110,"",0),""),IF(ISNUMBER(_xlpm.x),_xlpm.x,"Missing")))</f>
        <v>Missing</v>
      </c>
      <c r="G62" s="93" t="str">
        <f t="shared" si="1"/>
        <v/>
      </c>
      <c r="H62" s="93" t="str">
        <f t="shared" si="2"/>
        <v/>
      </c>
      <c r="I62" s="93" t="str">
        <f t="shared" si="3"/>
        <v/>
      </c>
      <c r="J62" s="93" t="str">
        <f t="shared" si="4"/>
        <v/>
      </c>
      <c r="K62" s="93" t="str">
        <f t="shared" si="5"/>
        <v>Not screened</v>
      </c>
      <c r="L62" s="93" t="str">
        <f t="shared" si="6"/>
        <v>No</v>
      </c>
      <c r="M62" s="93" t="str">
        <f t="shared" si="7"/>
        <v>No operating coal capacity recorded in GEM</v>
      </c>
      <c r="O62" s="35"/>
      <c r="P62" s="35"/>
    </row>
    <row r="63" spans="1:16" ht="20" customHeight="1">
      <c r="A63" s="70" t="s">
        <v>138</v>
      </c>
      <c r="B63" s="70" t="s">
        <v>139</v>
      </c>
      <c r="C63" s="93">
        <f>IF($B63="","",_xlfn.LET(_xlpm.x,IFERROR(_xlfn.XLOOKUP($B63,[1]comp_GEM_coal!$B$2:$B$110,[1]comp_GEM_coal!$C$2:$C$110,0,0),0),IF(ISNUMBER(_xlpm.x),_xlpm.x,0)))</f>
        <v>0</v>
      </c>
      <c r="D63" s="93" t="str">
        <f t="shared" si="0"/>
        <v>Fail</v>
      </c>
      <c r="E63" s="93">
        <f>IF($B63="","",_xlfn.LET(_xlpm.src,IFERROR(_xlfn.XLOOKUP($B63,[1]clean_EMBER_2024!$D$5:$D$201,[1]clean_EMBER_2024!$J$5:$J$201,"",0),""),IF(ISNUMBER(_xlpm.src),_xlpm.src,"Missing")))</f>
        <v>0</v>
      </c>
      <c r="F63" s="93" t="str">
        <f>IF($B63="","",_xlfn.LET(_xlpm.x,IFERROR(_xlfn.XLOOKUP($B63,[1]comp_GEM_coal!$B$2:$B$110,[1]comp_GEM_coal!$F$2:$F$110,"",0),""),IF(ISNUMBER(_xlpm.x),_xlpm.x,"Missing")))</f>
        <v>Missing</v>
      </c>
      <c r="G63" s="93" t="str">
        <f t="shared" si="1"/>
        <v/>
      </c>
      <c r="H63" s="93" t="str">
        <f t="shared" si="2"/>
        <v/>
      </c>
      <c r="I63" s="93" t="str">
        <f t="shared" si="3"/>
        <v/>
      </c>
      <c r="J63" s="93" t="str">
        <f t="shared" si="4"/>
        <v/>
      </c>
      <c r="K63" s="93" t="str">
        <f t="shared" si="5"/>
        <v>Not screened</v>
      </c>
      <c r="L63" s="93" t="str">
        <f t="shared" si="6"/>
        <v>No</v>
      </c>
      <c r="M63" s="93" t="str">
        <f t="shared" si="7"/>
        <v>No operating coal capacity recorded in GEM</v>
      </c>
      <c r="O63" s="35"/>
      <c r="P63" s="35"/>
    </row>
    <row r="64" spans="1:16" ht="20" customHeight="1">
      <c r="A64" s="70" t="s">
        <v>377</v>
      </c>
      <c r="B64" s="70" t="s">
        <v>378</v>
      </c>
      <c r="C64" s="93">
        <f>IF($B64="","",_xlfn.LET(_xlpm.x,IFERROR(_xlfn.XLOOKUP($B64,[1]comp_GEM_coal!$B$2:$B$110,[1]comp_GEM_coal!$C$2:$C$110,0,0),0),IF(ISNUMBER(_xlpm.x),_xlpm.x,0)))</f>
        <v>0</v>
      </c>
      <c r="D64" s="93" t="str">
        <f t="shared" si="0"/>
        <v>Fail</v>
      </c>
      <c r="E64" s="93">
        <f>IF($B64="","",_xlfn.LET(_xlpm.src,IFERROR(_xlfn.XLOOKUP($B64,[1]clean_EMBER_2024!$D$5:$D$201,[1]clean_EMBER_2024!$J$5:$J$201,"",0),""),IF(ISNUMBER(_xlpm.src),_xlpm.src,"Missing")))</f>
        <v>3.28</v>
      </c>
      <c r="F64" s="93">
        <f>IF($B64="","",_xlfn.LET(_xlpm.x,IFERROR(_xlfn.XLOOKUP($B64,[1]comp_GEM_coal!$B$2:$B$110,[1]comp_GEM_coal!$F$2:$F$110,"",0),""),IF(ISNUMBER(_xlpm.x),_xlpm.x,"Missing")))</f>
        <v>0</v>
      </c>
      <c r="G64" s="93" t="str">
        <f t="shared" si="1"/>
        <v/>
      </c>
      <c r="H64" s="93" t="str">
        <f t="shared" si="2"/>
        <v/>
      </c>
      <c r="I64" s="93" t="str">
        <f t="shared" si="3"/>
        <v/>
      </c>
      <c r="J64" s="93" t="str">
        <f t="shared" si="4"/>
        <v/>
      </c>
      <c r="K64" s="93" t="str">
        <f t="shared" si="5"/>
        <v>Not screened</v>
      </c>
      <c r="L64" s="93" t="str">
        <f t="shared" si="6"/>
        <v>No</v>
      </c>
      <c r="M64" s="93" t="str">
        <f t="shared" si="7"/>
        <v>No operating coal capacity recorded in GEM</v>
      </c>
      <c r="O64" s="35"/>
      <c r="P64" s="35"/>
    </row>
    <row r="65" spans="1:16" ht="20" customHeight="1">
      <c r="A65" s="70" t="s">
        <v>140</v>
      </c>
      <c r="B65" s="70" t="s">
        <v>141</v>
      </c>
      <c r="C65" s="93">
        <f>IF($B65="","",_xlfn.LET(_xlpm.x,IFERROR(_xlfn.XLOOKUP($B65,[1]comp_GEM_coal!$B$2:$B$110,[1]comp_GEM_coal!$C$2:$C$110,0,0),0),IF(ISNUMBER(_xlpm.x),_xlpm.x,0)))</f>
        <v>0</v>
      </c>
      <c r="D65" s="93" t="str">
        <f t="shared" si="0"/>
        <v>Fail</v>
      </c>
      <c r="E65" s="93">
        <f>IF($B65="","",_xlfn.LET(_xlpm.src,IFERROR(_xlfn.XLOOKUP($B65,[1]clean_EMBER_2024!$D$5:$D$201,[1]clean_EMBER_2024!$J$5:$J$201,"",0),""),IF(ISNUMBER(_xlpm.src),_xlpm.src,"Missing")))</f>
        <v>0</v>
      </c>
      <c r="F65" s="93">
        <f>IF($B65="","",_xlfn.LET(_xlpm.x,IFERROR(_xlfn.XLOOKUP($B65,[1]comp_GEM_coal!$B$2:$B$110,[1]comp_GEM_coal!$F$2:$F$110,"",0),""),IF(ISNUMBER(_xlpm.x),_xlpm.x,"Missing")))</f>
        <v>0</v>
      </c>
      <c r="G65" s="93" t="str">
        <f t="shared" si="1"/>
        <v/>
      </c>
      <c r="H65" s="93" t="str">
        <f t="shared" si="2"/>
        <v/>
      </c>
      <c r="I65" s="93" t="str">
        <f t="shared" si="3"/>
        <v/>
      </c>
      <c r="J65" s="93" t="str">
        <f t="shared" si="4"/>
        <v/>
      </c>
      <c r="K65" s="93" t="str">
        <f t="shared" si="5"/>
        <v>Not screened</v>
      </c>
      <c r="L65" s="93" t="str">
        <f t="shared" si="6"/>
        <v>No</v>
      </c>
      <c r="M65" s="93" t="str">
        <f t="shared" si="7"/>
        <v>No operating coal capacity recorded in GEM</v>
      </c>
      <c r="O65" s="35"/>
      <c r="P65" s="35"/>
    </row>
    <row r="66" spans="1:16" ht="20" customHeight="1">
      <c r="A66" s="70" t="s">
        <v>362</v>
      </c>
      <c r="B66" s="70" t="s">
        <v>363</v>
      </c>
      <c r="C66" s="93">
        <f>IF($B66="","",_xlfn.LET(_xlpm.x,IFERROR(_xlfn.XLOOKUP($B66,[1]comp_GEM_coal!$B$2:$B$110,[1]comp_GEM_coal!$C$2:$C$110,0,0),0),IF(ISNUMBER(_xlpm.x),_xlpm.x,0)))</f>
        <v>0</v>
      </c>
      <c r="D66" s="93" t="str">
        <f t="shared" si="0"/>
        <v>Fail</v>
      </c>
      <c r="E66" s="93">
        <f>IF($B66="","",_xlfn.LET(_xlpm.src,IFERROR(_xlfn.XLOOKUP($B66,[1]clean_EMBER_2024!$D$5:$D$201,[1]clean_EMBER_2024!$J$5:$J$201,"",0),""),IF(ISNUMBER(_xlpm.src),_xlpm.src,"Missing")))</f>
        <v>0</v>
      </c>
      <c r="F66" s="93" t="str">
        <f>IF($B66="","",_xlfn.LET(_xlpm.x,IFERROR(_xlfn.XLOOKUP($B66,[1]comp_GEM_coal!$B$2:$B$110,[1]comp_GEM_coal!$F$2:$F$110,"",0),""),IF(ISNUMBER(_xlpm.x),_xlpm.x,"Missing")))</f>
        <v>Missing</v>
      </c>
      <c r="G66" s="93" t="str">
        <f t="shared" si="1"/>
        <v/>
      </c>
      <c r="H66" s="93" t="str">
        <f t="shared" si="2"/>
        <v/>
      </c>
      <c r="I66" s="93" t="str">
        <f t="shared" si="3"/>
        <v/>
      </c>
      <c r="J66" s="93" t="str">
        <f t="shared" si="4"/>
        <v/>
      </c>
      <c r="K66" s="93" t="str">
        <f t="shared" si="5"/>
        <v>Not screened</v>
      </c>
      <c r="L66" s="93" t="str">
        <f t="shared" si="6"/>
        <v>No</v>
      </c>
      <c r="M66" s="93" t="str">
        <f t="shared" si="7"/>
        <v>No operating coal capacity recorded in GEM</v>
      </c>
      <c r="O66" s="35"/>
      <c r="P66" s="35"/>
    </row>
    <row r="67" spans="1:16" ht="20" customHeight="1">
      <c r="A67" s="70" t="s">
        <v>144</v>
      </c>
      <c r="B67" s="70" t="s">
        <v>145</v>
      </c>
      <c r="C67" s="93">
        <f>IF($B67="","",_xlfn.LET(_xlpm.x,IFERROR(_xlfn.XLOOKUP($B67,[1]comp_GEM_coal!$B$2:$B$110,[1]comp_GEM_coal!$C$2:$C$110,0,0),0),IF(ISNUMBER(_xlpm.x),_xlpm.x,0)))</f>
        <v>0</v>
      </c>
      <c r="D67" s="93" t="str">
        <f t="shared" ref="D67:D130" si="8">IF($B67="","",IF(C67&gt;0,"Pass","Fail"))</f>
        <v>Fail</v>
      </c>
      <c r="E67" s="93">
        <f>IF($B67="","",_xlfn.LET(_xlpm.src,IFERROR(_xlfn.XLOOKUP($B67,[1]clean_EMBER_2024!$D$5:$D$201,[1]clean_EMBER_2024!$J$5:$J$201,"",0),""),IF(ISNUMBER(_xlpm.src),_xlpm.src,"Missing")))</f>
        <v>0</v>
      </c>
      <c r="F67" s="93" t="str">
        <f>IF($B67="","",_xlfn.LET(_xlpm.x,IFERROR(_xlfn.XLOOKUP($B67,[1]comp_GEM_coal!$B$2:$B$110,[1]comp_GEM_coal!$F$2:$F$110,"",0),""),IF(ISNUMBER(_xlpm.x),_xlpm.x,"Missing")))</f>
        <v>Missing</v>
      </c>
      <c r="G67" s="93" t="str">
        <f t="shared" ref="G67:G130" si="9">IF($D67&lt;&gt;"Pass","",--($C67&gt;=$Q$3))</f>
        <v/>
      </c>
      <c r="H67" s="93" t="str">
        <f t="shared" ref="H67:H130" si="10">IF($D67&lt;&gt;"Pass","",IF(ISNUMBER($E67),--($E67&gt;=$Q$4),""))</f>
        <v/>
      </c>
      <c r="I67" s="93" t="str">
        <f t="shared" ref="I67:I130" si="11">IF($D67&lt;&gt;"Pass","",IF(ISNUMBER($F67),--($F67&gt;=$Q$5),""))</f>
        <v/>
      </c>
      <c r="J67" s="93" t="str">
        <f t="shared" ref="J67:J130" si="12">IF($D67&lt;&gt;"Pass","",IF(COUNT($G67:$I67)=3,SUM($G67:$I67),""))</f>
        <v/>
      </c>
      <c r="K67" s="93" t="str">
        <f t="shared" ref="K67:K130" si="13">IF($B67="","",IF($D67="Fail","Not screened",IF(COUNT($G67:$I67)&lt;3,"Review – missing data",IF($J67&gt;=$Q$6,"Pass","Fail"))))</f>
        <v>Not screened</v>
      </c>
      <c r="L67" s="93" t="str">
        <f t="shared" ref="L67:L130" si="14">IF($B67="","",IF(AND($D67="Pass",$K67="Pass"),"Yes","No"))</f>
        <v>No</v>
      </c>
      <c r="M67" s="93" t="str">
        <f t="shared" ref="M67:M130" si="15">IF($B67="","",IF($L67="Yes","",IF($D67="Fail","No operating coal capacity recorded in GEM",IF($K67="Review – missing data","Opportunity screen incomplete because one or more fields are missing","Does not meet at least two material-opportunity thresholds"))))</f>
        <v>No operating coal capacity recorded in GEM</v>
      </c>
      <c r="O67" s="35"/>
      <c r="P67" s="35"/>
    </row>
    <row r="68" spans="1:16" ht="20" customHeight="1">
      <c r="A68" s="70" t="s">
        <v>142</v>
      </c>
      <c r="B68" s="70" t="s">
        <v>143</v>
      </c>
      <c r="C68" s="93">
        <f>IF($B68="","",_xlfn.LET(_xlpm.x,IFERROR(_xlfn.XLOOKUP($B68,[1]comp_GEM_coal!$B$2:$B$110,[1]comp_GEM_coal!$C$2:$C$110,0,0),0),IF(ISNUMBER(_xlpm.x),_xlpm.x,0)))</f>
        <v>903</v>
      </c>
      <c r="D68" s="93" t="str">
        <f t="shared" si="8"/>
        <v>Pass</v>
      </c>
      <c r="E68" s="93">
        <f>IF($B68="","",_xlfn.LET(_xlpm.src,IFERROR(_xlfn.XLOOKUP($B68,[1]clean_EMBER_2024!$D$5:$D$201,[1]clean_EMBER_2024!$J$5:$J$201,"",0),""),IF(ISNUMBER(_xlpm.src),_xlpm.src,"Missing")))</f>
        <v>1.01</v>
      </c>
      <c r="F68" s="93">
        <f>IF($B68="","",_xlfn.LET(_xlpm.x,IFERROR(_xlfn.XLOOKUP($B68,[1]comp_GEM_coal!$B$2:$B$110,[1]comp_GEM_coal!$F$2:$F$110,"",0),""),IF(ISNUMBER(_xlpm.x),_xlpm.x,"Missing")))</f>
        <v>0.37676000399999998</v>
      </c>
      <c r="G68" s="93">
        <f t="shared" si="9"/>
        <v>0</v>
      </c>
      <c r="H68" s="93">
        <f t="shared" si="10"/>
        <v>0</v>
      </c>
      <c r="I68" s="93">
        <f t="shared" si="11"/>
        <v>0</v>
      </c>
      <c r="J68" s="93">
        <f t="shared" si="12"/>
        <v>0</v>
      </c>
      <c r="K68" s="93" t="str">
        <f t="shared" si="13"/>
        <v>Fail</v>
      </c>
      <c r="L68" s="93" t="str">
        <f t="shared" si="14"/>
        <v>No</v>
      </c>
      <c r="M68" s="93" t="str">
        <f t="shared" si="15"/>
        <v>Does not meet at least two material-opportunity thresholds</v>
      </c>
      <c r="O68" s="35"/>
      <c r="P68" s="35"/>
    </row>
    <row r="69" spans="1:16" ht="20" customHeight="1">
      <c r="A69" s="70" t="s">
        <v>146</v>
      </c>
      <c r="B69" s="70" t="s">
        <v>147</v>
      </c>
      <c r="C69" s="93">
        <f>IF($B69="","",_xlfn.LET(_xlpm.x,IFERROR(_xlfn.XLOOKUP($B69,[1]comp_GEM_coal!$B$2:$B$110,[1]comp_GEM_coal!$C$2:$C$110,0,0),0),IF(ISNUMBER(_xlpm.x),_xlpm.x,0)))</f>
        <v>1907</v>
      </c>
      <c r="D69" s="93" t="str">
        <f t="shared" si="8"/>
        <v>Pass</v>
      </c>
      <c r="E69" s="93">
        <f>IF($B69="","",_xlfn.LET(_xlpm.src,IFERROR(_xlfn.XLOOKUP($B69,[1]clean_EMBER_2024!$D$5:$D$201,[1]clean_EMBER_2024!$J$5:$J$201,"",0),""),IF(ISNUMBER(_xlpm.src),_xlpm.src,"Missing")))</f>
        <v>0.18</v>
      </c>
      <c r="F69" s="93">
        <f>IF($B69="","",_xlfn.LET(_xlpm.x,IFERROR(_xlfn.XLOOKUP($B69,[1]comp_GEM_coal!$B$2:$B$110,[1]comp_GEM_coal!$F$2:$F$110,"",0),""),IF(ISNUMBER(_xlpm.x),_xlpm.x,"Missing")))</f>
        <v>3.7106972369999998</v>
      </c>
      <c r="G69" s="93">
        <f t="shared" si="9"/>
        <v>1</v>
      </c>
      <c r="H69" s="93">
        <f t="shared" si="10"/>
        <v>0</v>
      </c>
      <c r="I69" s="93">
        <f t="shared" si="11"/>
        <v>0</v>
      </c>
      <c r="J69" s="93">
        <f t="shared" si="12"/>
        <v>1</v>
      </c>
      <c r="K69" s="93" t="str">
        <f t="shared" si="13"/>
        <v>Fail</v>
      </c>
      <c r="L69" s="93" t="str">
        <f t="shared" si="14"/>
        <v>No</v>
      </c>
      <c r="M69" s="93" t="str">
        <f t="shared" si="15"/>
        <v>Does not meet at least two material-opportunity thresholds</v>
      </c>
      <c r="O69" s="35"/>
      <c r="P69" s="35"/>
    </row>
    <row r="70" spans="1:16" ht="20" customHeight="1">
      <c r="A70" s="70" t="s">
        <v>174</v>
      </c>
      <c r="B70" s="70" t="s">
        <v>175</v>
      </c>
      <c r="C70" s="93">
        <f>IF($B70="","",_xlfn.LET(_xlpm.x,IFERROR(_xlfn.XLOOKUP($B70,[1]comp_GEM_coal!$B$2:$B$110,[1]comp_GEM_coal!$C$2:$C$110,0,0),0),IF(ISNUMBER(_xlpm.x),_xlpm.x,0)))</f>
        <v>0</v>
      </c>
      <c r="D70" s="93" t="str">
        <f t="shared" si="8"/>
        <v>Fail</v>
      </c>
      <c r="E70" s="93" t="str">
        <f>IF($B70="","",_xlfn.LET(_xlpm.src,IFERROR(_xlfn.XLOOKUP($B70,[1]clean_EMBER_2024!$D$5:$D$201,[1]clean_EMBER_2024!$J$5:$J$201,"",0),""),IF(ISNUMBER(_xlpm.src),_xlpm.src,"Missing")))</f>
        <v>Missing</v>
      </c>
      <c r="F70" s="93" t="str">
        <f>IF($B70="","",_xlfn.LET(_xlpm.x,IFERROR(_xlfn.XLOOKUP($B70,[1]comp_GEM_coal!$B$2:$B$110,[1]comp_GEM_coal!$F$2:$F$110,"",0),""),IF(ISNUMBER(_xlpm.x),_xlpm.x,"Missing")))</f>
        <v>Missing</v>
      </c>
      <c r="G70" s="93" t="str">
        <f t="shared" si="9"/>
        <v/>
      </c>
      <c r="H70" s="93" t="str">
        <f t="shared" si="10"/>
        <v/>
      </c>
      <c r="I70" s="93" t="str">
        <f t="shared" si="11"/>
        <v/>
      </c>
      <c r="J70" s="93" t="str">
        <f t="shared" si="12"/>
        <v/>
      </c>
      <c r="K70" s="93" t="str">
        <f t="shared" si="13"/>
        <v>Not screened</v>
      </c>
      <c r="L70" s="93" t="str">
        <f t="shared" si="14"/>
        <v>No</v>
      </c>
      <c r="M70" s="93" t="str">
        <f t="shared" si="15"/>
        <v>No operating coal capacity recorded in GEM</v>
      </c>
      <c r="O70" s="35"/>
      <c r="P70" s="35"/>
    </row>
    <row r="71" spans="1:16" ht="20" customHeight="1">
      <c r="A71" s="70" t="s">
        <v>335</v>
      </c>
      <c r="B71" s="70" t="s">
        <v>336</v>
      </c>
      <c r="C71" s="93">
        <f>IF($B71="","",_xlfn.LET(_xlpm.x,IFERROR(_xlfn.XLOOKUP($B71,[1]comp_GEM_coal!$B$2:$B$110,[1]comp_GEM_coal!$C$2:$C$110,0,0),0),IF(ISNUMBER(_xlpm.x),_xlpm.x,0)))</f>
        <v>0</v>
      </c>
      <c r="D71" s="93" t="str">
        <f t="shared" si="8"/>
        <v>Fail</v>
      </c>
      <c r="E71" s="93">
        <f>IF($B71="","",_xlfn.LET(_xlpm.src,IFERROR(_xlfn.XLOOKUP($B71,[1]clean_EMBER_2024!$D$5:$D$201,[1]clean_EMBER_2024!$J$5:$J$201,"",0),""),IF(ISNUMBER(_xlpm.src),_xlpm.src,"Missing")))</f>
        <v>0</v>
      </c>
      <c r="F71" s="93" t="str">
        <f>IF($B71="","",_xlfn.LET(_xlpm.x,IFERROR(_xlfn.XLOOKUP($B71,[1]comp_GEM_coal!$B$2:$B$110,[1]comp_GEM_coal!$F$2:$F$110,"",0),""),IF(ISNUMBER(_xlpm.x),_xlpm.x,"Missing")))</f>
        <v>Missing</v>
      </c>
      <c r="G71" s="93" t="str">
        <f t="shared" si="9"/>
        <v/>
      </c>
      <c r="H71" s="93" t="str">
        <f t="shared" si="10"/>
        <v/>
      </c>
      <c r="I71" s="93" t="str">
        <f t="shared" si="11"/>
        <v/>
      </c>
      <c r="J71" s="93" t="str">
        <f t="shared" si="12"/>
        <v/>
      </c>
      <c r="K71" s="93" t="str">
        <f t="shared" si="13"/>
        <v>Not screened</v>
      </c>
      <c r="L71" s="93" t="str">
        <f t="shared" si="14"/>
        <v>No</v>
      </c>
      <c r="M71" s="93" t="str">
        <f t="shared" si="15"/>
        <v>No operating coal capacity recorded in GEM</v>
      </c>
      <c r="O71" s="35"/>
      <c r="P71" s="35"/>
    </row>
    <row r="72" spans="1:16" ht="20" customHeight="1">
      <c r="A72" s="70" t="s">
        <v>150</v>
      </c>
      <c r="B72" s="70" t="s">
        <v>151</v>
      </c>
      <c r="C72" s="93">
        <f>IF($B72="","",_xlfn.LET(_xlpm.x,IFERROR(_xlfn.XLOOKUP($B72,[1]comp_GEM_coal!$B$2:$B$110,[1]comp_GEM_coal!$C$2:$C$110,0,0),0),IF(ISNUMBER(_xlpm.x),_xlpm.x,0)))</f>
        <v>0</v>
      </c>
      <c r="D72" s="93" t="str">
        <f t="shared" si="8"/>
        <v>Fail</v>
      </c>
      <c r="E72" s="93">
        <f>IF($B72="","",_xlfn.LET(_xlpm.src,IFERROR(_xlfn.XLOOKUP($B72,[1]clean_EMBER_2024!$D$5:$D$201,[1]clean_EMBER_2024!$J$5:$J$201,"",0),""),IF(ISNUMBER(_xlpm.src),_xlpm.src,"Missing")))</f>
        <v>0</v>
      </c>
      <c r="F72" s="93" t="str">
        <f>IF($B72="","",_xlfn.LET(_xlpm.x,IFERROR(_xlfn.XLOOKUP($B72,[1]comp_GEM_coal!$B$2:$B$110,[1]comp_GEM_coal!$F$2:$F$110,"",0),""),IF(ISNUMBER(_xlpm.x),_xlpm.x,"Missing")))</f>
        <v>Missing</v>
      </c>
      <c r="G72" s="93" t="str">
        <f t="shared" si="9"/>
        <v/>
      </c>
      <c r="H72" s="93" t="str">
        <f t="shared" si="10"/>
        <v/>
      </c>
      <c r="I72" s="93" t="str">
        <f t="shared" si="11"/>
        <v/>
      </c>
      <c r="J72" s="93" t="str">
        <f t="shared" si="12"/>
        <v/>
      </c>
      <c r="K72" s="93" t="str">
        <f t="shared" si="13"/>
        <v>Not screened</v>
      </c>
      <c r="L72" s="93" t="str">
        <f t="shared" si="14"/>
        <v>No</v>
      </c>
      <c r="M72" s="93" t="str">
        <f t="shared" si="15"/>
        <v>No operating coal capacity recorded in GEM</v>
      </c>
      <c r="O72" s="35"/>
      <c r="P72" s="35"/>
    </row>
    <row r="73" spans="1:16" ht="20" customHeight="1">
      <c r="A73" s="70" t="s">
        <v>160</v>
      </c>
      <c r="B73" s="70" t="s">
        <v>161</v>
      </c>
      <c r="C73" s="93">
        <f>IF($B73="","",_xlfn.LET(_xlpm.x,IFERROR(_xlfn.XLOOKUP($B73,[1]comp_GEM_coal!$B$2:$B$110,[1]comp_GEM_coal!$C$2:$C$110,0,0),0),IF(ISNUMBER(_xlpm.x),_xlpm.x,0)))</f>
        <v>0</v>
      </c>
      <c r="D73" s="93" t="str">
        <f t="shared" si="8"/>
        <v>Fail</v>
      </c>
      <c r="E73" s="93">
        <f>IF($B73="","",_xlfn.LET(_xlpm.src,IFERROR(_xlfn.XLOOKUP($B73,[1]clean_EMBER_2024!$D$5:$D$201,[1]clean_EMBER_2024!$J$5:$J$201,"",0),""),IF(ISNUMBER(_xlpm.src),_xlpm.src,"Missing")))</f>
        <v>0</v>
      </c>
      <c r="F73" s="93" t="str">
        <f>IF($B73="","",_xlfn.LET(_xlpm.x,IFERROR(_xlfn.XLOOKUP($B73,[1]comp_GEM_coal!$B$2:$B$110,[1]comp_GEM_coal!$F$2:$F$110,"",0),""),IF(ISNUMBER(_xlpm.x),_xlpm.x,"Missing")))</f>
        <v>Missing</v>
      </c>
      <c r="G73" s="93" t="str">
        <f t="shared" si="9"/>
        <v/>
      </c>
      <c r="H73" s="93" t="str">
        <f t="shared" si="10"/>
        <v/>
      </c>
      <c r="I73" s="93" t="str">
        <f t="shared" si="11"/>
        <v/>
      </c>
      <c r="J73" s="93" t="str">
        <f t="shared" si="12"/>
        <v/>
      </c>
      <c r="K73" s="93" t="str">
        <f t="shared" si="13"/>
        <v>Not screened</v>
      </c>
      <c r="L73" s="93" t="str">
        <f t="shared" si="14"/>
        <v>No</v>
      </c>
      <c r="M73" s="93" t="str">
        <f t="shared" si="15"/>
        <v>No operating coal capacity recorded in GEM</v>
      </c>
      <c r="O73" s="35"/>
      <c r="P73" s="35"/>
    </row>
    <row r="74" spans="1:16" ht="20" customHeight="1">
      <c r="A74" s="70" t="s">
        <v>154</v>
      </c>
      <c r="B74" s="70" t="s">
        <v>155</v>
      </c>
      <c r="C74" s="93">
        <f>IF($B74="","",_xlfn.LET(_xlpm.x,IFERROR(_xlfn.XLOOKUP($B74,[1]comp_GEM_coal!$B$2:$B$110,[1]comp_GEM_coal!$C$2:$C$110,0,0),0),IF(ISNUMBER(_xlpm.x),_xlpm.x,0)))</f>
        <v>0</v>
      </c>
      <c r="D74" s="93" t="str">
        <f t="shared" si="8"/>
        <v>Fail</v>
      </c>
      <c r="E74" s="93">
        <f>IF($B74="","",_xlfn.LET(_xlpm.src,IFERROR(_xlfn.XLOOKUP($B74,[1]clean_EMBER_2024!$D$5:$D$201,[1]clean_EMBER_2024!$J$5:$J$201,"",0),""),IF(ISNUMBER(_xlpm.src),_xlpm.src,"Missing")))</f>
        <v>0</v>
      </c>
      <c r="F74" s="93">
        <f>IF($B74="","",_xlfn.LET(_xlpm.x,IFERROR(_xlfn.XLOOKUP($B74,[1]comp_GEM_coal!$B$2:$B$110,[1]comp_GEM_coal!$F$2:$F$110,"",0),""),IF(ISNUMBER(_xlpm.x),_xlpm.x,"Missing")))</f>
        <v>0</v>
      </c>
      <c r="G74" s="93" t="str">
        <f t="shared" si="9"/>
        <v/>
      </c>
      <c r="H74" s="93" t="str">
        <f t="shared" si="10"/>
        <v/>
      </c>
      <c r="I74" s="93" t="str">
        <f t="shared" si="11"/>
        <v/>
      </c>
      <c r="J74" s="93" t="str">
        <f t="shared" si="12"/>
        <v/>
      </c>
      <c r="K74" s="93" t="str">
        <f t="shared" si="13"/>
        <v>Not screened</v>
      </c>
      <c r="L74" s="93" t="str">
        <f t="shared" si="14"/>
        <v>No</v>
      </c>
      <c r="M74" s="93" t="str">
        <f t="shared" si="15"/>
        <v>No operating coal capacity recorded in GEM</v>
      </c>
      <c r="O74" s="35"/>
      <c r="P74" s="35"/>
    </row>
    <row r="75" spans="1:16" ht="20" customHeight="1">
      <c r="A75" s="70" t="s">
        <v>119</v>
      </c>
      <c r="B75" s="70" t="s">
        <v>120</v>
      </c>
      <c r="C75" s="93">
        <f>IF($B75="","",_xlfn.LET(_xlpm.x,IFERROR(_xlfn.XLOOKUP($B75,[1]comp_GEM_coal!$B$2:$B$110,[1]comp_GEM_coal!$C$2:$C$110,0,0),0),IF(ISNUMBER(_xlpm.x),_xlpm.x,0)))</f>
        <v>28323</v>
      </c>
      <c r="D75" s="93" t="str">
        <f t="shared" si="8"/>
        <v>Pass</v>
      </c>
      <c r="E75" s="93">
        <f>IF($B75="","",_xlfn.LET(_xlpm.src,IFERROR(_xlfn.XLOOKUP($B75,[1]clean_EMBER_2024!$D$5:$D$201,[1]clean_EMBER_2024!$J$5:$J$201,"",0),""),IF(ISNUMBER(_xlpm.src),_xlpm.src,"Missing")))</f>
        <v>21.44</v>
      </c>
      <c r="F75" s="93">
        <f>IF($B75="","",_xlfn.LET(_xlpm.x,IFERROR(_xlfn.XLOOKUP($B75,[1]comp_GEM_coal!$B$2:$B$110,[1]comp_GEM_coal!$F$2:$F$110,"",0),""),IF(ISNUMBER(_xlpm.x),_xlpm.x,"Missing")))</f>
        <v>797.89156861199967</v>
      </c>
      <c r="G75" s="93">
        <f t="shared" si="9"/>
        <v>1</v>
      </c>
      <c r="H75" s="93">
        <f t="shared" si="10"/>
        <v>1</v>
      </c>
      <c r="I75" s="93">
        <f t="shared" si="11"/>
        <v>1</v>
      </c>
      <c r="J75" s="93">
        <f t="shared" si="12"/>
        <v>3</v>
      </c>
      <c r="K75" s="93" t="str">
        <f t="shared" si="13"/>
        <v>Pass</v>
      </c>
      <c r="L75" s="93" t="str">
        <f t="shared" si="14"/>
        <v>Yes</v>
      </c>
      <c r="M75" s="93" t="str">
        <f t="shared" si="15"/>
        <v/>
      </c>
      <c r="O75" s="35"/>
      <c r="P75" s="35"/>
    </row>
    <row r="76" spans="1:16" ht="20" customHeight="1">
      <c r="A76" s="70" t="s">
        <v>156</v>
      </c>
      <c r="B76" s="70" t="s">
        <v>157</v>
      </c>
      <c r="C76" s="93">
        <f>IF($B76="","",_xlfn.LET(_xlpm.x,IFERROR(_xlfn.XLOOKUP($B76,[1]comp_GEM_coal!$B$2:$B$110,[1]comp_GEM_coal!$C$2:$C$110,0,0),0),IF(ISNUMBER(_xlpm.x),_xlpm.x,0)))</f>
        <v>0</v>
      </c>
      <c r="D76" s="93" t="str">
        <f t="shared" si="8"/>
        <v>Fail</v>
      </c>
      <c r="E76" s="93">
        <f>IF($B76="","",_xlfn.LET(_xlpm.src,IFERROR(_xlfn.XLOOKUP($B76,[1]clean_EMBER_2024!$D$5:$D$201,[1]clean_EMBER_2024!$J$5:$J$201,"",0),""),IF(ISNUMBER(_xlpm.src),_xlpm.src,"Missing")))</f>
        <v>0</v>
      </c>
      <c r="F76" s="93">
        <f>IF($B76="","",_xlfn.LET(_xlpm.x,IFERROR(_xlfn.XLOOKUP($B76,[1]comp_GEM_coal!$B$2:$B$110,[1]comp_GEM_coal!$F$2:$F$110,"",0),""),IF(ISNUMBER(_xlpm.x),_xlpm.x,"Missing")))</f>
        <v>0</v>
      </c>
      <c r="G76" s="93" t="str">
        <f t="shared" si="9"/>
        <v/>
      </c>
      <c r="H76" s="93" t="str">
        <f t="shared" si="10"/>
        <v/>
      </c>
      <c r="I76" s="93" t="str">
        <f t="shared" si="11"/>
        <v/>
      </c>
      <c r="J76" s="93" t="str">
        <f t="shared" si="12"/>
        <v/>
      </c>
      <c r="K76" s="93" t="str">
        <f t="shared" si="13"/>
        <v>Not screened</v>
      </c>
      <c r="L76" s="93" t="str">
        <f t="shared" si="14"/>
        <v>No</v>
      </c>
      <c r="M76" s="93" t="str">
        <f t="shared" si="15"/>
        <v>No operating coal capacity recorded in GEM</v>
      </c>
      <c r="O76" s="35"/>
      <c r="P76" s="35"/>
    </row>
    <row r="77" spans="1:16" ht="20" customHeight="1">
      <c r="A77" s="70" t="s">
        <v>166</v>
      </c>
      <c r="B77" s="70" t="s">
        <v>167</v>
      </c>
      <c r="C77" s="93">
        <f>IF($B77="","",_xlfn.LET(_xlpm.x,IFERROR(_xlfn.XLOOKUP($B77,[1]comp_GEM_coal!$B$2:$B$110,[1]comp_GEM_coal!$C$2:$C$110,0,0),0),IF(ISNUMBER(_xlpm.x),_xlpm.x,0)))</f>
        <v>1655</v>
      </c>
      <c r="D77" s="93" t="str">
        <f t="shared" si="8"/>
        <v>Pass</v>
      </c>
      <c r="E77" s="93">
        <f>IF($B77="","",_xlfn.LET(_xlpm.src,IFERROR(_xlfn.XLOOKUP($B77,[1]clean_EMBER_2024!$D$5:$D$201,[1]clean_EMBER_2024!$J$5:$J$201,"",0),""),IF(ISNUMBER(_xlpm.src),_xlpm.src,"Missing")))</f>
        <v>5.73</v>
      </c>
      <c r="F77" s="93">
        <f>IF($B77="","",_xlfn.LET(_xlpm.x,IFERROR(_xlfn.XLOOKUP($B77,[1]comp_GEM_coal!$B$2:$B$110,[1]comp_GEM_coal!$F$2:$F$110,"",0),""),IF(ISNUMBER(_xlpm.x),_xlpm.x,"Missing")))</f>
        <v>2.9873073730000002</v>
      </c>
      <c r="G77" s="93">
        <f t="shared" si="9"/>
        <v>0</v>
      </c>
      <c r="H77" s="93">
        <f t="shared" si="10"/>
        <v>0</v>
      </c>
      <c r="I77" s="93">
        <f t="shared" si="11"/>
        <v>0</v>
      </c>
      <c r="J77" s="93">
        <f t="shared" si="12"/>
        <v>0</v>
      </c>
      <c r="K77" s="93" t="str">
        <f t="shared" si="13"/>
        <v>Fail</v>
      </c>
      <c r="L77" s="93" t="str">
        <f t="shared" si="14"/>
        <v>No</v>
      </c>
      <c r="M77" s="93" t="str">
        <f t="shared" si="15"/>
        <v>Does not meet at least two material-opportunity thresholds</v>
      </c>
      <c r="O77" s="35"/>
      <c r="P77" s="35"/>
    </row>
    <row r="78" spans="1:16" ht="20" customHeight="1">
      <c r="A78" s="70" t="s">
        <v>170</v>
      </c>
      <c r="B78" s="70" t="s">
        <v>171</v>
      </c>
      <c r="C78" s="93">
        <f>IF($B78="","",_xlfn.LET(_xlpm.x,IFERROR(_xlfn.XLOOKUP($B78,[1]comp_GEM_coal!$B$2:$B$110,[1]comp_GEM_coal!$C$2:$C$110,0,0),0),IF(ISNUMBER(_xlpm.x),_xlpm.x,0)))</f>
        <v>0</v>
      </c>
      <c r="D78" s="93" t="str">
        <f t="shared" si="8"/>
        <v>Fail</v>
      </c>
      <c r="E78" s="93">
        <f>IF($B78="","",_xlfn.LET(_xlpm.src,IFERROR(_xlfn.XLOOKUP($B78,[1]clean_EMBER_2024!$D$5:$D$201,[1]clean_EMBER_2024!$J$5:$J$201,"",0),""),IF(ISNUMBER(_xlpm.src),_xlpm.src,"Missing")))</f>
        <v>0</v>
      </c>
      <c r="F78" s="93" t="str">
        <f>IF($B78="","",_xlfn.LET(_xlpm.x,IFERROR(_xlfn.XLOOKUP($B78,[1]comp_GEM_coal!$B$2:$B$110,[1]comp_GEM_coal!$F$2:$F$110,"",0),""),IF(ISNUMBER(_xlpm.x),_xlpm.x,"Missing")))</f>
        <v>Missing</v>
      </c>
      <c r="G78" s="93" t="str">
        <f t="shared" si="9"/>
        <v/>
      </c>
      <c r="H78" s="93" t="str">
        <f t="shared" si="10"/>
        <v/>
      </c>
      <c r="I78" s="93" t="str">
        <f t="shared" si="11"/>
        <v/>
      </c>
      <c r="J78" s="93" t="str">
        <f t="shared" si="12"/>
        <v/>
      </c>
      <c r="K78" s="93" t="str">
        <f t="shared" si="13"/>
        <v>Not screened</v>
      </c>
      <c r="L78" s="93" t="str">
        <f t="shared" si="14"/>
        <v>No</v>
      </c>
      <c r="M78" s="93" t="str">
        <f t="shared" si="15"/>
        <v>No operating coal capacity recorded in GEM</v>
      </c>
      <c r="O78" s="35"/>
      <c r="P78" s="35"/>
    </row>
    <row r="79" spans="1:16" ht="20" customHeight="1">
      <c r="A79" s="70" t="s">
        <v>168</v>
      </c>
      <c r="B79" s="70" t="s">
        <v>169</v>
      </c>
      <c r="C79" s="93">
        <f>IF($B79="","",_xlfn.LET(_xlpm.x,IFERROR(_xlfn.XLOOKUP($B79,[1]comp_GEM_coal!$B$2:$B$110,[1]comp_GEM_coal!$C$2:$C$110,0,0),0),IF(ISNUMBER(_xlpm.x),_xlpm.x,0)))</f>
        <v>0</v>
      </c>
      <c r="D79" s="93" t="str">
        <f t="shared" si="8"/>
        <v>Fail</v>
      </c>
      <c r="E79" s="93">
        <f>IF($B79="","",_xlfn.LET(_xlpm.src,IFERROR(_xlfn.XLOOKUP($B79,[1]clean_EMBER_2024!$D$5:$D$201,[1]clean_EMBER_2024!$J$5:$J$201,"",0),""),IF(ISNUMBER(_xlpm.src),_xlpm.src,"Missing")))</f>
        <v>0</v>
      </c>
      <c r="F79" s="93" t="str">
        <f>IF($B79="","",_xlfn.LET(_xlpm.x,IFERROR(_xlfn.XLOOKUP($B79,[1]comp_GEM_coal!$B$2:$B$110,[1]comp_GEM_coal!$F$2:$F$110,"",0),""),IF(ISNUMBER(_xlpm.x),_xlpm.x,"Missing")))</f>
        <v>Missing</v>
      </c>
      <c r="G79" s="93" t="str">
        <f t="shared" si="9"/>
        <v/>
      </c>
      <c r="H79" s="93" t="str">
        <f t="shared" si="10"/>
        <v/>
      </c>
      <c r="I79" s="93" t="str">
        <f t="shared" si="11"/>
        <v/>
      </c>
      <c r="J79" s="93" t="str">
        <f t="shared" si="12"/>
        <v/>
      </c>
      <c r="K79" s="93" t="str">
        <f t="shared" si="13"/>
        <v>Not screened</v>
      </c>
      <c r="L79" s="93" t="str">
        <f t="shared" si="14"/>
        <v>No</v>
      </c>
      <c r="M79" s="93" t="str">
        <f t="shared" si="15"/>
        <v>No operating coal capacity recorded in GEM</v>
      </c>
      <c r="O79" s="35"/>
      <c r="P79" s="35"/>
    </row>
    <row r="80" spans="1:16" ht="20" customHeight="1">
      <c r="A80" s="70" t="s">
        <v>176</v>
      </c>
      <c r="B80" s="70" t="s">
        <v>177</v>
      </c>
      <c r="C80" s="93">
        <f>IF($B80="","",_xlfn.LET(_xlpm.x,IFERROR(_xlfn.XLOOKUP($B80,[1]comp_GEM_coal!$B$2:$B$110,[1]comp_GEM_coal!$C$2:$C$110,0,0),0),IF(ISNUMBER(_xlpm.x),_xlpm.x,0)))</f>
        <v>0</v>
      </c>
      <c r="D80" s="93" t="str">
        <f t="shared" si="8"/>
        <v>Fail</v>
      </c>
      <c r="E80" s="93">
        <f>IF($B80="","",_xlfn.LET(_xlpm.src,IFERROR(_xlfn.XLOOKUP($B80,[1]clean_EMBER_2024!$D$5:$D$201,[1]clean_EMBER_2024!$J$5:$J$201,"",0),""),IF(ISNUMBER(_xlpm.src),_xlpm.src,"Missing")))</f>
        <v>0</v>
      </c>
      <c r="F80" s="93" t="str">
        <f>IF($B80="","",_xlfn.LET(_xlpm.x,IFERROR(_xlfn.XLOOKUP($B80,[1]comp_GEM_coal!$B$2:$B$110,[1]comp_GEM_coal!$F$2:$F$110,"",0),""),IF(ISNUMBER(_xlpm.x),_xlpm.x,"Missing")))</f>
        <v>Missing</v>
      </c>
      <c r="G80" s="93" t="str">
        <f t="shared" si="9"/>
        <v/>
      </c>
      <c r="H80" s="93" t="str">
        <f t="shared" si="10"/>
        <v/>
      </c>
      <c r="I80" s="93" t="str">
        <f t="shared" si="11"/>
        <v/>
      </c>
      <c r="J80" s="93" t="str">
        <f t="shared" si="12"/>
        <v/>
      </c>
      <c r="K80" s="93" t="str">
        <f t="shared" si="13"/>
        <v>Not screened</v>
      </c>
      <c r="L80" s="93" t="str">
        <f t="shared" si="14"/>
        <v>No</v>
      </c>
      <c r="M80" s="93" t="str">
        <f t="shared" si="15"/>
        <v>No operating coal capacity recorded in GEM</v>
      </c>
      <c r="O80" s="35"/>
      <c r="P80" s="35"/>
    </row>
    <row r="81" spans="1:16" ht="20" customHeight="1">
      <c r="A81" s="70" t="s">
        <v>172</v>
      </c>
      <c r="B81" s="70" t="s">
        <v>173</v>
      </c>
      <c r="C81" s="93">
        <f>IF($B81="","",_xlfn.LET(_xlpm.x,IFERROR(_xlfn.XLOOKUP($B81,[1]comp_GEM_coal!$B$2:$B$110,[1]comp_GEM_coal!$C$2:$C$110,0,0),0),IF(ISNUMBER(_xlpm.x),_xlpm.x,0)))</f>
        <v>439</v>
      </c>
      <c r="D81" s="93" t="str">
        <f t="shared" si="8"/>
        <v>Pass</v>
      </c>
      <c r="E81" s="93">
        <f>IF($B81="","",_xlfn.LET(_xlpm.src,IFERROR(_xlfn.XLOOKUP($B81,[1]clean_EMBER_2024!$D$5:$D$201,[1]clean_EMBER_2024!$J$5:$J$201,"",0),""),IF(ISNUMBER(_xlpm.src),_xlpm.src,"Missing")))</f>
        <v>15.83</v>
      </c>
      <c r="F81" s="93">
        <f>IF($B81="","",_xlfn.LET(_xlpm.x,IFERROR(_xlfn.XLOOKUP($B81,[1]comp_GEM_coal!$B$2:$B$110,[1]comp_GEM_coal!$F$2:$F$110,"",0),""),IF(ISNUMBER(_xlpm.x),_xlpm.x,"Missing")))</f>
        <v>53.334686032999997</v>
      </c>
      <c r="G81" s="93">
        <f t="shared" si="9"/>
        <v>0</v>
      </c>
      <c r="H81" s="93">
        <f t="shared" si="10"/>
        <v>0</v>
      </c>
      <c r="I81" s="93">
        <f t="shared" si="11"/>
        <v>0</v>
      </c>
      <c r="J81" s="93">
        <f t="shared" si="12"/>
        <v>0</v>
      </c>
      <c r="K81" s="93" t="str">
        <f t="shared" si="13"/>
        <v>Fail</v>
      </c>
      <c r="L81" s="93" t="str">
        <f t="shared" si="14"/>
        <v>No</v>
      </c>
      <c r="M81" s="93" t="str">
        <f t="shared" si="15"/>
        <v>Does not meet at least two material-opportunity thresholds</v>
      </c>
      <c r="O81" s="35"/>
      <c r="P81" s="35"/>
    </row>
    <row r="82" spans="1:16" ht="20" customHeight="1">
      <c r="A82" s="70" t="s">
        <v>158</v>
      </c>
      <c r="B82" s="70" t="s">
        <v>159</v>
      </c>
      <c r="C82" s="93">
        <f>IF($B82="","",_xlfn.LET(_xlpm.x,IFERROR(_xlfn.XLOOKUP($B82,[1]comp_GEM_coal!$B$2:$B$110,[1]comp_GEM_coal!$C$2:$C$110,0,0),0),IF(ISNUMBER(_xlpm.x),_xlpm.x,0)))</f>
        <v>0</v>
      </c>
      <c r="D82" s="93" t="str">
        <f t="shared" si="8"/>
        <v>Fail</v>
      </c>
      <c r="E82" s="93">
        <f>IF($B82="","",_xlfn.LET(_xlpm.src,IFERROR(_xlfn.XLOOKUP($B82,[1]clean_EMBER_2024!$D$5:$D$201,[1]clean_EMBER_2024!$J$5:$J$201,"",0),""),IF(ISNUMBER(_xlpm.src),_xlpm.src,"Missing")))</f>
        <v>0</v>
      </c>
      <c r="F82" s="93">
        <f>IF($B82="","",_xlfn.LET(_xlpm.x,IFERROR(_xlfn.XLOOKUP($B82,[1]comp_GEM_coal!$B$2:$B$110,[1]comp_GEM_coal!$F$2:$F$110,"",0),""),IF(ISNUMBER(_xlpm.x),_xlpm.x,"Missing")))</f>
        <v>0</v>
      </c>
      <c r="G82" s="93" t="str">
        <f t="shared" si="9"/>
        <v/>
      </c>
      <c r="H82" s="93" t="str">
        <f t="shared" si="10"/>
        <v/>
      </c>
      <c r="I82" s="93" t="str">
        <f t="shared" si="11"/>
        <v/>
      </c>
      <c r="J82" s="93" t="str">
        <f t="shared" si="12"/>
        <v/>
      </c>
      <c r="K82" s="93" t="str">
        <f t="shared" si="13"/>
        <v>Not screened</v>
      </c>
      <c r="L82" s="93" t="str">
        <f t="shared" si="14"/>
        <v>No</v>
      </c>
      <c r="M82" s="93" t="str">
        <f t="shared" si="15"/>
        <v>No operating coal capacity recorded in GEM</v>
      </c>
      <c r="O82" s="35"/>
      <c r="P82" s="35"/>
    </row>
    <row r="83" spans="1:16" ht="20" customHeight="1">
      <c r="A83" s="70" t="s">
        <v>162</v>
      </c>
      <c r="B83" s="70" t="s">
        <v>163</v>
      </c>
      <c r="C83" s="93">
        <f>IF($B83="","",_xlfn.LET(_xlpm.x,IFERROR(_xlfn.XLOOKUP($B83,[1]comp_GEM_coal!$B$2:$B$110,[1]comp_GEM_coal!$C$2:$C$110,0,0),0),IF(ISNUMBER(_xlpm.x),_xlpm.x,0)))</f>
        <v>0</v>
      </c>
      <c r="D83" s="93" t="str">
        <f t="shared" si="8"/>
        <v>Fail</v>
      </c>
      <c r="E83" s="93">
        <f>IF($B83="","",_xlfn.LET(_xlpm.src,IFERROR(_xlfn.XLOOKUP($B83,[1]clean_EMBER_2024!$D$5:$D$201,[1]clean_EMBER_2024!$J$5:$J$201,"",0),""),IF(ISNUMBER(_xlpm.src),_xlpm.src,"Missing")))</f>
        <v>0</v>
      </c>
      <c r="F83" s="93" t="str">
        <f>IF($B83="","",_xlfn.LET(_xlpm.x,IFERROR(_xlfn.XLOOKUP($B83,[1]comp_GEM_coal!$B$2:$B$110,[1]comp_GEM_coal!$F$2:$F$110,"",0),""),IF(ISNUMBER(_xlpm.x),_xlpm.x,"Missing")))</f>
        <v>Missing</v>
      </c>
      <c r="G83" s="93" t="str">
        <f t="shared" si="9"/>
        <v/>
      </c>
      <c r="H83" s="93" t="str">
        <f t="shared" si="10"/>
        <v/>
      </c>
      <c r="I83" s="93" t="str">
        <f t="shared" si="11"/>
        <v/>
      </c>
      <c r="J83" s="93" t="str">
        <f t="shared" si="12"/>
        <v/>
      </c>
      <c r="K83" s="93" t="str">
        <f t="shared" si="13"/>
        <v>Not screened</v>
      </c>
      <c r="L83" s="93" t="str">
        <f t="shared" si="14"/>
        <v>No</v>
      </c>
      <c r="M83" s="93" t="str">
        <f t="shared" si="15"/>
        <v>No operating coal capacity recorded in GEM</v>
      </c>
      <c r="O83" s="35"/>
      <c r="P83" s="35"/>
    </row>
    <row r="84" spans="1:16" ht="20" customHeight="1">
      <c r="A84" s="70" t="s">
        <v>178</v>
      </c>
      <c r="B84" s="70" t="s">
        <v>179</v>
      </c>
      <c r="C84" s="93">
        <f>IF($B84="","",_xlfn.LET(_xlpm.x,IFERROR(_xlfn.XLOOKUP($B84,[1]comp_GEM_coal!$B$2:$B$110,[1]comp_GEM_coal!$C$2:$C$110,0,0),0),IF(ISNUMBER(_xlpm.x),_xlpm.x,0)))</f>
        <v>0</v>
      </c>
      <c r="D84" s="93" t="str">
        <f t="shared" si="8"/>
        <v>Fail</v>
      </c>
      <c r="E84" s="93">
        <f>IF($B84="","",_xlfn.LET(_xlpm.src,IFERROR(_xlfn.XLOOKUP($B84,[1]clean_EMBER_2024!$D$5:$D$201,[1]clean_EMBER_2024!$J$5:$J$201,"",0),""),IF(ISNUMBER(_xlpm.src),_xlpm.src,"Missing")))</f>
        <v>0</v>
      </c>
      <c r="F84" s="93" t="str">
        <f>IF($B84="","",_xlfn.LET(_xlpm.x,IFERROR(_xlfn.XLOOKUP($B84,[1]comp_GEM_coal!$B$2:$B$110,[1]comp_GEM_coal!$F$2:$F$110,"",0),""),IF(ISNUMBER(_xlpm.x),_xlpm.x,"Missing")))</f>
        <v>Missing</v>
      </c>
      <c r="G84" s="93" t="str">
        <f t="shared" si="9"/>
        <v/>
      </c>
      <c r="H84" s="93" t="str">
        <f t="shared" si="10"/>
        <v/>
      </c>
      <c r="I84" s="93" t="str">
        <f t="shared" si="11"/>
        <v/>
      </c>
      <c r="J84" s="93" t="str">
        <f t="shared" si="12"/>
        <v/>
      </c>
      <c r="K84" s="93" t="str">
        <f t="shared" si="13"/>
        <v>Not screened</v>
      </c>
      <c r="L84" s="93" t="str">
        <f t="shared" si="14"/>
        <v>No</v>
      </c>
      <c r="M84" s="93" t="str">
        <f t="shared" si="15"/>
        <v>No operating coal capacity recorded in GEM</v>
      </c>
      <c r="O84" s="35"/>
      <c r="P84" s="35"/>
    </row>
    <row r="85" spans="1:16" ht="20" customHeight="1">
      <c r="A85" s="70" t="s">
        <v>185</v>
      </c>
      <c r="B85" s="70" t="s">
        <v>186</v>
      </c>
      <c r="C85" s="93">
        <f>IF($B85="","",_xlfn.LET(_xlpm.x,IFERROR(_xlfn.XLOOKUP($B85,[1]comp_GEM_coal!$B$2:$B$110,[1]comp_GEM_coal!$C$2:$C$110,0,0),0),IF(ISNUMBER(_xlpm.x),_xlpm.x,0)))</f>
        <v>0</v>
      </c>
      <c r="D85" s="93" t="str">
        <f t="shared" si="8"/>
        <v>Fail</v>
      </c>
      <c r="E85" s="93">
        <f>IF($B85="","",_xlfn.LET(_xlpm.src,IFERROR(_xlfn.XLOOKUP($B85,[1]clean_EMBER_2024!$D$5:$D$201,[1]clean_EMBER_2024!$J$5:$J$201,"",0),""),IF(ISNUMBER(_xlpm.src),_xlpm.src,"Missing")))</f>
        <v>0</v>
      </c>
      <c r="F85" s="93" t="str">
        <f>IF($B85="","",_xlfn.LET(_xlpm.x,IFERROR(_xlfn.XLOOKUP($B85,[1]comp_GEM_coal!$B$2:$B$110,[1]comp_GEM_coal!$F$2:$F$110,"",0),""),IF(ISNUMBER(_xlpm.x),_xlpm.x,"Missing")))</f>
        <v>Missing</v>
      </c>
      <c r="G85" s="93" t="str">
        <f t="shared" si="9"/>
        <v/>
      </c>
      <c r="H85" s="93" t="str">
        <f t="shared" si="10"/>
        <v/>
      </c>
      <c r="I85" s="93" t="str">
        <f t="shared" si="11"/>
        <v/>
      </c>
      <c r="J85" s="93" t="str">
        <f t="shared" si="12"/>
        <v/>
      </c>
      <c r="K85" s="93" t="str">
        <f t="shared" si="13"/>
        <v>Not screened</v>
      </c>
      <c r="L85" s="93" t="str">
        <f t="shared" si="14"/>
        <v>No</v>
      </c>
      <c r="M85" s="93" t="str">
        <f t="shared" si="15"/>
        <v>No operating coal capacity recorded in GEM</v>
      </c>
      <c r="O85" s="35"/>
      <c r="P85" s="35"/>
    </row>
    <row r="86" spans="1:16" ht="20" customHeight="1">
      <c r="A86" s="70" t="s">
        <v>181</v>
      </c>
      <c r="B86" s="70" t="s">
        <v>182</v>
      </c>
      <c r="C86" s="93">
        <f>IF($B86="","",_xlfn.LET(_xlpm.x,IFERROR(_xlfn.XLOOKUP($B86,[1]comp_GEM_coal!$B$2:$B$110,[1]comp_GEM_coal!$C$2:$C$110,0,0),0),IF(ISNUMBER(_xlpm.x),_xlpm.x,0)))</f>
        <v>0</v>
      </c>
      <c r="D86" s="93" t="str">
        <f t="shared" si="8"/>
        <v>Fail</v>
      </c>
      <c r="E86" s="93">
        <f>IF($B86="","",_xlfn.LET(_xlpm.src,IFERROR(_xlfn.XLOOKUP($B86,[1]clean_EMBER_2024!$D$5:$D$201,[1]clean_EMBER_2024!$J$5:$J$201,"",0),""),IF(ISNUMBER(_xlpm.src),_xlpm.src,"Missing")))</f>
        <v>0.48</v>
      </c>
      <c r="F86" s="93">
        <f>IF($B86="","",_xlfn.LET(_xlpm.x,IFERROR(_xlfn.XLOOKUP($B86,[1]comp_GEM_coal!$B$2:$B$110,[1]comp_GEM_coal!$F$2:$F$110,"",0),""),IF(ISNUMBER(_xlpm.x),_xlpm.x,"Missing")))</f>
        <v>0</v>
      </c>
      <c r="G86" s="93" t="str">
        <f t="shared" si="9"/>
        <v/>
      </c>
      <c r="H86" s="93" t="str">
        <f t="shared" si="10"/>
        <v/>
      </c>
      <c r="I86" s="93" t="str">
        <f t="shared" si="11"/>
        <v/>
      </c>
      <c r="J86" s="93" t="str">
        <f t="shared" si="12"/>
        <v/>
      </c>
      <c r="K86" s="93" t="str">
        <f t="shared" si="13"/>
        <v>Not screened</v>
      </c>
      <c r="L86" s="93" t="str">
        <f t="shared" si="14"/>
        <v>No</v>
      </c>
      <c r="M86" s="93" t="str">
        <f t="shared" si="15"/>
        <v>No operating coal capacity recorded in GEM</v>
      </c>
      <c r="O86" s="35"/>
      <c r="P86" s="35"/>
    </row>
    <row r="87" spans="1:16" ht="20" customHeight="1">
      <c r="A87" s="35" t="s">
        <v>476</v>
      </c>
      <c r="B87" s="70" t="s">
        <v>180</v>
      </c>
      <c r="C87" s="93">
        <f>IF($B87="","",_xlfn.LET(_xlpm.x,IFERROR(_xlfn.XLOOKUP($B87,[1]comp_GEM_coal!$B$2:$B$110,[1]comp_GEM_coal!$C$2:$C$110,0,0),0),IF(ISNUMBER(_xlpm.x),_xlpm.x,0)))</f>
        <v>4112</v>
      </c>
      <c r="D87" s="93" t="str">
        <f t="shared" si="8"/>
        <v>Pass</v>
      </c>
      <c r="E87" s="93">
        <f>IF($B87="","",_xlfn.LET(_xlpm.src,IFERROR(_xlfn.XLOOKUP($B87,[1]clean_EMBER_2024!$D$5:$D$201,[1]clean_EMBER_2024!$J$5:$J$201,"",0),""),IF(ISNUMBER(_xlpm.src),_xlpm.src,"Missing")))</f>
        <v>33.65</v>
      </c>
      <c r="F87" s="93">
        <f>IF($B87="","",_xlfn.LET(_xlpm.x,IFERROR(_xlfn.XLOOKUP($B87,[1]comp_GEM_coal!$B$2:$B$110,[1]comp_GEM_coal!$F$2:$F$110,"",0),""),IF(ISNUMBER(_xlpm.x),_xlpm.x,"Missing")))</f>
        <v>98.836744549999992</v>
      </c>
      <c r="G87" s="93">
        <f t="shared" si="9"/>
        <v>1</v>
      </c>
      <c r="H87" s="93">
        <f t="shared" si="10"/>
        <v>1</v>
      </c>
      <c r="I87" s="93">
        <f t="shared" si="11"/>
        <v>1</v>
      </c>
      <c r="J87" s="93">
        <f t="shared" si="12"/>
        <v>3</v>
      </c>
      <c r="K87" s="93" t="str">
        <f t="shared" si="13"/>
        <v>Pass</v>
      </c>
      <c r="L87" s="93" t="str">
        <f t="shared" si="14"/>
        <v>Yes</v>
      </c>
      <c r="M87" s="93" t="str">
        <f t="shared" si="15"/>
        <v/>
      </c>
      <c r="O87" s="35"/>
      <c r="P87" s="35"/>
    </row>
    <row r="88" spans="1:16" ht="20" customHeight="1">
      <c r="A88" s="70" t="s">
        <v>187</v>
      </c>
      <c r="B88" s="70" t="s">
        <v>188</v>
      </c>
      <c r="C88" s="93">
        <f>IF($B88="","",_xlfn.LET(_xlpm.x,IFERROR(_xlfn.XLOOKUP($B88,[1]comp_GEM_coal!$B$2:$B$110,[1]comp_GEM_coal!$C$2:$C$110,0,0),0),IF(ISNUMBER(_xlpm.x),_xlpm.x,0)))</f>
        <v>884</v>
      </c>
      <c r="D88" s="93" t="str">
        <f t="shared" si="8"/>
        <v>Pass</v>
      </c>
      <c r="E88" s="93">
        <f>IF($B88="","",_xlfn.LET(_xlpm.src,IFERROR(_xlfn.XLOOKUP($B88,[1]clean_EMBER_2024!$D$5:$D$201,[1]clean_EMBER_2024!$J$5:$J$201,"",0),""),IF(ISNUMBER(_xlpm.src),_xlpm.src,"Missing")))</f>
        <v>6.42</v>
      </c>
      <c r="F88" s="93">
        <f>IF($B88="","",_xlfn.LET(_xlpm.x,IFERROR(_xlfn.XLOOKUP($B88,[1]comp_GEM_coal!$B$2:$B$110,[1]comp_GEM_coal!$F$2:$F$110,"",0),""),IF(ISNUMBER(_xlpm.x),_xlpm.x,"Missing")))</f>
        <v>6.6640700080000004</v>
      </c>
      <c r="G88" s="93">
        <f t="shared" si="9"/>
        <v>0</v>
      </c>
      <c r="H88" s="93">
        <f t="shared" si="10"/>
        <v>0</v>
      </c>
      <c r="I88" s="93">
        <f t="shared" si="11"/>
        <v>0</v>
      </c>
      <c r="J88" s="93">
        <f t="shared" si="12"/>
        <v>0</v>
      </c>
      <c r="K88" s="93" t="str">
        <f t="shared" si="13"/>
        <v>Fail</v>
      </c>
      <c r="L88" s="93" t="str">
        <f t="shared" si="14"/>
        <v>No</v>
      </c>
      <c r="M88" s="93" t="str">
        <f t="shared" si="15"/>
        <v>Does not meet at least two material-opportunity thresholds</v>
      </c>
      <c r="O88" s="35"/>
      <c r="P88" s="35"/>
    </row>
    <row r="89" spans="1:16" ht="20" customHeight="1">
      <c r="A89" s="70" t="s">
        <v>199</v>
      </c>
      <c r="B89" s="70" t="s">
        <v>200</v>
      </c>
      <c r="C89" s="93">
        <f>IF($B89="","",_xlfn.LET(_xlpm.x,IFERROR(_xlfn.XLOOKUP($B89,[1]comp_GEM_coal!$B$2:$B$110,[1]comp_GEM_coal!$C$2:$C$110,0,0),0),IF(ISNUMBER(_xlpm.x),_xlpm.x,0)))</f>
        <v>0</v>
      </c>
      <c r="D89" s="93" t="str">
        <f t="shared" si="8"/>
        <v>Fail</v>
      </c>
      <c r="E89" s="93">
        <f>IF($B89="","",_xlfn.LET(_xlpm.src,IFERROR(_xlfn.XLOOKUP($B89,[1]clean_EMBER_2024!$D$5:$D$201,[1]clean_EMBER_2024!$J$5:$J$201,"",0),""),IF(ISNUMBER(_xlpm.src),_xlpm.src,"Missing")))</f>
        <v>0</v>
      </c>
      <c r="F89" s="93" t="str">
        <f>IF($B89="","",_xlfn.LET(_xlpm.x,IFERROR(_xlfn.XLOOKUP($B89,[1]comp_GEM_coal!$B$2:$B$110,[1]comp_GEM_coal!$F$2:$F$110,"",0),""),IF(ISNUMBER(_xlpm.x),_xlpm.x,"Missing")))</f>
        <v>Missing</v>
      </c>
      <c r="G89" s="93" t="str">
        <f t="shared" si="9"/>
        <v/>
      </c>
      <c r="H89" s="93" t="str">
        <f t="shared" si="10"/>
        <v/>
      </c>
      <c r="I89" s="93" t="str">
        <f t="shared" si="11"/>
        <v/>
      </c>
      <c r="J89" s="93" t="str">
        <f t="shared" si="12"/>
        <v/>
      </c>
      <c r="K89" s="93" t="str">
        <f t="shared" si="13"/>
        <v>Not screened</v>
      </c>
      <c r="L89" s="93" t="str">
        <f t="shared" si="14"/>
        <v>No</v>
      </c>
      <c r="M89" s="93" t="str">
        <f t="shared" si="15"/>
        <v>No operating coal capacity recorded in GEM</v>
      </c>
      <c r="O89" s="35"/>
      <c r="P89" s="35"/>
    </row>
    <row r="90" spans="1:16" ht="20" customHeight="1">
      <c r="A90" s="70" t="s">
        <v>191</v>
      </c>
      <c r="B90" s="70" t="s">
        <v>192</v>
      </c>
      <c r="C90" s="93">
        <f>IF($B90="","",_xlfn.LET(_xlpm.x,IFERROR(_xlfn.XLOOKUP($B90,[1]comp_GEM_coal!$B$2:$B$110,[1]comp_GEM_coal!$C$2:$C$110,0,0),0),IF(ISNUMBER(_xlpm.x),_xlpm.x,0)))</f>
        <v>249881</v>
      </c>
      <c r="D90" s="93" t="str">
        <f t="shared" si="8"/>
        <v>Pass</v>
      </c>
      <c r="E90" s="93">
        <f>IF($B90="","",_xlfn.LET(_xlpm.src,IFERROR(_xlfn.XLOOKUP($B90,[1]clean_EMBER_2024!$D$5:$D$201,[1]clean_EMBER_2024!$J$5:$J$201,"",0),""),IF(ISNUMBER(_xlpm.src),_xlpm.src,"Missing")))</f>
        <v>74.53</v>
      </c>
      <c r="F90" s="93">
        <f>IF($B90="","",_xlfn.LET(_xlpm.x,IFERROR(_xlfn.XLOOKUP($B90,[1]comp_GEM_coal!$B$2:$B$110,[1]comp_GEM_coal!$F$2:$F$110,"",0),""),IF(ISNUMBER(_xlpm.x),_xlpm.x,"Missing")))</f>
        <v>30612.416334685971</v>
      </c>
      <c r="G90" s="93">
        <f t="shared" si="9"/>
        <v>1</v>
      </c>
      <c r="H90" s="93">
        <f t="shared" si="10"/>
        <v>1</v>
      </c>
      <c r="I90" s="93">
        <f t="shared" si="11"/>
        <v>1</v>
      </c>
      <c r="J90" s="93">
        <f t="shared" si="12"/>
        <v>3</v>
      </c>
      <c r="K90" s="93" t="str">
        <f t="shared" si="13"/>
        <v>Pass</v>
      </c>
      <c r="L90" s="93" t="str">
        <f t="shared" si="14"/>
        <v>Yes</v>
      </c>
      <c r="M90" s="93" t="str">
        <f t="shared" si="15"/>
        <v/>
      </c>
      <c r="O90" s="35"/>
      <c r="P90" s="35"/>
    </row>
    <row r="91" spans="1:16" ht="20" customHeight="1">
      <c r="A91" s="70" t="s">
        <v>189</v>
      </c>
      <c r="B91" s="70" t="s">
        <v>190</v>
      </c>
      <c r="C91" s="93">
        <f>IF($B91="","",_xlfn.LET(_xlpm.x,IFERROR(_xlfn.XLOOKUP($B91,[1]comp_GEM_coal!$B$2:$B$110,[1]comp_GEM_coal!$C$2:$C$110,0,0),0),IF(ISNUMBER(_xlpm.x),_xlpm.x,0)))</f>
        <v>60705</v>
      </c>
      <c r="D91" s="93" t="str">
        <f t="shared" si="8"/>
        <v>Pass</v>
      </c>
      <c r="E91" s="93">
        <f>IF($B91="","",_xlfn.LET(_xlpm.src,IFERROR(_xlfn.XLOOKUP($B91,[1]clean_EMBER_2024!$D$5:$D$201,[1]clean_EMBER_2024!$J$5:$J$201,"",0),""),IF(ISNUMBER(_xlpm.src),_xlpm.src,"Missing")))</f>
        <v>61.48</v>
      </c>
      <c r="F91" s="93">
        <f>IF($B91="","",_xlfn.LET(_xlpm.x,IFERROR(_xlfn.XLOOKUP($B91,[1]comp_GEM_coal!$B$2:$B$110,[1]comp_GEM_coal!$F$2:$F$110,"",0),""),IF(ISNUMBER(_xlpm.x),_xlpm.x,"Missing")))</f>
        <v>8199.9204164090024</v>
      </c>
      <c r="G91" s="93">
        <f t="shared" si="9"/>
        <v>1</v>
      </c>
      <c r="H91" s="93">
        <f t="shared" si="10"/>
        <v>1</v>
      </c>
      <c r="I91" s="93">
        <f t="shared" si="11"/>
        <v>1</v>
      </c>
      <c r="J91" s="93">
        <f t="shared" si="12"/>
        <v>3</v>
      </c>
      <c r="K91" s="93" t="str">
        <f t="shared" si="13"/>
        <v>Pass</v>
      </c>
      <c r="L91" s="93" t="str">
        <f t="shared" si="14"/>
        <v>Yes</v>
      </c>
      <c r="M91" s="93" t="str">
        <f t="shared" si="15"/>
        <v/>
      </c>
      <c r="O91" s="35"/>
      <c r="P91" s="35"/>
    </row>
    <row r="92" spans="1:16" ht="20" customHeight="1">
      <c r="A92" s="70" t="s">
        <v>195</v>
      </c>
      <c r="B92" s="70" t="s">
        <v>196</v>
      </c>
      <c r="C92" s="93">
        <f>IF($B92="","",_xlfn.LET(_xlpm.x,IFERROR(_xlfn.XLOOKUP($B92,[1]comp_GEM_coal!$B$2:$B$110,[1]comp_GEM_coal!$C$2:$C$110,0,0),0),IF(ISNUMBER(_xlpm.x),_xlpm.x,0)))</f>
        <v>0</v>
      </c>
      <c r="D92" s="93" t="str">
        <f t="shared" si="8"/>
        <v>Fail</v>
      </c>
      <c r="E92" s="93">
        <f>IF($B92="","",_xlfn.LET(_xlpm.src,IFERROR(_xlfn.XLOOKUP($B92,[1]clean_EMBER_2024!$D$5:$D$201,[1]clean_EMBER_2024!$J$5:$J$201,"",0),""),IF(ISNUMBER(_xlpm.src),_xlpm.src,"Missing")))</f>
        <v>0.18</v>
      </c>
      <c r="F92" s="93">
        <f>IF($B92="","",_xlfn.LET(_xlpm.x,IFERROR(_xlfn.XLOOKUP($B92,[1]comp_GEM_coal!$B$2:$B$110,[1]comp_GEM_coal!$F$2:$F$110,"",0),""),IF(ISNUMBER(_xlpm.x),_xlpm.x,"Missing")))</f>
        <v>0</v>
      </c>
      <c r="G92" s="93" t="str">
        <f t="shared" si="9"/>
        <v/>
      </c>
      <c r="H92" s="93" t="str">
        <f t="shared" si="10"/>
        <v/>
      </c>
      <c r="I92" s="93" t="str">
        <f t="shared" si="11"/>
        <v/>
      </c>
      <c r="J92" s="93" t="str">
        <f t="shared" si="12"/>
        <v/>
      </c>
      <c r="K92" s="93" t="str">
        <f t="shared" si="13"/>
        <v>Not screened</v>
      </c>
      <c r="L92" s="93" t="str">
        <f t="shared" si="14"/>
        <v>No</v>
      </c>
      <c r="M92" s="93" t="str">
        <f t="shared" si="15"/>
        <v>No operating coal capacity recorded in GEM</v>
      </c>
      <c r="O92" s="35"/>
      <c r="P92" s="35"/>
    </row>
    <row r="93" spans="1:16" ht="20" customHeight="1">
      <c r="A93" s="70" t="s">
        <v>197</v>
      </c>
      <c r="B93" s="70" t="s">
        <v>198</v>
      </c>
      <c r="C93" s="93">
        <f>IF($B93="","",_xlfn.LET(_xlpm.x,IFERROR(_xlfn.XLOOKUP($B93,[1]comp_GEM_coal!$B$2:$B$110,[1]comp_GEM_coal!$C$2:$C$110,0,0),0),IF(ISNUMBER(_xlpm.x),_xlpm.x,0)))</f>
        <v>0</v>
      </c>
      <c r="D93" s="93" t="str">
        <f t="shared" si="8"/>
        <v>Fail</v>
      </c>
      <c r="E93" s="93">
        <f>IF($B93="","",_xlfn.LET(_xlpm.src,IFERROR(_xlfn.XLOOKUP($B93,[1]clean_EMBER_2024!$D$5:$D$201,[1]clean_EMBER_2024!$J$5:$J$201,"",0),""),IF(ISNUMBER(_xlpm.src),_xlpm.src,"Missing")))</f>
        <v>0</v>
      </c>
      <c r="F93" s="93" t="str">
        <f>IF($B93="","",_xlfn.LET(_xlpm.x,IFERROR(_xlfn.XLOOKUP($B93,[1]comp_GEM_coal!$B$2:$B$110,[1]comp_GEM_coal!$F$2:$F$110,"",0),""),IF(ISNUMBER(_xlpm.x),_xlpm.x,"Missing")))</f>
        <v>Missing</v>
      </c>
      <c r="G93" s="93" t="str">
        <f t="shared" si="9"/>
        <v/>
      </c>
      <c r="H93" s="93" t="str">
        <f t="shared" si="10"/>
        <v/>
      </c>
      <c r="I93" s="93" t="str">
        <f t="shared" si="11"/>
        <v/>
      </c>
      <c r="J93" s="93" t="str">
        <f t="shared" si="12"/>
        <v/>
      </c>
      <c r="K93" s="93" t="str">
        <f t="shared" si="13"/>
        <v>Not screened</v>
      </c>
      <c r="L93" s="93" t="str">
        <f t="shared" si="14"/>
        <v>No</v>
      </c>
      <c r="M93" s="93" t="str">
        <f t="shared" si="15"/>
        <v>No operating coal capacity recorded in GEM</v>
      </c>
      <c r="O93" s="35"/>
      <c r="P93" s="35"/>
    </row>
    <row r="94" spans="1:16" ht="20" customHeight="1">
      <c r="A94" s="70" t="s">
        <v>193</v>
      </c>
      <c r="B94" s="70" t="s">
        <v>194</v>
      </c>
      <c r="C94" s="93">
        <f>IF($B94="","",_xlfn.LET(_xlpm.x,IFERROR(_xlfn.XLOOKUP($B94,[1]comp_GEM_coal!$B$2:$B$110,[1]comp_GEM_coal!$C$2:$C$110,0,0),0),IF(ISNUMBER(_xlpm.x),_xlpm.x,0)))</f>
        <v>0</v>
      </c>
      <c r="D94" s="93" t="str">
        <f t="shared" si="8"/>
        <v>Fail</v>
      </c>
      <c r="E94" s="93">
        <f>IF($B94="","",_xlfn.LET(_xlpm.src,IFERROR(_xlfn.XLOOKUP($B94,[1]clean_EMBER_2024!$D$5:$D$201,[1]clean_EMBER_2024!$J$5:$J$201,"",0),""),IF(ISNUMBER(_xlpm.src),_xlpm.src,"Missing")))</f>
        <v>2.0299999999999998</v>
      </c>
      <c r="F94" s="93">
        <f>IF($B94="","",_xlfn.LET(_xlpm.x,IFERROR(_xlfn.XLOOKUP($B94,[1]comp_GEM_coal!$B$2:$B$110,[1]comp_GEM_coal!$F$2:$F$110,"",0),""),IF(ISNUMBER(_xlpm.x),_xlpm.x,"Missing")))</f>
        <v>0</v>
      </c>
      <c r="G94" s="93" t="str">
        <f t="shared" si="9"/>
        <v/>
      </c>
      <c r="H94" s="93" t="str">
        <f t="shared" si="10"/>
        <v/>
      </c>
      <c r="I94" s="93" t="str">
        <f t="shared" si="11"/>
        <v/>
      </c>
      <c r="J94" s="93" t="str">
        <f t="shared" si="12"/>
        <v/>
      </c>
      <c r="K94" s="93" t="str">
        <f t="shared" si="13"/>
        <v>Not screened</v>
      </c>
      <c r="L94" s="93" t="str">
        <f t="shared" si="14"/>
        <v>No</v>
      </c>
      <c r="M94" s="93" t="str">
        <f t="shared" si="15"/>
        <v>No operating coal capacity recorded in GEM</v>
      </c>
      <c r="O94" s="35"/>
      <c r="P94" s="35"/>
    </row>
    <row r="95" spans="1:16" ht="20" customHeight="1">
      <c r="A95" s="70" t="s">
        <v>201</v>
      </c>
      <c r="B95" s="70" t="s">
        <v>202</v>
      </c>
      <c r="C95" s="93">
        <f>IF($B95="","",_xlfn.LET(_xlpm.x,IFERROR(_xlfn.XLOOKUP($B95,[1]comp_GEM_coal!$B$2:$B$110,[1]comp_GEM_coal!$C$2:$C$110,0,0),0),IF(ISNUMBER(_xlpm.x),_xlpm.x,0)))</f>
        <v>4325</v>
      </c>
      <c r="D95" s="93" t="str">
        <f t="shared" si="8"/>
        <v>Pass</v>
      </c>
      <c r="E95" s="93">
        <f>IF($B95="","",_xlfn.LET(_xlpm.src,IFERROR(_xlfn.XLOOKUP($B95,[1]clean_EMBER_2024!$D$5:$D$201,[1]clean_EMBER_2024!$J$5:$J$201,"",0),""),IF(ISNUMBER(_xlpm.src),_xlpm.src,"Missing")))</f>
        <v>14.3</v>
      </c>
      <c r="F95" s="93">
        <f>IF($B95="","",_xlfn.LET(_xlpm.x,IFERROR(_xlfn.XLOOKUP($B95,[1]comp_GEM_coal!$B$2:$B$110,[1]comp_GEM_coal!$F$2:$F$110,"",0),""),IF(ISNUMBER(_xlpm.x),_xlpm.x,"Missing")))</f>
        <v>14.573467167</v>
      </c>
      <c r="G95" s="93">
        <f t="shared" si="9"/>
        <v>1</v>
      </c>
      <c r="H95" s="93">
        <f t="shared" si="10"/>
        <v>0</v>
      </c>
      <c r="I95" s="93">
        <f t="shared" si="11"/>
        <v>0</v>
      </c>
      <c r="J95" s="93">
        <f t="shared" si="12"/>
        <v>1</v>
      </c>
      <c r="K95" s="93" t="str">
        <f t="shared" si="13"/>
        <v>Fail</v>
      </c>
      <c r="L95" s="93" t="str">
        <f t="shared" si="14"/>
        <v>No</v>
      </c>
      <c r="M95" s="93" t="str">
        <f t="shared" si="15"/>
        <v>Does not meet at least two material-opportunity thresholds</v>
      </c>
      <c r="O95" s="35"/>
      <c r="P95" s="35"/>
    </row>
    <row r="96" spans="1:16" ht="20" customHeight="1">
      <c r="A96" s="70" t="s">
        <v>203</v>
      </c>
      <c r="B96" s="70" t="s">
        <v>204</v>
      </c>
      <c r="C96" s="93">
        <f>IF($B96="","",_xlfn.LET(_xlpm.x,IFERROR(_xlfn.XLOOKUP($B96,[1]comp_GEM_coal!$B$2:$B$110,[1]comp_GEM_coal!$C$2:$C$110,0,0),0),IF(ISNUMBER(_xlpm.x),_xlpm.x,0)))</f>
        <v>1230</v>
      </c>
      <c r="D96" s="93" t="str">
        <f t="shared" si="8"/>
        <v>Pass</v>
      </c>
      <c r="E96" s="93">
        <f>IF($B96="","",_xlfn.LET(_xlpm.src,IFERROR(_xlfn.XLOOKUP($B96,[1]clean_EMBER_2024!$D$5:$D$201,[1]clean_EMBER_2024!$J$5:$J$201,"",0),""),IF(ISNUMBER(_xlpm.src),_xlpm.src,"Missing")))</f>
        <v>1.48</v>
      </c>
      <c r="F96" s="93">
        <f>IF($B96="","",_xlfn.LET(_xlpm.x,IFERROR(_xlfn.XLOOKUP($B96,[1]comp_GEM_coal!$B$2:$B$110,[1]comp_GEM_coal!$F$2:$F$110,"",0),""),IF(ISNUMBER(_xlpm.x),_xlpm.x,"Missing")))</f>
        <v>2.0945162389999998</v>
      </c>
      <c r="G96" s="93">
        <f t="shared" si="9"/>
        <v>0</v>
      </c>
      <c r="H96" s="93">
        <f t="shared" si="10"/>
        <v>0</v>
      </c>
      <c r="I96" s="93">
        <f t="shared" si="11"/>
        <v>0</v>
      </c>
      <c r="J96" s="93">
        <f t="shared" si="12"/>
        <v>0</v>
      </c>
      <c r="K96" s="93" t="str">
        <f t="shared" si="13"/>
        <v>Fail</v>
      </c>
      <c r="L96" s="93" t="str">
        <f t="shared" si="14"/>
        <v>No</v>
      </c>
      <c r="M96" s="93" t="str">
        <f t="shared" si="15"/>
        <v>Does not meet at least two material-opportunity thresholds</v>
      </c>
      <c r="O96" s="35"/>
      <c r="P96" s="35"/>
    </row>
    <row r="97" spans="1:16" ht="20" customHeight="1">
      <c r="A97" s="70" t="s">
        <v>205</v>
      </c>
      <c r="B97" s="70" t="s">
        <v>206</v>
      </c>
      <c r="C97" s="93">
        <f>IF($B97="","",_xlfn.LET(_xlpm.x,IFERROR(_xlfn.XLOOKUP($B97,[1]comp_GEM_coal!$B$2:$B$110,[1]comp_GEM_coal!$C$2:$C$110,0,0),0),IF(ISNUMBER(_xlpm.x),_xlpm.x,0)))</f>
        <v>0</v>
      </c>
      <c r="D97" s="93" t="str">
        <f t="shared" si="8"/>
        <v>Fail</v>
      </c>
      <c r="E97" s="93">
        <f>IF($B97="","",_xlfn.LET(_xlpm.src,IFERROR(_xlfn.XLOOKUP($B97,[1]clean_EMBER_2024!$D$5:$D$201,[1]clean_EMBER_2024!$J$5:$J$201,"",0),""),IF(ISNUMBER(_xlpm.src),_xlpm.src,"Missing")))</f>
        <v>0</v>
      </c>
      <c r="F97" s="93">
        <f>IF($B97="","",_xlfn.LET(_xlpm.x,IFERROR(_xlfn.XLOOKUP($B97,[1]comp_GEM_coal!$B$2:$B$110,[1]comp_GEM_coal!$F$2:$F$110,"",0),""),IF(ISNUMBER(_xlpm.x),_xlpm.x,"Missing")))</f>
        <v>0</v>
      </c>
      <c r="G97" s="93" t="str">
        <f t="shared" si="9"/>
        <v/>
      </c>
      <c r="H97" s="93" t="str">
        <f t="shared" si="10"/>
        <v/>
      </c>
      <c r="I97" s="93" t="str">
        <f t="shared" si="11"/>
        <v/>
      </c>
      <c r="J97" s="93" t="str">
        <f t="shared" si="12"/>
        <v/>
      </c>
      <c r="K97" s="93" t="str">
        <f t="shared" si="13"/>
        <v>Not screened</v>
      </c>
      <c r="L97" s="93" t="str">
        <f t="shared" si="14"/>
        <v>No</v>
      </c>
      <c r="M97" s="93" t="str">
        <f t="shared" si="15"/>
        <v>No operating coal capacity recorded in GEM</v>
      </c>
      <c r="O97" s="35"/>
      <c r="P97" s="35"/>
    </row>
    <row r="98" spans="1:16" ht="20" customHeight="1">
      <c r="A98" s="70" t="s">
        <v>211</v>
      </c>
      <c r="B98" s="70" t="s">
        <v>212</v>
      </c>
      <c r="C98" s="93">
        <f>IF($B98="","",_xlfn.LET(_xlpm.x,IFERROR(_xlfn.XLOOKUP($B98,[1]comp_GEM_coal!$B$2:$B$110,[1]comp_GEM_coal!$C$2:$C$110,0,0),0),IF(ISNUMBER(_xlpm.x),_xlpm.x,0)))</f>
        <v>53000</v>
      </c>
      <c r="D98" s="93" t="str">
        <f t="shared" si="8"/>
        <v>Pass</v>
      </c>
      <c r="E98" s="93">
        <f>IF($B98="","",_xlfn.LET(_xlpm.src,IFERROR(_xlfn.XLOOKUP($B98,[1]clean_EMBER_2024!$D$5:$D$201,[1]clean_EMBER_2024!$J$5:$J$201,"",0),""),IF(ISNUMBER(_xlpm.src),_xlpm.src,"Missing")))</f>
        <v>32.19</v>
      </c>
      <c r="F98" s="93">
        <f>IF($B98="","",_xlfn.LET(_xlpm.x,IFERROR(_xlfn.XLOOKUP($B98,[1]comp_GEM_coal!$B$2:$B$110,[1]comp_GEM_coal!$F$2:$F$110,"",0),""),IF(ISNUMBER(_xlpm.x),_xlpm.x,"Missing")))</f>
        <v>4077.5517644779998</v>
      </c>
      <c r="G98" s="93">
        <f t="shared" si="9"/>
        <v>1</v>
      </c>
      <c r="H98" s="93">
        <f t="shared" si="10"/>
        <v>1</v>
      </c>
      <c r="I98" s="93">
        <f t="shared" si="11"/>
        <v>1</v>
      </c>
      <c r="J98" s="93">
        <f t="shared" si="12"/>
        <v>3</v>
      </c>
      <c r="K98" s="93" t="str">
        <f t="shared" si="13"/>
        <v>Pass</v>
      </c>
      <c r="L98" s="93" t="str">
        <f t="shared" si="14"/>
        <v>Yes</v>
      </c>
      <c r="M98" s="93" t="str">
        <f t="shared" si="15"/>
        <v/>
      </c>
      <c r="O98" s="35"/>
      <c r="P98" s="35"/>
    </row>
    <row r="99" spans="1:16" ht="20" customHeight="1">
      <c r="A99" s="70" t="s">
        <v>207</v>
      </c>
      <c r="B99" s="70" t="s">
        <v>208</v>
      </c>
      <c r="C99" s="93">
        <f>IF($B99="","",_xlfn.LET(_xlpm.x,IFERROR(_xlfn.XLOOKUP($B99,[1]comp_GEM_coal!$B$2:$B$110,[1]comp_GEM_coal!$C$2:$C$110,0,0),0),IF(ISNUMBER(_xlpm.x),_xlpm.x,0)))</f>
        <v>0</v>
      </c>
      <c r="D99" s="93" t="str">
        <f t="shared" si="8"/>
        <v>Fail</v>
      </c>
      <c r="E99" s="93" t="str">
        <f>IF($B99="","",_xlfn.LET(_xlpm.src,IFERROR(_xlfn.XLOOKUP($B99,[1]clean_EMBER_2024!$D$5:$D$201,[1]clean_EMBER_2024!$J$5:$J$201,"",0),""),IF(ISNUMBER(_xlpm.src),_xlpm.src,"Missing")))</f>
        <v>Missing</v>
      </c>
      <c r="F99" s="93" t="str">
        <f>IF($B99="","",_xlfn.LET(_xlpm.x,IFERROR(_xlfn.XLOOKUP($B99,[1]comp_GEM_coal!$B$2:$B$110,[1]comp_GEM_coal!$F$2:$F$110,"",0),""),IF(ISNUMBER(_xlpm.x),_xlpm.x,"Missing")))</f>
        <v>Missing</v>
      </c>
      <c r="G99" s="93" t="str">
        <f t="shared" si="9"/>
        <v/>
      </c>
      <c r="H99" s="93" t="str">
        <f t="shared" si="10"/>
        <v/>
      </c>
      <c r="I99" s="93" t="str">
        <f t="shared" si="11"/>
        <v/>
      </c>
      <c r="J99" s="93" t="str">
        <f t="shared" si="12"/>
        <v/>
      </c>
      <c r="K99" s="93" t="str">
        <f t="shared" si="13"/>
        <v>Not screened</v>
      </c>
      <c r="L99" s="93" t="str">
        <f t="shared" si="14"/>
        <v>No</v>
      </c>
      <c r="M99" s="93" t="str">
        <f t="shared" si="15"/>
        <v>No operating coal capacity recorded in GEM</v>
      </c>
      <c r="O99" s="35"/>
      <c r="P99" s="35"/>
    </row>
    <row r="100" spans="1:16" ht="20" customHeight="1">
      <c r="A100" s="70" t="s">
        <v>209</v>
      </c>
      <c r="B100" s="70" t="s">
        <v>210</v>
      </c>
      <c r="C100" s="93">
        <f>IF($B100="","",_xlfn.LET(_xlpm.x,IFERROR(_xlfn.XLOOKUP($B100,[1]comp_GEM_coal!$B$2:$B$110,[1]comp_GEM_coal!$C$2:$C$110,0,0),0),IF(ISNUMBER(_xlpm.x),_xlpm.x,0)))</f>
        <v>0</v>
      </c>
      <c r="D100" s="93" t="str">
        <f t="shared" si="8"/>
        <v>Fail</v>
      </c>
      <c r="E100" s="93">
        <f>IF($B100="","",_xlfn.LET(_xlpm.src,IFERROR(_xlfn.XLOOKUP($B100,[1]clean_EMBER_2024!$D$5:$D$201,[1]clean_EMBER_2024!$J$5:$J$201,"",0),""),IF(ISNUMBER(_xlpm.src),_xlpm.src,"Missing")))</f>
        <v>0</v>
      </c>
      <c r="F100" s="93" t="str">
        <f>IF($B100="","",_xlfn.LET(_xlpm.x,IFERROR(_xlfn.XLOOKUP($B100,[1]comp_GEM_coal!$B$2:$B$110,[1]comp_GEM_coal!$F$2:$F$110,"",0),""),IF(ISNUMBER(_xlpm.x),_xlpm.x,"Missing")))</f>
        <v>Missing</v>
      </c>
      <c r="G100" s="93" t="str">
        <f t="shared" si="9"/>
        <v/>
      </c>
      <c r="H100" s="93" t="str">
        <f t="shared" si="10"/>
        <v/>
      </c>
      <c r="I100" s="93" t="str">
        <f t="shared" si="11"/>
        <v/>
      </c>
      <c r="J100" s="93" t="str">
        <f t="shared" si="12"/>
        <v/>
      </c>
      <c r="K100" s="93" t="str">
        <f t="shared" si="13"/>
        <v>Not screened</v>
      </c>
      <c r="L100" s="93" t="str">
        <f t="shared" si="14"/>
        <v>No</v>
      </c>
      <c r="M100" s="93" t="str">
        <f t="shared" si="15"/>
        <v>No operating coal capacity recorded in GEM</v>
      </c>
      <c r="O100" s="35"/>
      <c r="P100" s="35"/>
    </row>
    <row r="101" spans="1:16" ht="20" customHeight="1">
      <c r="A101" s="70" t="s">
        <v>213</v>
      </c>
      <c r="B101" s="70" t="s">
        <v>214</v>
      </c>
      <c r="C101" s="93">
        <f>IF($B101="","",_xlfn.LET(_xlpm.x,IFERROR(_xlfn.XLOOKUP($B101,[1]comp_GEM_coal!$B$2:$B$110,[1]comp_GEM_coal!$C$2:$C$110,0,0),0),IF(ISNUMBER(_xlpm.x),_xlpm.x,0)))</f>
        <v>13251</v>
      </c>
      <c r="D101" s="93" t="str">
        <f t="shared" si="8"/>
        <v>Pass</v>
      </c>
      <c r="E101" s="93">
        <f>IF($B101="","",_xlfn.LET(_xlpm.src,IFERROR(_xlfn.XLOOKUP($B101,[1]clean_EMBER_2024!$D$5:$D$201,[1]clean_EMBER_2024!$J$5:$J$201,"",0),""),IF(ISNUMBER(_xlpm.src),_xlpm.src,"Missing")))</f>
        <v>54.03</v>
      </c>
      <c r="F101" s="93">
        <f>IF($B101="","",_xlfn.LET(_xlpm.x,IFERROR(_xlfn.XLOOKUP($B101,[1]comp_GEM_coal!$B$2:$B$110,[1]comp_GEM_coal!$F$2:$F$110,"",0),""),IF(ISNUMBER(_xlpm.x),_xlpm.x,"Missing")))</f>
        <v>522.58517739700028</v>
      </c>
      <c r="G101" s="93">
        <f t="shared" si="9"/>
        <v>1</v>
      </c>
      <c r="H101" s="93">
        <f t="shared" si="10"/>
        <v>1</v>
      </c>
      <c r="I101" s="93">
        <f t="shared" si="11"/>
        <v>1</v>
      </c>
      <c r="J101" s="93">
        <f t="shared" si="12"/>
        <v>3</v>
      </c>
      <c r="K101" s="93" t="str">
        <f t="shared" si="13"/>
        <v>Pass</v>
      </c>
      <c r="L101" s="93" t="str">
        <f t="shared" si="14"/>
        <v>Yes</v>
      </c>
      <c r="M101" s="93" t="str">
        <f t="shared" si="15"/>
        <v/>
      </c>
      <c r="O101" s="35"/>
      <c r="P101" s="35"/>
    </row>
    <row r="102" spans="1:16" ht="20" customHeight="1">
      <c r="A102" s="70" t="s">
        <v>215</v>
      </c>
      <c r="B102" s="70" t="s">
        <v>216</v>
      </c>
      <c r="C102" s="93">
        <f>IF($B102="","",_xlfn.LET(_xlpm.x,IFERROR(_xlfn.XLOOKUP($B102,[1]comp_GEM_coal!$B$2:$B$110,[1]comp_GEM_coal!$C$2:$C$110,0,0),0),IF(ISNUMBER(_xlpm.x),_xlpm.x,0)))</f>
        <v>0</v>
      </c>
      <c r="D102" s="93" t="str">
        <f t="shared" si="8"/>
        <v>Fail</v>
      </c>
      <c r="E102" s="93">
        <f>IF($B102="","",_xlfn.LET(_xlpm.src,IFERROR(_xlfn.XLOOKUP($B102,[1]clean_EMBER_2024!$D$5:$D$201,[1]clean_EMBER_2024!$J$5:$J$201,"",0),""),IF(ISNUMBER(_xlpm.src),_xlpm.src,"Missing")))</f>
        <v>0</v>
      </c>
      <c r="F102" s="93">
        <f>IF($B102="","",_xlfn.LET(_xlpm.x,IFERROR(_xlfn.XLOOKUP($B102,[1]comp_GEM_coal!$B$2:$B$110,[1]comp_GEM_coal!$F$2:$F$110,"",0),""),IF(ISNUMBER(_xlpm.x),_xlpm.x,"Missing")))</f>
        <v>0</v>
      </c>
      <c r="G102" s="93" t="str">
        <f t="shared" si="9"/>
        <v/>
      </c>
      <c r="H102" s="93" t="str">
        <f t="shared" si="10"/>
        <v/>
      </c>
      <c r="I102" s="93" t="str">
        <f t="shared" si="11"/>
        <v/>
      </c>
      <c r="J102" s="93" t="str">
        <f t="shared" si="12"/>
        <v/>
      </c>
      <c r="K102" s="93" t="str">
        <f t="shared" si="13"/>
        <v>Not screened</v>
      </c>
      <c r="L102" s="93" t="str">
        <f t="shared" si="14"/>
        <v>No</v>
      </c>
      <c r="M102" s="93" t="str">
        <f t="shared" si="15"/>
        <v>No operating coal capacity recorded in GEM</v>
      </c>
      <c r="O102" s="35"/>
      <c r="P102" s="35"/>
    </row>
    <row r="103" spans="1:16" ht="20" customHeight="1">
      <c r="A103" s="70" t="s">
        <v>220</v>
      </c>
      <c r="B103" s="70" t="s">
        <v>221</v>
      </c>
      <c r="C103" s="93">
        <f>IF($B103="","",_xlfn.LET(_xlpm.x,IFERROR(_xlfn.XLOOKUP($B103,[1]comp_GEM_coal!$B$2:$B$110,[1]comp_GEM_coal!$C$2:$C$110,0,0),0),IF(ISNUMBER(_xlpm.x),_xlpm.x,0)))</f>
        <v>0</v>
      </c>
      <c r="D103" s="93" t="str">
        <f t="shared" si="8"/>
        <v>Fail</v>
      </c>
      <c r="E103" s="93">
        <f>IF($B103="","",_xlfn.LET(_xlpm.src,IFERROR(_xlfn.XLOOKUP($B103,[1]clean_EMBER_2024!$D$5:$D$201,[1]clean_EMBER_2024!$J$5:$J$201,"",0),""),IF(ISNUMBER(_xlpm.src),_xlpm.src,"Missing")))</f>
        <v>0</v>
      </c>
      <c r="F103" s="93" t="str">
        <f>IF($B103="","",_xlfn.LET(_xlpm.x,IFERROR(_xlfn.XLOOKUP($B103,[1]comp_GEM_coal!$B$2:$B$110,[1]comp_GEM_coal!$F$2:$F$110,"",0),""),IF(ISNUMBER(_xlpm.x),_xlpm.x,"Missing")))</f>
        <v>Missing</v>
      </c>
      <c r="G103" s="93" t="str">
        <f t="shared" si="9"/>
        <v/>
      </c>
      <c r="H103" s="93" t="str">
        <f t="shared" si="10"/>
        <v/>
      </c>
      <c r="I103" s="93" t="str">
        <f t="shared" si="11"/>
        <v/>
      </c>
      <c r="J103" s="93" t="str">
        <f t="shared" si="12"/>
        <v/>
      </c>
      <c r="K103" s="93" t="str">
        <f t="shared" si="13"/>
        <v>Not screened</v>
      </c>
      <c r="L103" s="93" t="str">
        <f t="shared" si="14"/>
        <v>No</v>
      </c>
      <c r="M103" s="93" t="str">
        <f t="shared" si="15"/>
        <v>No operating coal capacity recorded in GEM</v>
      </c>
      <c r="O103" s="35"/>
      <c r="P103" s="35"/>
    </row>
    <row r="104" spans="1:16" ht="20" customHeight="1">
      <c r="A104" s="70" t="s">
        <v>430</v>
      </c>
      <c r="B104" s="70" t="s">
        <v>431</v>
      </c>
      <c r="C104" s="93">
        <f>IF($B104="","",_xlfn.LET(_xlpm.x,IFERROR(_xlfn.XLOOKUP($B104,[1]comp_GEM_coal!$B$2:$B$110,[1]comp_GEM_coal!$C$2:$C$110,0,0),0),IF(ISNUMBER(_xlpm.x),_xlpm.x,0)))</f>
        <v>1325</v>
      </c>
      <c r="D104" s="93" t="str">
        <f t="shared" si="8"/>
        <v>Pass</v>
      </c>
      <c r="E104" s="93">
        <f>IF($B104="","",_xlfn.LET(_xlpm.src,IFERROR(_xlfn.XLOOKUP($B104,[1]clean_EMBER_2024!$D$5:$D$201,[1]clean_EMBER_2024!$J$5:$J$201,"",0),""),IF(ISNUMBER(_xlpm.src),_xlpm.src,"Missing")))</f>
        <v>91.26</v>
      </c>
      <c r="F104" s="93">
        <f>IF($B104="","",_xlfn.LET(_xlpm.x,IFERROR(_xlfn.XLOOKUP($B104,[1]comp_GEM_coal!$B$2:$B$110,[1]comp_GEM_coal!$F$2:$F$110,"",0),""),IF(ISNUMBER(_xlpm.x),_xlpm.x,"Missing")))</f>
        <v>27.713133894000002</v>
      </c>
      <c r="G104" s="93">
        <f t="shared" si="9"/>
        <v>0</v>
      </c>
      <c r="H104" s="93">
        <f t="shared" si="10"/>
        <v>1</v>
      </c>
      <c r="I104" s="93">
        <f t="shared" si="11"/>
        <v>0</v>
      </c>
      <c r="J104" s="93">
        <f t="shared" si="12"/>
        <v>1</v>
      </c>
      <c r="K104" s="93" t="str">
        <f t="shared" si="13"/>
        <v>Fail</v>
      </c>
      <c r="L104" s="93" t="str">
        <f t="shared" si="14"/>
        <v>No</v>
      </c>
      <c r="M104" s="93" t="str">
        <f t="shared" si="15"/>
        <v>Does not meet at least two material-opportunity thresholds</v>
      </c>
      <c r="O104" s="35"/>
      <c r="P104" s="35"/>
    </row>
    <row r="105" spans="1:16" ht="20" customHeight="1">
      <c r="A105" s="70" t="s">
        <v>225</v>
      </c>
      <c r="B105" s="70" t="s">
        <v>226</v>
      </c>
      <c r="C105" s="93">
        <f>IF($B105="","",_xlfn.LET(_xlpm.x,IFERROR(_xlfn.XLOOKUP($B105,[1]comp_GEM_coal!$B$2:$B$110,[1]comp_GEM_coal!$C$2:$C$110,0,0),0),IF(ISNUMBER(_xlpm.x),_xlpm.x,0)))</f>
        <v>0</v>
      </c>
      <c r="D105" s="93" t="str">
        <f t="shared" si="8"/>
        <v>Fail</v>
      </c>
      <c r="E105" s="93">
        <f>IF($B105="","",_xlfn.LET(_xlpm.src,IFERROR(_xlfn.XLOOKUP($B105,[1]clean_EMBER_2024!$D$5:$D$201,[1]clean_EMBER_2024!$J$5:$J$201,"",0),""),IF(ISNUMBER(_xlpm.src),_xlpm.src,"Missing")))</f>
        <v>0</v>
      </c>
      <c r="F105" s="93" t="str">
        <f>IF($B105="","",_xlfn.LET(_xlpm.x,IFERROR(_xlfn.XLOOKUP($B105,[1]comp_GEM_coal!$B$2:$B$110,[1]comp_GEM_coal!$F$2:$F$110,"",0),""),IF(ISNUMBER(_xlpm.x),_xlpm.x,"Missing")))</f>
        <v>Missing</v>
      </c>
      <c r="G105" s="93" t="str">
        <f t="shared" si="9"/>
        <v/>
      </c>
      <c r="H105" s="93" t="str">
        <f t="shared" si="10"/>
        <v/>
      </c>
      <c r="I105" s="93" t="str">
        <f t="shared" si="11"/>
        <v/>
      </c>
      <c r="J105" s="93" t="str">
        <f t="shared" si="12"/>
        <v/>
      </c>
      <c r="K105" s="93" t="str">
        <f t="shared" si="13"/>
        <v>Not screened</v>
      </c>
      <c r="L105" s="93" t="str">
        <f t="shared" si="14"/>
        <v>No</v>
      </c>
      <c r="M105" s="93" t="str">
        <f t="shared" si="15"/>
        <v>No operating coal capacity recorded in GEM</v>
      </c>
      <c r="O105" s="35"/>
      <c r="P105" s="35"/>
    </row>
    <row r="106" spans="1:16" ht="20" customHeight="1">
      <c r="A106" s="35" t="s">
        <v>477</v>
      </c>
      <c r="B106" s="70" t="s">
        <v>217</v>
      </c>
      <c r="C106" s="93">
        <f>IF($B106="","",_xlfn.LET(_xlpm.x,IFERROR(_xlfn.XLOOKUP($B106,[1]comp_GEM_coal!$B$2:$B$110,[1]comp_GEM_coal!$C$2:$C$110,0,0),0),IF(ISNUMBER(_xlpm.x),_xlpm.x,0)))</f>
        <v>813</v>
      </c>
      <c r="D106" s="93" t="str">
        <f t="shared" si="8"/>
        <v>Pass</v>
      </c>
      <c r="E106" s="93">
        <f>IF($B106="","",_xlfn.LET(_xlpm.src,IFERROR(_xlfn.XLOOKUP($B106,[1]clean_EMBER_2024!$D$5:$D$201,[1]clean_EMBER_2024!$J$5:$J$201,"",0),""),IF(ISNUMBER(_xlpm.src),_xlpm.src,"Missing")))</f>
        <v>9.6999999999999993</v>
      </c>
      <c r="F106" s="93">
        <f>IF($B106="","",_xlfn.LET(_xlpm.x,IFERROR(_xlfn.XLOOKUP($B106,[1]comp_GEM_coal!$B$2:$B$110,[1]comp_GEM_coal!$F$2:$F$110,"",0),""),IF(ISNUMBER(_xlpm.x),_xlpm.x,"Missing")))</f>
        <v>13.589382368999999</v>
      </c>
      <c r="G106" s="93">
        <f t="shared" si="9"/>
        <v>0</v>
      </c>
      <c r="H106" s="93">
        <f t="shared" si="10"/>
        <v>0</v>
      </c>
      <c r="I106" s="93">
        <f t="shared" si="11"/>
        <v>0</v>
      </c>
      <c r="J106" s="93">
        <f t="shared" si="12"/>
        <v>0</v>
      </c>
      <c r="K106" s="93" t="str">
        <f t="shared" si="13"/>
        <v>Fail</v>
      </c>
      <c r="L106" s="93" t="str">
        <f t="shared" si="14"/>
        <v>No</v>
      </c>
      <c r="M106" s="93" t="str">
        <f t="shared" si="15"/>
        <v>Does not meet at least two material-opportunity thresholds</v>
      </c>
      <c r="O106" s="35"/>
      <c r="P106" s="35"/>
    </row>
    <row r="107" spans="1:16" ht="20" customHeight="1">
      <c r="A107" s="70" t="s">
        <v>857</v>
      </c>
      <c r="B107" s="70" t="s">
        <v>227</v>
      </c>
      <c r="C107" s="93">
        <f>IF($B107="","",_xlfn.LET(_xlpm.x,IFERROR(_xlfn.XLOOKUP($B107,[1]comp_GEM_coal!$B$2:$B$110,[1]comp_GEM_coal!$C$2:$C$110,0,0),0),IF(ISNUMBER(_xlpm.x),_xlpm.x,0)))</f>
        <v>1878</v>
      </c>
      <c r="D107" s="93" t="str">
        <f t="shared" si="8"/>
        <v>Pass</v>
      </c>
      <c r="E107" s="93">
        <f>IF($B107="","",_xlfn.LET(_xlpm.src,IFERROR(_xlfn.XLOOKUP($B107,[1]clean_EMBER_2024!$D$5:$D$201,[1]clean_EMBER_2024!$J$5:$J$201,"",0),""),IF(ISNUMBER(_xlpm.src),_xlpm.src,"Missing")))</f>
        <v>23.28</v>
      </c>
      <c r="F107" s="93">
        <f>IF($B107="","",_xlfn.LET(_xlpm.x,IFERROR(_xlfn.XLOOKUP($B107,[1]comp_GEM_coal!$B$2:$B$110,[1]comp_GEM_coal!$F$2:$F$110,"",0),""),IF(ISNUMBER(_xlpm.x),_xlpm.x,"Missing")))</f>
        <v>226.54858357000001</v>
      </c>
      <c r="G107" s="93">
        <f t="shared" si="9"/>
        <v>0</v>
      </c>
      <c r="H107" s="93">
        <f t="shared" si="10"/>
        <v>1</v>
      </c>
      <c r="I107" s="93">
        <f t="shared" si="11"/>
        <v>1</v>
      </c>
      <c r="J107" s="93">
        <f t="shared" si="12"/>
        <v>2</v>
      </c>
      <c r="K107" s="93" t="str">
        <f t="shared" si="13"/>
        <v>Pass</v>
      </c>
      <c r="L107" s="93" t="str">
        <f t="shared" si="14"/>
        <v>Yes</v>
      </c>
      <c r="M107" s="93" t="str">
        <f t="shared" si="15"/>
        <v/>
      </c>
      <c r="O107" s="35"/>
      <c r="P107" s="35"/>
    </row>
    <row r="108" spans="1:16" ht="20" customHeight="1">
      <c r="A108" s="70" t="s">
        <v>246</v>
      </c>
      <c r="B108" s="70" t="s">
        <v>247</v>
      </c>
      <c r="C108" s="93">
        <f>IF($B108="","",_xlfn.LET(_xlpm.x,IFERROR(_xlfn.XLOOKUP($B108,[1]comp_GEM_coal!$B$2:$B$110,[1]comp_GEM_coal!$C$2:$C$110,0,0),0),IF(ISNUMBER(_xlpm.x),_xlpm.x,0)))</f>
        <v>0</v>
      </c>
      <c r="D108" s="93" t="str">
        <f t="shared" si="8"/>
        <v>Fail</v>
      </c>
      <c r="E108" s="93">
        <f>IF($B108="","",_xlfn.LET(_xlpm.src,IFERROR(_xlfn.XLOOKUP($B108,[1]clean_EMBER_2024!$D$5:$D$201,[1]clean_EMBER_2024!$J$5:$J$201,"",0),""),IF(ISNUMBER(_xlpm.src),_xlpm.src,"Missing")))</f>
        <v>0</v>
      </c>
      <c r="F108" s="93">
        <f>IF($B108="","",_xlfn.LET(_xlpm.x,IFERROR(_xlfn.XLOOKUP($B108,[1]comp_GEM_coal!$B$2:$B$110,[1]comp_GEM_coal!$F$2:$F$110,"",0),""),IF(ISNUMBER(_xlpm.x),_xlpm.x,"Missing")))</f>
        <v>0</v>
      </c>
      <c r="G108" s="93" t="str">
        <f t="shared" si="9"/>
        <v/>
      </c>
      <c r="H108" s="93" t="str">
        <f t="shared" si="10"/>
        <v/>
      </c>
      <c r="I108" s="93" t="str">
        <f t="shared" si="11"/>
        <v/>
      </c>
      <c r="J108" s="93" t="str">
        <f t="shared" si="12"/>
        <v/>
      </c>
      <c r="K108" s="93" t="str">
        <f t="shared" si="13"/>
        <v>Not screened</v>
      </c>
      <c r="L108" s="93" t="str">
        <f t="shared" si="14"/>
        <v>No</v>
      </c>
      <c r="M108" s="93" t="str">
        <f t="shared" si="15"/>
        <v>No operating coal capacity recorded in GEM</v>
      </c>
      <c r="O108" s="35"/>
      <c r="P108" s="35"/>
    </row>
    <row r="109" spans="1:16" ht="20" customHeight="1">
      <c r="A109" s="70" t="s">
        <v>228</v>
      </c>
      <c r="B109" s="70" t="s">
        <v>229</v>
      </c>
      <c r="C109" s="93">
        <f>IF($B109="","",_xlfn.LET(_xlpm.x,IFERROR(_xlfn.XLOOKUP($B109,[1]comp_GEM_coal!$B$2:$B$110,[1]comp_GEM_coal!$C$2:$C$110,0,0),0),IF(ISNUMBER(_xlpm.x),_xlpm.x,0)))</f>
        <v>0</v>
      </c>
      <c r="D109" s="93" t="str">
        <f t="shared" si="8"/>
        <v>Fail</v>
      </c>
      <c r="E109" s="93">
        <f>IF($B109="","",_xlfn.LET(_xlpm.src,IFERROR(_xlfn.XLOOKUP($B109,[1]clean_EMBER_2024!$D$5:$D$201,[1]clean_EMBER_2024!$J$5:$J$201,"",0),""),IF(ISNUMBER(_xlpm.src),_xlpm.src,"Missing")))</f>
        <v>0</v>
      </c>
      <c r="F109" s="93" t="str">
        <f>IF($B109="","",_xlfn.LET(_xlpm.x,IFERROR(_xlfn.XLOOKUP($B109,[1]comp_GEM_coal!$B$2:$B$110,[1]comp_GEM_coal!$F$2:$F$110,"",0),""),IF(ISNUMBER(_xlpm.x),_xlpm.x,"Missing")))</f>
        <v>Missing</v>
      </c>
      <c r="G109" s="93" t="str">
        <f t="shared" si="9"/>
        <v/>
      </c>
      <c r="H109" s="93" t="str">
        <f t="shared" si="10"/>
        <v/>
      </c>
      <c r="I109" s="93" t="str">
        <f t="shared" si="11"/>
        <v/>
      </c>
      <c r="J109" s="93" t="str">
        <f t="shared" si="12"/>
        <v/>
      </c>
      <c r="K109" s="93" t="str">
        <f t="shared" si="13"/>
        <v>Not screened</v>
      </c>
      <c r="L109" s="93" t="str">
        <f t="shared" si="14"/>
        <v>No</v>
      </c>
      <c r="M109" s="93" t="str">
        <f t="shared" si="15"/>
        <v>No operating coal capacity recorded in GEM</v>
      </c>
      <c r="O109" s="35"/>
      <c r="P109" s="35"/>
    </row>
    <row r="110" spans="1:16" ht="20" customHeight="1">
      <c r="A110" s="70" t="s">
        <v>240</v>
      </c>
      <c r="B110" s="70" t="s">
        <v>241</v>
      </c>
      <c r="C110" s="93">
        <f>IF($B110="","",_xlfn.LET(_xlpm.x,IFERROR(_xlfn.XLOOKUP($B110,[1]comp_GEM_coal!$B$2:$B$110,[1]comp_GEM_coal!$C$2:$C$110,0,0),0),IF(ISNUMBER(_xlpm.x),_xlpm.x,0)))</f>
        <v>0</v>
      </c>
      <c r="D110" s="93" t="str">
        <f t="shared" si="8"/>
        <v>Fail</v>
      </c>
      <c r="E110" s="93">
        <f>IF($B110="","",_xlfn.LET(_xlpm.src,IFERROR(_xlfn.XLOOKUP($B110,[1]clean_EMBER_2024!$D$5:$D$201,[1]clean_EMBER_2024!$J$5:$J$201,"",0),""),IF(ISNUMBER(_xlpm.src),_xlpm.src,"Missing")))</f>
        <v>0</v>
      </c>
      <c r="F110" s="93" t="str">
        <f>IF($B110="","",_xlfn.LET(_xlpm.x,IFERROR(_xlfn.XLOOKUP($B110,[1]comp_GEM_coal!$B$2:$B$110,[1]comp_GEM_coal!$F$2:$F$110,"",0),""),IF(ISNUMBER(_xlpm.x),_xlpm.x,"Missing")))</f>
        <v>Missing</v>
      </c>
      <c r="G110" s="93" t="str">
        <f t="shared" si="9"/>
        <v/>
      </c>
      <c r="H110" s="93" t="str">
        <f t="shared" si="10"/>
        <v/>
      </c>
      <c r="I110" s="93" t="str">
        <f t="shared" si="11"/>
        <v/>
      </c>
      <c r="J110" s="93" t="str">
        <f t="shared" si="12"/>
        <v/>
      </c>
      <c r="K110" s="93" t="str">
        <f t="shared" si="13"/>
        <v>Not screened</v>
      </c>
      <c r="L110" s="93" t="str">
        <f t="shared" si="14"/>
        <v>No</v>
      </c>
      <c r="M110" s="93" t="str">
        <f t="shared" si="15"/>
        <v>No operating coal capacity recorded in GEM</v>
      </c>
      <c r="O110" s="35"/>
      <c r="P110" s="35"/>
    </row>
    <row r="111" spans="1:16" ht="20" customHeight="1">
      <c r="A111" s="70" t="s">
        <v>230</v>
      </c>
      <c r="B111" s="70" t="s">
        <v>231</v>
      </c>
      <c r="C111" s="93">
        <f>IF($B111="","",_xlfn.LET(_xlpm.x,IFERROR(_xlfn.XLOOKUP($B111,[1]comp_GEM_coal!$B$2:$B$110,[1]comp_GEM_coal!$C$2:$C$110,0,0),0),IF(ISNUMBER(_xlpm.x),_xlpm.x,0)))</f>
        <v>0</v>
      </c>
      <c r="D111" s="93" t="str">
        <f t="shared" si="8"/>
        <v>Fail</v>
      </c>
      <c r="E111" s="93">
        <f>IF($B111="","",_xlfn.LET(_xlpm.src,IFERROR(_xlfn.XLOOKUP($B111,[1]clean_EMBER_2024!$D$5:$D$201,[1]clean_EMBER_2024!$J$5:$J$201,"",0),""),IF(ISNUMBER(_xlpm.src),_xlpm.src,"Missing")))</f>
        <v>0</v>
      </c>
      <c r="F111" s="93" t="str">
        <f>IF($B111="","",_xlfn.LET(_xlpm.x,IFERROR(_xlfn.XLOOKUP($B111,[1]comp_GEM_coal!$B$2:$B$110,[1]comp_GEM_coal!$F$2:$F$110,"",0),""),IF(ISNUMBER(_xlpm.x),_xlpm.x,"Missing")))</f>
        <v>Missing</v>
      </c>
      <c r="G111" s="93" t="str">
        <f t="shared" si="9"/>
        <v/>
      </c>
      <c r="H111" s="93" t="str">
        <f t="shared" si="10"/>
        <v/>
      </c>
      <c r="I111" s="93" t="str">
        <f t="shared" si="11"/>
        <v/>
      </c>
      <c r="J111" s="93" t="str">
        <f t="shared" si="12"/>
        <v/>
      </c>
      <c r="K111" s="93" t="str">
        <f t="shared" si="13"/>
        <v>Not screened</v>
      </c>
      <c r="L111" s="93" t="str">
        <f t="shared" si="14"/>
        <v>No</v>
      </c>
      <c r="M111" s="93" t="str">
        <f t="shared" si="15"/>
        <v>No operating coal capacity recorded in GEM</v>
      </c>
      <c r="O111" s="35"/>
      <c r="P111" s="35"/>
    </row>
    <row r="112" spans="1:16" ht="20" customHeight="1">
      <c r="A112" s="70" t="s">
        <v>232</v>
      </c>
      <c r="B112" s="70" t="s">
        <v>233</v>
      </c>
      <c r="C112" s="93">
        <f>IF($B112="","",_xlfn.LET(_xlpm.x,IFERROR(_xlfn.XLOOKUP($B112,[1]comp_GEM_coal!$B$2:$B$110,[1]comp_GEM_coal!$C$2:$C$110,0,0),0),IF(ISNUMBER(_xlpm.x),_xlpm.x,0)))</f>
        <v>0</v>
      </c>
      <c r="D112" s="93" t="str">
        <f t="shared" si="8"/>
        <v>Fail</v>
      </c>
      <c r="E112" s="93">
        <f>IF($B112="","",_xlfn.LET(_xlpm.src,IFERROR(_xlfn.XLOOKUP($B112,[1]clean_EMBER_2024!$D$5:$D$201,[1]clean_EMBER_2024!$J$5:$J$201,"",0),""),IF(ISNUMBER(_xlpm.src),_xlpm.src,"Missing")))</f>
        <v>0</v>
      </c>
      <c r="F112" s="93" t="str">
        <f>IF($B112="","",_xlfn.LET(_xlpm.x,IFERROR(_xlfn.XLOOKUP($B112,[1]comp_GEM_coal!$B$2:$B$110,[1]comp_GEM_coal!$F$2:$F$110,"",0),""),IF(ISNUMBER(_xlpm.x),_xlpm.x,"Missing")))</f>
        <v>Missing</v>
      </c>
      <c r="G112" s="93" t="str">
        <f t="shared" si="9"/>
        <v/>
      </c>
      <c r="H112" s="93" t="str">
        <f t="shared" si="10"/>
        <v/>
      </c>
      <c r="I112" s="93" t="str">
        <f t="shared" si="11"/>
        <v/>
      </c>
      <c r="J112" s="93" t="str">
        <f t="shared" si="12"/>
        <v/>
      </c>
      <c r="K112" s="93" t="str">
        <f t="shared" si="13"/>
        <v>Not screened</v>
      </c>
      <c r="L112" s="93" t="str">
        <f t="shared" si="14"/>
        <v>No</v>
      </c>
      <c r="M112" s="93" t="str">
        <f t="shared" si="15"/>
        <v>No operating coal capacity recorded in GEM</v>
      </c>
      <c r="O112" s="35"/>
      <c r="P112" s="35"/>
    </row>
    <row r="113" spans="1:16" ht="20" customHeight="1">
      <c r="A113" s="70" t="s">
        <v>236</v>
      </c>
      <c r="B113" s="70" t="s">
        <v>237</v>
      </c>
      <c r="C113" s="93">
        <f>IF($B113="","",_xlfn.LET(_xlpm.x,IFERROR(_xlfn.XLOOKUP($B113,[1]comp_GEM_coal!$B$2:$B$110,[1]comp_GEM_coal!$C$2:$C$110,0,0),0),IF(ISNUMBER(_xlpm.x),_xlpm.x,0)))</f>
        <v>0</v>
      </c>
      <c r="D113" s="93" t="str">
        <f t="shared" si="8"/>
        <v>Fail</v>
      </c>
      <c r="E113" s="93" t="str">
        <f>IF($B113="","",_xlfn.LET(_xlpm.src,IFERROR(_xlfn.XLOOKUP($B113,[1]clean_EMBER_2024!$D$5:$D$201,[1]clean_EMBER_2024!$J$5:$J$201,"",0),""),IF(ISNUMBER(_xlpm.src),_xlpm.src,"Missing")))</f>
        <v>Missing</v>
      </c>
      <c r="F113" s="93" t="str">
        <f>IF($B113="","",_xlfn.LET(_xlpm.x,IFERROR(_xlfn.XLOOKUP($B113,[1]comp_GEM_coal!$B$2:$B$110,[1]comp_GEM_coal!$F$2:$F$110,"",0),""),IF(ISNUMBER(_xlpm.x),_xlpm.x,"Missing")))</f>
        <v>Missing</v>
      </c>
      <c r="G113" s="93" t="str">
        <f t="shared" si="9"/>
        <v/>
      </c>
      <c r="H113" s="93" t="str">
        <f t="shared" si="10"/>
        <v/>
      </c>
      <c r="I113" s="93" t="str">
        <f t="shared" si="11"/>
        <v/>
      </c>
      <c r="J113" s="93" t="str">
        <f t="shared" si="12"/>
        <v/>
      </c>
      <c r="K113" s="93" t="str">
        <f t="shared" si="13"/>
        <v>Not screened</v>
      </c>
      <c r="L113" s="93" t="str">
        <f t="shared" si="14"/>
        <v>No</v>
      </c>
      <c r="M113" s="93" t="str">
        <f t="shared" si="15"/>
        <v>No operating coal capacity recorded in GEM</v>
      </c>
      <c r="O113" s="35"/>
      <c r="P113" s="35"/>
    </row>
    <row r="114" spans="1:16" ht="20" customHeight="1">
      <c r="A114" s="70" t="s">
        <v>242</v>
      </c>
      <c r="B114" s="70" t="s">
        <v>243</v>
      </c>
      <c r="C114" s="93">
        <f>IF($B114="","",_xlfn.LET(_xlpm.x,IFERROR(_xlfn.XLOOKUP($B114,[1]comp_GEM_coal!$B$2:$B$110,[1]comp_GEM_coal!$C$2:$C$110,0,0),0),IF(ISNUMBER(_xlpm.x),_xlpm.x,0)))</f>
        <v>0</v>
      </c>
      <c r="D114" s="93" t="str">
        <f t="shared" si="8"/>
        <v>Fail</v>
      </c>
      <c r="E114" s="93">
        <f>IF($B114="","",_xlfn.LET(_xlpm.src,IFERROR(_xlfn.XLOOKUP($B114,[1]clean_EMBER_2024!$D$5:$D$201,[1]clean_EMBER_2024!$J$5:$J$201,"",0),""),IF(ISNUMBER(_xlpm.src),_xlpm.src,"Missing")))</f>
        <v>0</v>
      </c>
      <c r="F114" s="93" t="str">
        <f>IF($B114="","",_xlfn.LET(_xlpm.x,IFERROR(_xlfn.XLOOKUP($B114,[1]comp_GEM_coal!$B$2:$B$110,[1]comp_GEM_coal!$F$2:$F$110,"",0),""),IF(ISNUMBER(_xlpm.x),_xlpm.x,"Missing")))</f>
        <v>Missing</v>
      </c>
      <c r="G114" s="93" t="str">
        <f t="shared" si="9"/>
        <v/>
      </c>
      <c r="H114" s="93" t="str">
        <f t="shared" si="10"/>
        <v/>
      </c>
      <c r="I114" s="93" t="str">
        <f t="shared" si="11"/>
        <v/>
      </c>
      <c r="J114" s="93" t="str">
        <f t="shared" si="12"/>
        <v/>
      </c>
      <c r="K114" s="93" t="str">
        <f t="shared" si="13"/>
        <v>Not screened</v>
      </c>
      <c r="L114" s="93" t="str">
        <f t="shared" si="14"/>
        <v>No</v>
      </c>
      <c r="M114" s="93" t="str">
        <f t="shared" si="15"/>
        <v>No operating coal capacity recorded in GEM</v>
      </c>
      <c r="O114" s="35"/>
      <c r="P114" s="35"/>
    </row>
    <row r="115" spans="1:16" ht="20" customHeight="1">
      <c r="A115" s="70" t="s">
        <v>244</v>
      </c>
      <c r="B115" s="70" t="s">
        <v>245</v>
      </c>
      <c r="C115" s="93">
        <f>IF($B115="","",_xlfn.LET(_xlpm.x,IFERROR(_xlfn.XLOOKUP($B115,[1]comp_GEM_coal!$B$2:$B$110,[1]comp_GEM_coal!$C$2:$C$110,0,0),0),IF(ISNUMBER(_xlpm.x),_xlpm.x,0)))</f>
        <v>0</v>
      </c>
      <c r="D115" s="93" t="str">
        <f t="shared" si="8"/>
        <v>Fail</v>
      </c>
      <c r="E115" s="93">
        <f>IF($B115="","",_xlfn.LET(_xlpm.src,IFERROR(_xlfn.XLOOKUP($B115,[1]clean_EMBER_2024!$D$5:$D$201,[1]clean_EMBER_2024!$J$5:$J$201,"",0),""),IF(ISNUMBER(_xlpm.src),_xlpm.src,"Missing")))</f>
        <v>0</v>
      </c>
      <c r="F115" s="93" t="str">
        <f>IF($B115="","",_xlfn.LET(_xlpm.x,IFERROR(_xlfn.XLOOKUP($B115,[1]comp_GEM_coal!$B$2:$B$110,[1]comp_GEM_coal!$F$2:$F$110,"",0),""),IF(ISNUMBER(_xlpm.x),_xlpm.x,"Missing")))</f>
        <v>Missing</v>
      </c>
      <c r="G115" s="93" t="str">
        <f t="shared" si="9"/>
        <v/>
      </c>
      <c r="H115" s="93" t="str">
        <f t="shared" si="10"/>
        <v/>
      </c>
      <c r="I115" s="93" t="str">
        <f t="shared" si="11"/>
        <v/>
      </c>
      <c r="J115" s="93" t="str">
        <f t="shared" si="12"/>
        <v/>
      </c>
      <c r="K115" s="93" t="str">
        <f t="shared" si="13"/>
        <v>Not screened</v>
      </c>
      <c r="L115" s="93" t="str">
        <f t="shared" si="14"/>
        <v>No</v>
      </c>
      <c r="M115" s="93" t="str">
        <f t="shared" si="15"/>
        <v>No operating coal capacity recorded in GEM</v>
      </c>
      <c r="O115" s="35"/>
      <c r="P115" s="35"/>
    </row>
    <row r="116" spans="1:16" ht="20" customHeight="1">
      <c r="A116" s="70" t="s">
        <v>248</v>
      </c>
      <c r="B116" s="70" t="s">
        <v>249</v>
      </c>
      <c r="C116" s="93">
        <f>IF($B116="","",_xlfn.LET(_xlpm.x,IFERROR(_xlfn.XLOOKUP($B116,[1]comp_GEM_coal!$B$2:$B$110,[1]comp_GEM_coal!$C$2:$C$110,0,0),0),IF(ISNUMBER(_xlpm.x),_xlpm.x,0)))</f>
        <v>0</v>
      </c>
      <c r="D116" s="93" t="str">
        <f t="shared" si="8"/>
        <v>Fail</v>
      </c>
      <c r="E116" s="93">
        <f>IF($B116="","",_xlfn.LET(_xlpm.src,IFERROR(_xlfn.XLOOKUP($B116,[1]clean_EMBER_2024!$D$5:$D$201,[1]clean_EMBER_2024!$J$5:$J$201,"",0),""),IF(ISNUMBER(_xlpm.src),_xlpm.src,"Missing")))</f>
        <v>0</v>
      </c>
      <c r="F116" s="93" t="str">
        <f>IF($B116="","",_xlfn.LET(_xlpm.x,IFERROR(_xlfn.XLOOKUP($B116,[1]comp_GEM_coal!$B$2:$B$110,[1]comp_GEM_coal!$F$2:$F$110,"",0),""),IF(ISNUMBER(_xlpm.x),_xlpm.x,"Missing")))</f>
        <v>Missing</v>
      </c>
      <c r="G116" s="93" t="str">
        <f t="shared" si="9"/>
        <v/>
      </c>
      <c r="H116" s="93" t="str">
        <f t="shared" si="10"/>
        <v/>
      </c>
      <c r="I116" s="93" t="str">
        <f t="shared" si="11"/>
        <v/>
      </c>
      <c r="J116" s="93" t="str">
        <f t="shared" si="12"/>
        <v/>
      </c>
      <c r="K116" s="93" t="str">
        <f t="shared" si="13"/>
        <v>Not screened</v>
      </c>
      <c r="L116" s="93" t="str">
        <f t="shared" si="14"/>
        <v>No</v>
      </c>
      <c r="M116" s="93" t="str">
        <f t="shared" si="15"/>
        <v>No operating coal capacity recorded in GEM</v>
      </c>
      <c r="O116" s="35"/>
      <c r="P116" s="35"/>
    </row>
    <row r="117" spans="1:16" ht="20" customHeight="1">
      <c r="A117" s="70" t="s">
        <v>256</v>
      </c>
      <c r="B117" s="70" t="s">
        <v>257</v>
      </c>
      <c r="C117" s="93">
        <f>IF($B117="","",_xlfn.LET(_xlpm.x,IFERROR(_xlfn.XLOOKUP($B117,[1]comp_GEM_coal!$B$2:$B$110,[1]comp_GEM_coal!$C$2:$C$110,0,0),0),IF(ISNUMBER(_xlpm.x),_xlpm.x,0)))</f>
        <v>120</v>
      </c>
      <c r="D117" s="93" t="str">
        <f t="shared" si="8"/>
        <v>Pass</v>
      </c>
      <c r="E117" s="93">
        <f>IF($B117="","",_xlfn.LET(_xlpm.src,IFERROR(_xlfn.XLOOKUP($B117,[1]clean_EMBER_2024!$D$5:$D$201,[1]clean_EMBER_2024!$J$5:$J$201,"",0),""),IF(ISNUMBER(_xlpm.src),_xlpm.src,"Missing")))</f>
        <v>20.58</v>
      </c>
      <c r="F117" s="93">
        <f>IF($B117="","",_xlfn.LET(_xlpm.x,IFERROR(_xlfn.XLOOKUP($B117,[1]comp_GEM_coal!$B$2:$B$110,[1]comp_GEM_coal!$F$2:$F$110,"",0),""),IF(ISNUMBER(_xlpm.x),_xlpm.x,"Missing")))</f>
        <v>12.407414658</v>
      </c>
      <c r="G117" s="93">
        <f t="shared" si="9"/>
        <v>0</v>
      </c>
      <c r="H117" s="93">
        <f t="shared" si="10"/>
        <v>1</v>
      </c>
      <c r="I117" s="93">
        <f t="shared" si="11"/>
        <v>0</v>
      </c>
      <c r="J117" s="93">
        <f t="shared" si="12"/>
        <v>1</v>
      </c>
      <c r="K117" s="93" t="str">
        <f t="shared" si="13"/>
        <v>Fail</v>
      </c>
      <c r="L117" s="93" t="str">
        <f t="shared" si="14"/>
        <v>No</v>
      </c>
      <c r="M117" s="93" t="str">
        <f t="shared" si="15"/>
        <v>Does not meet at least two material-opportunity thresholds</v>
      </c>
      <c r="O117" s="35"/>
      <c r="P117" s="35"/>
    </row>
    <row r="118" spans="1:16" ht="20" customHeight="1">
      <c r="A118" s="70" t="s">
        <v>284</v>
      </c>
      <c r="B118" s="70" t="s">
        <v>285</v>
      </c>
      <c r="C118" s="93">
        <f>IF($B118="","",_xlfn.LET(_xlpm.x,IFERROR(_xlfn.XLOOKUP($B118,[1]comp_GEM_coal!$B$2:$B$110,[1]comp_GEM_coal!$C$2:$C$110,0,0),0),IF(ISNUMBER(_xlpm.x),_xlpm.x,0)))</f>
        <v>0</v>
      </c>
      <c r="D118" s="93" t="str">
        <f t="shared" si="8"/>
        <v>Fail</v>
      </c>
      <c r="E118" s="93">
        <f>IF($B118="","",_xlfn.LET(_xlpm.src,IFERROR(_xlfn.XLOOKUP($B118,[1]clean_EMBER_2024!$D$5:$D$201,[1]clean_EMBER_2024!$J$5:$J$201,"",0),""),IF(ISNUMBER(_xlpm.src),_xlpm.src,"Missing")))</f>
        <v>0</v>
      </c>
      <c r="F118" s="93">
        <f>IF($B118="","",_xlfn.LET(_xlpm.x,IFERROR(_xlfn.XLOOKUP($B118,[1]comp_GEM_coal!$B$2:$B$110,[1]comp_GEM_coal!$F$2:$F$110,"",0),""),IF(ISNUMBER(_xlpm.x),_xlpm.x,"Missing")))</f>
        <v>0</v>
      </c>
      <c r="G118" s="93" t="str">
        <f t="shared" si="9"/>
        <v/>
      </c>
      <c r="H118" s="93" t="str">
        <f t="shared" si="10"/>
        <v/>
      </c>
      <c r="I118" s="93" t="str">
        <f t="shared" si="11"/>
        <v/>
      </c>
      <c r="J118" s="93" t="str">
        <f t="shared" si="12"/>
        <v/>
      </c>
      <c r="K118" s="93" t="str">
        <f t="shared" si="13"/>
        <v>Not screened</v>
      </c>
      <c r="L118" s="93" t="str">
        <f t="shared" si="14"/>
        <v>No</v>
      </c>
      <c r="M118" s="93" t="str">
        <f t="shared" si="15"/>
        <v>No operating coal capacity recorded in GEM</v>
      </c>
      <c r="O118" s="35"/>
      <c r="P118" s="35"/>
    </row>
    <row r="119" spans="1:16" ht="20" customHeight="1">
      <c r="A119" s="70" t="s">
        <v>286</v>
      </c>
      <c r="B119" s="70" t="s">
        <v>287</v>
      </c>
      <c r="C119" s="93">
        <f>IF($B119="","",_xlfn.LET(_xlpm.x,IFERROR(_xlfn.XLOOKUP($B119,[1]comp_GEM_coal!$B$2:$B$110,[1]comp_GEM_coal!$C$2:$C$110,0,0),0),IF(ISNUMBER(_xlpm.x),_xlpm.x,0)))</f>
        <v>13280</v>
      </c>
      <c r="D119" s="93" t="str">
        <f t="shared" si="8"/>
        <v>Pass</v>
      </c>
      <c r="E119" s="93">
        <f>IF($B119="","",_xlfn.LET(_xlpm.src,IFERROR(_xlfn.XLOOKUP($B119,[1]clean_EMBER_2024!$D$5:$D$201,[1]clean_EMBER_2024!$J$5:$J$201,"",0),""),IF(ISNUMBER(_xlpm.src),_xlpm.src,"Missing")))</f>
        <v>43.05</v>
      </c>
      <c r="F119" s="93">
        <f>IF($B119="","",_xlfn.LET(_xlpm.x,IFERROR(_xlfn.XLOOKUP($B119,[1]comp_GEM_coal!$B$2:$B$110,[1]comp_GEM_coal!$F$2:$F$110,"",0),""),IF(ISNUMBER(_xlpm.x),_xlpm.x,"Missing")))</f>
        <v>659.12066296599983</v>
      </c>
      <c r="G119" s="93">
        <f t="shared" si="9"/>
        <v>1</v>
      </c>
      <c r="H119" s="93">
        <f t="shared" si="10"/>
        <v>1</v>
      </c>
      <c r="I119" s="93">
        <f t="shared" si="11"/>
        <v>1</v>
      </c>
      <c r="J119" s="93">
        <f t="shared" si="12"/>
        <v>3</v>
      </c>
      <c r="K119" s="93" t="str">
        <f t="shared" si="13"/>
        <v>Pass</v>
      </c>
      <c r="L119" s="93" t="str">
        <f t="shared" si="14"/>
        <v>Yes</v>
      </c>
      <c r="M119" s="93" t="str">
        <f t="shared" si="15"/>
        <v/>
      </c>
      <c r="O119" s="35"/>
      <c r="P119" s="35"/>
    </row>
    <row r="120" spans="1:16" ht="20" customHeight="1">
      <c r="A120" s="70" t="s">
        <v>258</v>
      </c>
      <c r="B120" s="70" t="s">
        <v>259</v>
      </c>
      <c r="C120" s="93">
        <f>IF($B120="","",_xlfn.LET(_xlpm.x,IFERROR(_xlfn.XLOOKUP($B120,[1]comp_GEM_coal!$B$2:$B$110,[1]comp_GEM_coal!$C$2:$C$110,0,0),0),IF(ISNUMBER(_xlpm.x),_xlpm.x,0)))</f>
        <v>0</v>
      </c>
      <c r="D120" s="93" t="str">
        <f t="shared" si="8"/>
        <v>Fail</v>
      </c>
      <c r="E120" s="93">
        <f>IF($B120="","",_xlfn.LET(_xlpm.src,IFERROR(_xlfn.XLOOKUP($B120,[1]clean_EMBER_2024!$D$5:$D$201,[1]clean_EMBER_2024!$J$5:$J$201,"",0),""),IF(ISNUMBER(_xlpm.src),_xlpm.src,"Missing")))</f>
        <v>0</v>
      </c>
      <c r="F120" s="93" t="str">
        <f>IF($B120="","",_xlfn.LET(_xlpm.x,IFERROR(_xlfn.XLOOKUP($B120,[1]comp_GEM_coal!$B$2:$B$110,[1]comp_GEM_coal!$F$2:$F$110,"",0),""),IF(ISNUMBER(_xlpm.x),_xlpm.x,"Missing")))</f>
        <v>Missing</v>
      </c>
      <c r="G120" s="93" t="str">
        <f t="shared" si="9"/>
        <v/>
      </c>
      <c r="H120" s="93" t="str">
        <f t="shared" si="10"/>
        <v/>
      </c>
      <c r="I120" s="93" t="str">
        <f t="shared" si="11"/>
        <v/>
      </c>
      <c r="J120" s="93" t="str">
        <f t="shared" si="12"/>
        <v/>
      </c>
      <c r="K120" s="93" t="str">
        <f t="shared" si="13"/>
        <v>Not screened</v>
      </c>
      <c r="L120" s="93" t="str">
        <f t="shared" si="14"/>
        <v>No</v>
      </c>
      <c r="M120" s="93" t="str">
        <f t="shared" si="15"/>
        <v>No operating coal capacity recorded in GEM</v>
      </c>
      <c r="O120" s="35"/>
      <c r="P120" s="35"/>
    </row>
    <row r="121" spans="1:16" ht="20" customHeight="1">
      <c r="A121" s="70" t="s">
        <v>266</v>
      </c>
      <c r="B121" s="70" t="s">
        <v>267</v>
      </c>
      <c r="C121" s="93">
        <f>IF($B121="","",_xlfn.LET(_xlpm.x,IFERROR(_xlfn.XLOOKUP($B121,[1]comp_GEM_coal!$B$2:$B$110,[1]comp_GEM_coal!$C$2:$C$110,0,0),0),IF(ISNUMBER(_xlpm.x),_xlpm.x,0)))</f>
        <v>0</v>
      </c>
      <c r="D121" s="93" t="str">
        <f t="shared" si="8"/>
        <v>Fail</v>
      </c>
      <c r="E121" s="93">
        <f>IF($B121="","",_xlfn.LET(_xlpm.src,IFERROR(_xlfn.XLOOKUP($B121,[1]clean_EMBER_2024!$D$5:$D$201,[1]clean_EMBER_2024!$J$5:$J$201,"",0),""),IF(ISNUMBER(_xlpm.src),_xlpm.src,"Missing")))</f>
        <v>0</v>
      </c>
      <c r="F121" s="93" t="str">
        <f>IF($B121="","",_xlfn.LET(_xlpm.x,IFERROR(_xlfn.XLOOKUP($B121,[1]comp_GEM_coal!$B$2:$B$110,[1]comp_GEM_coal!$F$2:$F$110,"",0),""),IF(ISNUMBER(_xlpm.x),_xlpm.x,"Missing")))</f>
        <v>Missing</v>
      </c>
      <c r="G121" s="93" t="str">
        <f t="shared" si="9"/>
        <v/>
      </c>
      <c r="H121" s="93" t="str">
        <f t="shared" si="10"/>
        <v/>
      </c>
      <c r="I121" s="93" t="str">
        <f t="shared" si="11"/>
        <v/>
      </c>
      <c r="J121" s="93" t="str">
        <f t="shared" si="12"/>
        <v/>
      </c>
      <c r="K121" s="93" t="str">
        <f t="shared" si="13"/>
        <v>Not screened</v>
      </c>
      <c r="L121" s="93" t="str">
        <f t="shared" si="14"/>
        <v>No</v>
      </c>
      <c r="M121" s="93" t="str">
        <f t="shared" si="15"/>
        <v>No operating coal capacity recorded in GEM</v>
      </c>
      <c r="O121" s="35"/>
      <c r="P121" s="35"/>
    </row>
    <row r="122" spans="1:16" ht="20" customHeight="1">
      <c r="A122" s="70" t="s">
        <v>268</v>
      </c>
      <c r="B122" s="70" t="s">
        <v>269</v>
      </c>
      <c r="C122" s="93">
        <f>IF($B122="","",_xlfn.LET(_xlpm.x,IFERROR(_xlfn.XLOOKUP($B122,[1]comp_GEM_coal!$B$2:$B$110,[1]comp_GEM_coal!$C$2:$C$110,0,0),0),IF(ISNUMBER(_xlpm.x),_xlpm.x,0)))</f>
        <v>0</v>
      </c>
      <c r="D122" s="93" t="str">
        <f t="shared" si="8"/>
        <v>Fail</v>
      </c>
      <c r="E122" s="93">
        <f>IF($B122="","",_xlfn.LET(_xlpm.src,IFERROR(_xlfn.XLOOKUP($B122,[1]clean_EMBER_2024!$D$5:$D$201,[1]clean_EMBER_2024!$J$5:$J$201,"",0),""),IF(ISNUMBER(_xlpm.src),_xlpm.src,"Missing")))</f>
        <v>0</v>
      </c>
      <c r="F122" s="93" t="str">
        <f>IF($B122="","",_xlfn.LET(_xlpm.x,IFERROR(_xlfn.XLOOKUP($B122,[1]comp_GEM_coal!$B$2:$B$110,[1]comp_GEM_coal!$F$2:$F$110,"",0),""),IF(ISNUMBER(_xlpm.x),_xlpm.x,"Missing")))</f>
        <v>Missing</v>
      </c>
      <c r="G122" s="93" t="str">
        <f t="shared" si="9"/>
        <v/>
      </c>
      <c r="H122" s="93" t="str">
        <f t="shared" si="10"/>
        <v/>
      </c>
      <c r="I122" s="93" t="str">
        <f t="shared" si="11"/>
        <v/>
      </c>
      <c r="J122" s="93" t="str">
        <f t="shared" si="12"/>
        <v/>
      </c>
      <c r="K122" s="93" t="str">
        <f t="shared" si="13"/>
        <v>Not screened</v>
      </c>
      <c r="L122" s="93" t="str">
        <f t="shared" si="14"/>
        <v>No</v>
      </c>
      <c r="M122" s="93" t="str">
        <f t="shared" si="15"/>
        <v>No operating coal capacity recorded in GEM</v>
      </c>
      <c r="O122" s="35"/>
      <c r="P122" s="35"/>
    </row>
    <row r="123" spans="1:16" ht="20" customHeight="1">
      <c r="A123" s="70" t="s">
        <v>262</v>
      </c>
      <c r="B123" s="70" t="s">
        <v>263</v>
      </c>
      <c r="C123" s="93">
        <f>IF($B123="","",_xlfn.LET(_xlpm.x,IFERROR(_xlfn.XLOOKUP($B123,[1]comp_GEM_coal!$B$2:$B$110,[1]comp_GEM_coal!$C$2:$C$110,0,0),0),IF(ISNUMBER(_xlpm.x),_xlpm.x,0)))</f>
        <v>0</v>
      </c>
      <c r="D123" s="93" t="str">
        <f t="shared" si="8"/>
        <v>Fail</v>
      </c>
      <c r="E123" s="93" t="str">
        <f>IF($B123="","",_xlfn.LET(_xlpm.src,IFERROR(_xlfn.XLOOKUP($B123,[1]clean_EMBER_2024!$D$5:$D$201,[1]clean_EMBER_2024!$J$5:$J$201,"",0),""),IF(ISNUMBER(_xlpm.src),_xlpm.src,"Missing")))</f>
        <v>Missing</v>
      </c>
      <c r="F123" s="93" t="str">
        <f>IF($B123="","",_xlfn.LET(_xlpm.x,IFERROR(_xlfn.XLOOKUP($B123,[1]comp_GEM_coal!$B$2:$B$110,[1]comp_GEM_coal!$F$2:$F$110,"",0),""),IF(ISNUMBER(_xlpm.x),_xlpm.x,"Missing")))</f>
        <v>Missing</v>
      </c>
      <c r="G123" s="93" t="str">
        <f t="shared" si="9"/>
        <v/>
      </c>
      <c r="H123" s="93" t="str">
        <f t="shared" si="10"/>
        <v/>
      </c>
      <c r="I123" s="93" t="str">
        <f t="shared" si="11"/>
        <v/>
      </c>
      <c r="J123" s="93" t="str">
        <f t="shared" si="12"/>
        <v/>
      </c>
      <c r="K123" s="93" t="str">
        <f t="shared" si="13"/>
        <v>Not screened</v>
      </c>
      <c r="L123" s="93" t="str">
        <f t="shared" si="14"/>
        <v>No</v>
      </c>
      <c r="M123" s="93" t="str">
        <f t="shared" si="15"/>
        <v>No operating coal capacity recorded in GEM</v>
      </c>
      <c r="O123" s="35"/>
      <c r="P123" s="35"/>
    </row>
    <row r="124" spans="1:16" ht="20" customHeight="1">
      <c r="A124" s="70" t="s">
        <v>280</v>
      </c>
      <c r="B124" s="70" t="s">
        <v>281</v>
      </c>
      <c r="C124" s="93">
        <f>IF($B124="","",_xlfn.LET(_xlpm.x,IFERROR(_xlfn.XLOOKUP($B124,[1]comp_GEM_coal!$B$2:$B$110,[1]comp_GEM_coal!$C$2:$C$110,0,0),0),IF(ISNUMBER(_xlpm.x),_xlpm.x,0)))</f>
        <v>0</v>
      </c>
      <c r="D124" s="93" t="str">
        <f t="shared" si="8"/>
        <v>Fail</v>
      </c>
      <c r="E124" s="93" t="str">
        <f>IF($B124="","",_xlfn.LET(_xlpm.src,IFERROR(_xlfn.XLOOKUP($B124,[1]clean_EMBER_2024!$D$5:$D$201,[1]clean_EMBER_2024!$J$5:$J$201,"",0),""),IF(ISNUMBER(_xlpm.src),_xlpm.src,"Missing")))</f>
        <v>Missing</v>
      </c>
      <c r="F124" s="93" t="str">
        <f>IF($B124="","",_xlfn.LET(_xlpm.x,IFERROR(_xlfn.XLOOKUP($B124,[1]comp_GEM_coal!$B$2:$B$110,[1]comp_GEM_coal!$F$2:$F$110,"",0),""),IF(ISNUMBER(_xlpm.x),_xlpm.x,"Missing")))</f>
        <v>Missing</v>
      </c>
      <c r="G124" s="93" t="str">
        <f t="shared" si="9"/>
        <v/>
      </c>
      <c r="H124" s="93" t="str">
        <f t="shared" si="10"/>
        <v/>
      </c>
      <c r="I124" s="93" t="str">
        <f t="shared" si="11"/>
        <v/>
      </c>
      <c r="J124" s="93" t="str">
        <f t="shared" si="12"/>
        <v/>
      </c>
      <c r="K124" s="93" t="str">
        <f t="shared" si="13"/>
        <v>Not screened</v>
      </c>
      <c r="L124" s="93" t="str">
        <f t="shared" si="14"/>
        <v>No</v>
      </c>
      <c r="M124" s="93" t="str">
        <f t="shared" si="15"/>
        <v>No operating coal capacity recorded in GEM</v>
      </c>
      <c r="O124" s="35"/>
      <c r="P124" s="35"/>
    </row>
    <row r="125" spans="1:16" ht="20" customHeight="1">
      <c r="A125" s="70" t="s">
        <v>278</v>
      </c>
      <c r="B125" s="70" t="s">
        <v>279</v>
      </c>
      <c r="C125" s="93">
        <f>IF($B125="","",_xlfn.LET(_xlpm.x,IFERROR(_xlfn.XLOOKUP($B125,[1]comp_GEM_coal!$B$2:$B$110,[1]comp_GEM_coal!$C$2:$C$110,0,0),0),IF(ISNUMBER(_xlpm.x),_xlpm.x,0)))</f>
        <v>0</v>
      </c>
      <c r="D125" s="93" t="str">
        <f t="shared" si="8"/>
        <v>Fail</v>
      </c>
      <c r="E125" s="93">
        <f>IF($B125="","",_xlfn.LET(_xlpm.src,IFERROR(_xlfn.XLOOKUP($B125,[1]clean_EMBER_2024!$D$5:$D$201,[1]clean_EMBER_2024!$J$5:$J$201,"",0),""),IF(ISNUMBER(_xlpm.src),_xlpm.src,"Missing")))</f>
        <v>0</v>
      </c>
      <c r="F125" s="93" t="str">
        <f>IF($B125="","",_xlfn.LET(_xlpm.x,IFERROR(_xlfn.XLOOKUP($B125,[1]comp_GEM_coal!$B$2:$B$110,[1]comp_GEM_coal!$F$2:$F$110,"",0),""),IF(ISNUMBER(_xlpm.x),_xlpm.x,"Missing")))</f>
        <v>Missing</v>
      </c>
      <c r="G125" s="93" t="str">
        <f t="shared" si="9"/>
        <v/>
      </c>
      <c r="H125" s="93" t="str">
        <f t="shared" si="10"/>
        <v/>
      </c>
      <c r="I125" s="93" t="str">
        <f t="shared" si="11"/>
        <v/>
      </c>
      <c r="J125" s="93" t="str">
        <f t="shared" si="12"/>
        <v/>
      </c>
      <c r="K125" s="93" t="str">
        <f t="shared" si="13"/>
        <v>Not screened</v>
      </c>
      <c r="L125" s="93" t="str">
        <f t="shared" si="14"/>
        <v>No</v>
      </c>
      <c r="M125" s="93" t="str">
        <f t="shared" si="15"/>
        <v>No operating coal capacity recorded in GEM</v>
      </c>
      <c r="O125" s="35"/>
      <c r="P125" s="35"/>
    </row>
    <row r="126" spans="1:16" ht="20" customHeight="1">
      <c r="A126" s="70" t="s">
        <v>282</v>
      </c>
      <c r="B126" s="70" t="s">
        <v>283</v>
      </c>
      <c r="C126" s="93">
        <f>IF($B126="","",_xlfn.LET(_xlpm.x,IFERROR(_xlfn.XLOOKUP($B126,[1]comp_GEM_coal!$B$2:$B$110,[1]comp_GEM_coal!$C$2:$C$110,0,0),0),IF(ISNUMBER(_xlpm.x),_xlpm.x,0)))</f>
        <v>195</v>
      </c>
      <c r="D126" s="93" t="str">
        <f t="shared" si="8"/>
        <v>Pass</v>
      </c>
      <c r="E126" s="93">
        <f>IF($B126="","",_xlfn.LET(_xlpm.src,IFERROR(_xlfn.XLOOKUP($B126,[1]clean_EMBER_2024!$D$5:$D$201,[1]clean_EMBER_2024!$J$5:$J$201,"",0),""),IF(ISNUMBER(_xlpm.src),_xlpm.src,"Missing")))</f>
        <v>39.299999999999997</v>
      </c>
      <c r="F126" s="93">
        <f>IF($B126="","",_xlfn.LET(_xlpm.x,IFERROR(_xlfn.XLOOKUP($B126,[1]comp_GEM_coal!$B$2:$B$110,[1]comp_GEM_coal!$F$2:$F$110,"",0),""),IF(ISNUMBER(_xlpm.x),_xlpm.x,"Missing")))</f>
        <v>18.322818325</v>
      </c>
      <c r="G126" s="93">
        <f t="shared" si="9"/>
        <v>0</v>
      </c>
      <c r="H126" s="93">
        <f t="shared" si="10"/>
        <v>1</v>
      </c>
      <c r="I126" s="93">
        <f t="shared" si="11"/>
        <v>0</v>
      </c>
      <c r="J126" s="93">
        <f t="shared" si="12"/>
        <v>1</v>
      </c>
      <c r="K126" s="93" t="str">
        <f t="shared" si="13"/>
        <v>Fail</v>
      </c>
      <c r="L126" s="93" t="str">
        <f t="shared" si="14"/>
        <v>No</v>
      </c>
      <c r="M126" s="93" t="str">
        <f t="shared" si="15"/>
        <v>Does not meet at least two material-opportunity thresholds</v>
      </c>
      <c r="O126" s="35"/>
      <c r="P126" s="35"/>
    </row>
    <row r="127" spans="1:16" ht="20" customHeight="1">
      <c r="A127" s="70" t="s">
        <v>260</v>
      </c>
      <c r="B127" s="70" t="s">
        <v>261</v>
      </c>
      <c r="C127" s="93">
        <f>IF($B127="","",_xlfn.LET(_xlpm.x,IFERROR(_xlfn.XLOOKUP($B127,[1]comp_GEM_coal!$B$2:$B$110,[1]comp_GEM_coal!$C$2:$C$110,0,0),0),IF(ISNUMBER(_xlpm.x),_xlpm.x,0)))</f>
        <v>5378</v>
      </c>
      <c r="D127" s="93" t="str">
        <f t="shared" si="8"/>
        <v>Pass</v>
      </c>
      <c r="E127" s="93">
        <f>IF($B127="","",_xlfn.LET(_xlpm.src,IFERROR(_xlfn.XLOOKUP($B127,[1]clean_EMBER_2024!$D$5:$D$201,[1]clean_EMBER_2024!$J$5:$J$201,"",0),""),IF(ISNUMBER(_xlpm.src),_xlpm.src,"Missing")))</f>
        <v>3.49</v>
      </c>
      <c r="F127" s="93">
        <f>IF($B127="","",_xlfn.LET(_xlpm.x,IFERROR(_xlfn.XLOOKUP($B127,[1]comp_GEM_coal!$B$2:$B$110,[1]comp_GEM_coal!$F$2:$F$110,"",0),""),IF(ISNUMBER(_xlpm.x),_xlpm.x,"Missing")))</f>
        <v>79.367261968999983</v>
      </c>
      <c r="G127" s="93">
        <f t="shared" si="9"/>
        <v>1</v>
      </c>
      <c r="H127" s="93">
        <f t="shared" si="10"/>
        <v>0</v>
      </c>
      <c r="I127" s="93">
        <f t="shared" si="11"/>
        <v>1</v>
      </c>
      <c r="J127" s="93">
        <f t="shared" si="12"/>
        <v>2</v>
      </c>
      <c r="K127" s="93" t="str">
        <f t="shared" si="13"/>
        <v>Pass</v>
      </c>
      <c r="L127" s="93" t="str">
        <f t="shared" si="14"/>
        <v>Yes</v>
      </c>
      <c r="M127" s="93" t="str">
        <f t="shared" si="15"/>
        <v/>
      </c>
      <c r="O127" s="35"/>
      <c r="P127" s="35"/>
    </row>
    <row r="128" spans="1:16" ht="20" customHeight="1">
      <c r="A128" s="70" t="s">
        <v>148</v>
      </c>
      <c r="B128" s="70" t="s">
        <v>149</v>
      </c>
      <c r="C128" s="93">
        <f>IF($B128="","",_xlfn.LET(_xlpm.x,IFERROR(_xlfn.XLOOKUP($B128,[1]comp_GEM_coal!$B$2:$B$110,[1]comp_GEM_coal!$C$2:$C$110,0,0),0),IF(ISNUMBER(_xlpm.x),_xlpm.x,0)))</f>
        <v>0</v>
      </c>
      <c r="D128" s="93" t="str">
        <f t="shared" si="8"/>
        <v>Fail</v>
      </c>
      <c r="E128" s="93" t="str">
        <f>IF($B128="","",_xlfn.LET(_xlpm.src,IFERROR(_xlfn.XLOOKUP($B128,[1]clean_EMBER_2024!$D$5:$D$201,[1]clean_EMBER_2024!$J$5:$J$201,"",0),""),IF(ISNUMBER(_xlpm.src),_xlpm.src,"Missing")))</f>
        <v>Missing</v>
      </c>
      <c r="F128" s="93" t="str">
        <f>IF($B128="","",_xlfn.LET(_xlpm.x,IFERROR(_xlfn.XLOOKUP($B128,[1]comp_GEM_coal!$B$2:$B$110,[1]comp_GEM_coal!$F$2:$F$110,"",0),""),IF(ISNUMBER(_xlpm.x),_xlpm.x,"Missing")))</f>
        <v>Missing</v>
      </c>
      <c r="G128" s="93" t="str">
        <f t="shared" si="9"/>
        <v/>
      </c>
      <c r="H128" s="93" t="str">
        <f t="shared" si="10"/>
        <v/>
      </c>
      <c r="I128" s="93" t="str">
        <f t="shared" si="11"/>
        <v/>
      </c>
      <c r="J128" s="93" t="str">
        <f t="shared" si="12"/>
        <v/>
      </c>
      <c r="K128" s="93" t="str">
        <f t="shared" si="13"/>
        <v>Not screened</v>
      </c>
      <c r="L128" s="93" t="str">
        <f t="shared" si="14"/>
        <v>No</v>
      </c>
      <c r="M128" s="93" t="str">
        <f t="shared" si="15"/>
        <v>No operating coal capacity recorded in GEM</v>
      </c>
      <c r="O128" s="35"/>
      <c r="P128" s="35"/>
    </row>
    <row r="129" spans="1:16" ht="20" customHeight="1">
      <c r="A129" s="70" t="s">
        <v>254</v>
      </c>
      <c r="B129" s="70" t="s">
        <v>255</v>
      </c>
      <c r="C129" s="93">
        <f>IF($B129="","",_xlfn.LET(_xlpm.x,IFERROR(_xlfn.XLOOKUP($B129,[1]comp_GEM_coal!$B$2:$B$110,[1]comp_GEM_coal!$C$2:$C$110,0,0),0),IF(ISNUMBER(_xlpm.x),_xlpm.x,0)))</f>
        <v>0</v>
      </c>
      <c r="D129" s="93" t="str">
        <f t="shared" si="8"/>
        <v>Fail</v>
      </c>
      <c r="E129" s="93">
        <f>IF($B129="","",_xlfn.LET(_xlpm.src,IFERROR(_xlfn.XLOOKUP($B129,[1]clean_EMBER_2024!$D$5:$D$201,[1]clean_EMBER_2024!$J$5:$J$201,"",0),""),IF(ISNUMBER(_xlpm.src),_xlpm.src,"Missing")))</f>
        <v>0</v>
      </c>
      <c r="F129" s="93">
        <f>IF($B129="","",_xlfn.LET(_xlpm.x,IFERROR(_xlfn.XLOOKUP($B129,[1]comp_GEM_coal!$B$2:$B$110,[1]comp_GEM_coal!$F$2:$F$110,"",0),""),IF(ISNUMBER(_xlpm.x),_xlpm.x,"Missing")))</f>
        <v>0</v>
      </c>
      <c r="G129" s="93" t="str">
        <f t="shared" si="9"/>
        <v/>
      </c>
      <c r="H129" s="93" t="str">
        <f t="shared" si="10"/>
        <v/>
      </c>
      <c r="I129" s="93" t="str">
        <f t="shared" si="11"/>
        <v/>
      </c>
      <c r="J129" s="93" t="str">
        <f t="shared" si="12"/>
        <v/>
      </c>
      <c r="K129" s="93" t="str">
        <f t="shared" si="13"/>
        <v>Not screened</v>
      </c>
      <c r="L129" s="93" t="str">
        <f t="shared" si="14"/>
        <v>No</v>
      </c>
      <c r="M129" s="93" t="str">
        <f t="shared" si="15"/>
        <v>No operating coal capacity recorded in GEM</v>
      </c>
      <c r="O129" s="35"/>
      <c r="P129" s="35"/>
    </row>
    <row r="130" spans="1:16" ht="20" customHeight="1">
      <c r="A130" s="70" t="s">
        <v>252</v>
      </c>
      <c r="B130" s="70" t="s">
        <v>253</v>
      </c>
      <c r="C130" s="93">
        <f>IF($B130="","",_xlfn.LET(_xlpm.x,IFERROR(_xlfn.XLOOKUP($B130,[1]comp_GEM_coal!$B$2:$B$110,[1]comp_GEM_coal!$C$2:$C$110,0,0),0),IF(ISNUMBER(_xlpm.x),_xlpm.x,0)))</f>
        <v>0</v>
      </c>
      <c r="D130" s="93" t="str">
        <f t="shared" si="8"/>
        <v>Fail</v>
      </c>
      <c r="E130" s="93" t="str">
        <f>IF($B130="","",_xlfn.LET(_xlpm.src,IFERROR(_xlfn.XLOOKUP($B130,[1]clean_EMBER_2024!$D$5:$D$201,[1]clean_EMBER_2024!$J$5:$J$201,"",0),""),IF(ISNUMBER(_xlpm.src),_xlpm.src,"Missing")))</f>
        <v>Missing</v>
      </c>
      <c r="F130" s="93" t="str">
        <f>IF($B130="","",_xlfn.LET(_xlpm.x,IFERROR(_xlfn.XLOOKUP($B130,[1]comp_GEM_coal!$B$2:$B$110,[1]comp_GEM_coal!$F$2:$F$110,"",0),""),IF(ISNUMBER(_xlpm.x),_xlpm.x,"Missing")))</f>
        <v>Missing</v>
      </c>
      <c r="G130" s="93" t="str">
        <f t="shared" si="9"/>
        <v/>
      </c>
      <c r="H130" s="93" t="str">
        <f t="shared" si="10"/>
        <v/>
      </c>
      <c r="I130" s="93" t="str">
        <f t="shared" si="11"/>
        <v/>
      </c>
      <c r="J130" s="93" t="str">
        <f t="shared" si="12"/>
        <v/>
      </c>
      <c r="K130" s="93" t="str">
        <f t="shared" si="13"/>
        <v>Not screened</v>
      </c>
      <c r="L130" s="93" t="str">
        <f t="shared" si="14"/>
        <v>No</v>
      </c>
      <c r="M130" s="93" t="str">
        <f t="shared" si="15"/>
        <v>No operating coal capacity recorded in GEM</v>
      </c>
      <c r="O130" s="35"/>
      <c r="P130" s="35"/>
    </row>
    <row r="131" spans="1:16" ht="20" customHeight="1">
      <c r="A131" s="70" t="s">
        <v>274</v>
      </c>
      <c r="B131" s="70" t="s">
        <v>275</v>
      </c>
      <c r="C131" s="93">
        <f>IF($B131="","",_xlfn.LET(_xlpm.x,IFERROR(_xlfn.XLOOKUP($B131,[1]comp_GEM_coal!$B$2:$B$110,[1]comp_GEM_coal!$C$2:$C$110,0,0),0),IF(ISNUMBER(_xlpm.x),_xlpm.x,0)))</f>
        <v>1295</v>
      </c>
      <c r="D131" s="93" t="str">
        <f t="shared" ref="D131:D194" si="16">IF($B131="","",IF(C131&gt;0,"Pass","Fail"))</f>
        <v>Pass</v>
      </c>
      <c r="E131" s="93">
        <f>IF($B131="","",_xlfn.LET(_xlpm.src,IFERROR(_xlfn.XLOOKUP($B131,[1]clean_EMBER_2024!$D$5:$D$201,[1]clean_EMBER_2024!$J$5:$J$201,"",0),""),IF(ISNUMBER(_xlpm.src),_xlpm.src,"Missing")))</f>
        <v>84.69</v>
      </c>
      <c r="F131" s="93">
        <f>IF($B131="","",_xlfn.LET(_xlpm.x,IFERROR(_xlfn.XLOOKUP($B131,[1]comp_GEM_coal!$B$2:$B$110,[1]comp_GEM_coal!$F$2:$F$110,"",0),""),IF(ISNUMBER(_xlpm.x),_xlpm.x,"Missing")))</f>
        <v>142.47261987900004</v>
      </c>
      <c r="G131" s="93">
        <f t="shared" ref="G131:G194" si="17">IF($D131&lt;&gt;"Pass","",--($C131&gt;=$Q$3))</f>
        <v>0</v>
      </c>
      <c r="H131" s="93">
        <f t="shared" ref="H131:H194" si="18">IF($D131&lt;&gt;"Pass","",IF(ISNUMBER($E131),--($E131&gt;=$Q$4),""))</f>
        <v>1</v>
      </c>
      <c r="I131" s="93">
        <f t="shared" ref="I131:I194" si="19">IF($D131&lt;&gt;"Pass","",IF(ISNUMBER($F131),--($F131&gt;=$Q$5),""))</f>
        <v>1</v>
      </c>
      <c r="J131" s="93">
        <f t="shared" ref="J131:J194" si="20">IF($D131&lt;&gt;"Pass","",IF(COUNT($G131:$I131)=3,SUM($G131:$I131),""))</f>
        <v>2</v>
      </c>
      <c r="K131" s="93" t="str">
        <f t="shared" ref="K131:K194" si="21">IF($B131="","",IF($D131="Fail","Not screened",IF(COUNT($G131:$I131)&lt;3,"Review – missing data",IF($J131&gt;=$Q$6,"Pass","Fail"))))</f>
        <v>Pass</v>
      </c>
      <c r="L131" s="93" t="str">
        <f t="shared" ref="L131:L194" si="22">IF($B131="","",IF(AND($D131="Pass",$K131="Pass"),"Yes","No"))</f>
        <v>Yes</v>
      </c>
      <c r="M131" s="93" t="str">
        <f t="shared" ref="M131:M194" si="23">IF($B131="","",IF($L131="Yes","",IF($D131="Fail","No operating coal capacity recorded in GEM",IF($K131="Review – missing data","Opportunity screen incomplete because one or more fields are missing","Does not meet at least two material-opportunity thresholds"))))</f>
        <v/>
      </c>
      <c r="O131" s="35"/>
      <c r="P131" s="35"/>
    </row>
    <row r="132" spans="1:16" ht="20" customHeight="1">
      <c r="A132" s="70" t="s">
        <v>272</v>
      </c>
      <c r="B132" s="70" t="s">
        <v>273</v>
      </c>
      <c r="C132" s="93">
        <f>IF($B132="","",_xlfn.LET(_xlpm.x,IFERROR(_xlfn.XLOOKUP($B132,[1]comp_GEM_coal!$B$2:$B$110,[1]comp_GEM_coal!$C$2:$C$110,0,0),0),IF(ISNUMBER(_xlpm.x),_xlpm.x,0)))</f>
        <v>225</v>
      </c>
      <c r="D132" s="93" t="str">
        <f t="shared" si="16"/>
        <v>Pass</v>
      </c>
      <c r="E132" s="93">
        <f>IF($B132="","",_xlfn.LET(_xlpm.src,IFERROR(_xlfn.XLOOKUP($B132,[1]clean_EMBER_2024!$D$5:$D$201,[1]clean_EMBER_2024!$J$5:$J$201,"",0),""),IF(ISNUMBER(_xlpm.src),_xlpm.src,"Missing")))</f>
        <v>40.51</v>
      </c>
      <c r="F132" s="93">
        <f>IF($B132="","",_xlfn.LET(_xlpm.x,IFERROR(_xlfn.XLOOKUP($B132,[1]comp_GEM_coal!$B$2:$B$110,[1]comp_GEM_coal!$F$2:$F$110,"",0),""),IF(ISNUMBER(_xlpm.x),_xlpm.x,"Missing")))</f>
        <v>13.56937332</v>
      </c>
      <c r="G132" s="93">
        <f t="shared" si="17"/>
        <v>0</v>
      </c>
      <c r="H132" s="93">
        <f t="shared" si="18"/>
        <v>1</v>
      </c>
      <c r="I132" s="93">
        <f t="shared" si="19"/>
        <v>0</v>
      </c>
      <c r="J132" s="93">
        <f t="shared" si="20"/>
        <v>1</v>
      </c>
      <c r="K132" s="93" t="str">
        <f t="shared" si="21"/>
        <v>Fail</v>
      </c>
      <c r="L132" s="93" t="str">
        <f t="shared" si="22"/>
        <v>No</v>
      </c>
      <c r="M132" s="93" t="str">
        <f t="shared" si="23"/>
        <v>Does not meet at least two material-opportunity thresholds</v>
      </c>
      <c r="O132" s="35"/>
      <c r="P132" s="35"/>
    </row>
    <row r="133" spans="1:16" ht="20" customHeight="1">
      <c r="A133" s="70" t="s">
        <v>250</v>
      </c>
      <c r="B133" s="70" t="s">
        <v>251</v>
      </c>
      <c r="C133" s="93">
        <f>IF($B133="","",_xlfn.LET(_xlpm.x,IFERROR(_xlfn.XLOOKUP($B133,[1]comp_GEM_coal!$B$2:$B$110,[1]comp_GEM_coal!$C$2:$C$110,0,0),0),IF(ISNUMBER(_xlpm.x),_xlpm.x,0)))</f>
        <v>4092</v>
      </c>
      <c r="D133" s="93" t="str">
        <f t="shared" si="16"/>
        <v>Pass</v>
      </c>
      <c r="E133" s="93">
        <f>IF($B133="","",_xlfn.LET(_xlpm.src,IFERROR(_xlfn.XLOOKUP($B133,[1]clean_EMBER_2024!$D$5:$D$201,[1]clean_EMBER_2024!$J$5:$J$201,"",0),""),IF(ISNUMBER(_xlpm.src),_xlpm.src,"Missing")))</f>
        <v>61.75</v>
      </c>
      <c r="F133" s="93">
        <f>IF($B133="","",_xlfn.LET(_xlpm.x,IFERROR(_xlfn.XLOOKUP($B133,[1]comp_GEM_coal!$B$2:$B$110,[1]comp_GEM_coal!$F$2:$F$110,"",0),""),IF(ISNUMBER(_xlpm.x),_xlpm.x,"Missing")))</f>
        <v>349.53078199499998</v>
      </c>
      <c r="G133" s="93">
        <f t="shared" si="17"/>
        <v>1</v>
      </c>
      <c r="H133" s="93">
        <f t="shared" si="18"/>
        <v>1</v>
      </c>
      <c r="I133" s="93">
        <f t="shared" si="19"/>
        <v>1</v>
      </c>
      <c r="J133" s="93">
        <f t="shared" si="20"/>
        <v>3</v>
      </c>
      <c r="K133" s="93" t="str">
        <f t="shared" si="21"/>
        <v>Pass</v>
      </c>
      <c r="L133" s="93" t="str">
        <f t="shared" si="22"/>
        <v>Yes</v>
      </c>
      <c r="M133" s="93" t="str">
        <f t="shared" si="23"/>
        <v/>
      </c>
      <c r="O133" s="35"/>
      <c r="P133" s="35"/>
    </row>
    <row r="134" spans="1:16" ht="20" customHeight="1">
      <c r="A134" s="70" t="s">
        <v>276</v>
      </c>
      <c r="B134" s="70" t="s">
        <v>277</v>
      </c>
      <c r="C134" s="93">
        <f>IF($B134="","",_xlfn.LET(_xlpm.x,IFERROR(_xlfn.XLOOKUP($B134,[1]comp_GEM_coal!$B$2:$B$110,[1]comp_GEM_coal!$C$2:$C$110,0,0),0),IF(ISNUMBER(_xlpm.x),_xlpm.x,0)))</f>
        <v>0</v>
      </c>
      <c r="D134" s="93" t="str">
        <f t="shared" si="16"/>
        <v>Fail</v>
      </c>
      <c r="E134" s="93">
        <f>IF($B134="","",_xlfn.LET(_xlpm.src,IFERROR(_xlfn.XLOOKUP($B134,[1]clean_EMBER_2024!$D$5:$D$201,[1]clean_EMBER_2024!$J$5:$J$201,"",0),""),IF(ISNUMBER(_xlpm.src),_xlpm.src,"Missing")))</f>
        <v>0</v>
      </c>
      <c r="F134" s="93">
        <f>IF($B134="","",_xlfn.LET(_xlpm.x,IFERROR(_xlfn.XLOOKUP($B134,[1]comp_GEM_coal!$B$2:$B$110,[1]comp_GEM_coal!$F$2:$F$110,"",0),""),IF(ISNUMBER(_xlpm.x),_xlpm.x,"Missing")))</f>
        <v>0</v>
      </c>
      <c r="G134" s="93" t="str">
        <f t="shared" si="17"/>
        <v/>
      </c>
      <c r="H134" s="93" t="str">
        <f t="shared" si="18"/>
        <v/>
      </c>
      <c r="I134" s="93" t="str">
        <f t="shared" si="19"/>
        <v/>
      </c>
      <c r="J134" s="93" t="str">
        <f t="shared" si="20"/>
        <v/>
      </c>
      <c r="K134" s="93" t="str">
        <f t="shared" si="21"/>
        <v>Not screened</v>
      </c>
      <c r="L134" s="93" t="str">
        <f t="shared" si="22"/>
        <v>No</v>
      </c>
      <c r="M134" s="93" t="str">
        <f t="shared" si="23"/>
        <v>No operating coal capacity recorded in GEM</v>
      </c>
      <c r="O134" s="35"/>
      <c r="P134" s="35"/>
    </row>
    <row r="135" spans="1:16" ht="20" customHeight="1">
      <c r="A135" s="70" t="s">
        <v>270</v>
      </c>
      <c r="B135" s="70" t="s">
        <v>271</v>
      </c>
      <c r="C135" s="93">
        <f>IF($B135="","",_xlfn.LET(_xlpm.x,IFERROR(_xlfn.XLOOKUP($B135,[1]comp_GEM_coal!$B$2:$B$110,[1]comp_GEM_coal!$C$2:$C$110,0,0),0),IF(ISNUMBER(_xlpm.x),_xlpm.x,0)))</f>
        <v>150</v>
      </c>
      <c r="D135" s="93" t="str">
        <f t="shared" si="16"/>
        <v>Pass</v>
      </c>
      <c r="E135" s="93">
        <f>IF($B135="","",_xlfn.LET(_xlpm.src,IFERROR(_xlfn.XLOOKUP($B135,[1]clean_EMBER_2024!$D$5:$D$201,[1]clean_EMBER_2024!$J$5:$J$201,"",0),""),IF(ISNUMBER(_xlpm.src),_xlpm.src,"Missing")))</f>
        <v>5.53</v>
      </c>
      <c r="F135" s="93">
        <f>IF($B135="","",_xlfn.LET(_xlpm.x,IFERROR(_xlfn.XLOOKUP($B135,[1]comp_GEM_coal!$B$2:$B$110,[1]comp_GEM_coal!$F$2:$F$110,"",0),""),IF(ISNUMBER(_xlpm.x),_xlpm.x,"Missing")))</f>
        <v>14.593113333</v>
      </c>
      <c r="G135" s="93">
        <f t="shared" si="17"/>
        <v>0</v>
      </c>
      <c r="H135" s="93">
        <f t="shared" si="18"/>
        <v>0</v>
      </c>
      <c r="I135" s="93">
        <f t="shared" si="19"/>
        <v>0</v>
      </c>
      <c r="J135" s="93">
        <f t="shared" si="20"/>
        <v>0</v>
      </c>
      <c r="K135" s="93" t="str">
        <f t="shared" si="21"/>
        <v>Fail</v>
      </c>
      <c r="L135" s="93" t="str">
        <f t="shared" si="22"/>
        <v>No</v>
      </c>
      <c r="M135" s="93" t="str">
        <f t="shared" si="23"/>
        <v>Does not meet at least two material-opportunity thresholds</v>
      </c>
      <c r="O135" s="35"/>
      <c r="P135" s="35"/>
    </row>
    <row r="136" spans="1:16" ht="20" customHeight="1">
      <c r="A136" s="70" t="s">
        <v>288</v>
      </c>
      <c r="B136" s="70" t="s">
        <v>289</v>
      </c>
      <c r="C136" s="93">
        <f>IF($B136="","",_xlfn.LET(_xlpm.x,IFERROR(_xlfn.XLOOKUP($B136,[1]comp_GEM_coal!$B$2:$B$110,[1]comp_GEM_coal!$C$2:$C$110,0,0),0),IF(ISNUMBER(_xlpm.x),_xlpm.x,0)))</f>
        <v>120</v>
      </c>
      <c r="D136" s="93" t="str">
        <f t="shared" si="16"/>
        <v>Pass</v>
      </c>
      <c r="E136" s="93">
        <f>IF($B136="","",_xlfn.LET(_xlpm.src,IFERROR(_xlfn.XLOOKUP($B136,[1]clean_EMBER_2024!$D$5:$D$201,[1]clean_EMBER_2024!$J$5:$J$201,"",0),""),IF(ISNUMBER(_xlpm.src),_xlpm.src,"Missing")))</f>
        <v>2.44</v>
      </c>
      <c r="F136" s="93">
        <f>IF($B136="","",_xlfn.LET(_xlpm.x,IFERROR(_xlfn.XLOOKUP($B136,[1]comp_GEM_coal!$B$2:$B$110,[1]comp_GEM_coal!$F$2:$F$110,"",0),""),IF(ISNUMBER(_xlpm.x),_xlpm.x,"Missing")))</f>
        <v>3.9717288000000003E-2</v>
      </c>
      <c r="G136" s="93">
        <f t="shared" si="17"/>
        <v>0</v>
      </c>
      <c r="H136" s="93">
        <f t="shared" si="18"/>
        <v>0</v>
      </c>
      <c r="I136" s="93">
        <f t="shared" si="19"/>
        <v>0</v>
      </c>
      <c r="J136" s="93">
        <f t="shared" si="20"/>
        <v>0</v>
      </c>
      <c r="K136" s="93" t="str">
        <f t="shared" si="21"/>
        <v>Fail</v>
      </c>
      <c r="L136" s="93" t="str">
        <f t="shared" si="22"/>
        <v>No</v>
      </c>
      <c r="M136" s="93" t="str">
        <f t="shared" si="23"/>
        <v>Does not meet at least two material-opportunity thresholds</v>
      </c>
      <c r="O136" s="35"/>
      <c r="P136" s="35"/>
    </row>
    <row r="137" spans="1:16" ht="20" customHeight="1">
      <c r="A137" s="70" t="s">
        <v>306</v>
      </c>
      <c r="B137" s="70" t="s">
        <v>307</v>
      </c>
      <c r="C137" s="93">
        <f>IF($B137="","",_xlfn.LET(_xlpm.x,IFERROR(_xlfn.XLOOKUP($B137,[1]comp_GEM_coal!$B$2:$B$110,[1]comp_GEM_coal!$C$2:$C$110,0,0),0),IF(ISNUMBER(_xlpm.x),_xlpm.x,0)))</f>
        <v>0</v>
      </c>
      <c r="D137" s="93" t="str">
        <f t="shared" si="16"/>
        <v>Fail</v>
      </c>
      <c r="E137" s="93">
        <f>IF($B137="","",_xlfn.LET(_xlpm.src,IFERROR(_xlfn.XLOOKUP($B137,[1]clean_EMBER_2024!$D$5:$D$201,[1]clean_EMBER_2024!$J$5:$J$201,"",0),""),IF(ISNUMBER(_xlpm.src),_xlpm.src,"Missing")))</f>
        <v>0</v>
      </c>
      <c r="F137" s="93" t="str">
        <f>IF($B137="","",_xlfn.LET(_xlpm.x,IFERROR(_xlfn.XLOOKUP($B137,[1]comp_GEM_coal!$B$2:$B$110,[1]comp_GEM_coal!$F$2:$F$110,"",0),""),IF(ISNUMBER(_xlpm.x),_xlpm.x,"Missing")))</f>
        <v>Missing</v>
      </c>
      <c r="G137" s="93" t="str">
        <f t="shared" si="17"/>
        <v/>
      </c>
      <c r="H137" s="93" t="str">
        <f t="shared" si="18"/>
        <v/>
      </c>
      <c r="I137" s="93" t="str">
        <f t="shared" si="19"/>
        <v/>
      </c>
      <c r="J137" s="93" t="str">
        <f t="shared" si="20"/>
        <v/>
      </c>
      <c r="K137" s="93" t="str">
        <f t="shared" si="21"/>
        <v>Not screened</v>
      </c>
      <c r="L137" s="93" t="str">
        <f t="shared" si="22"/>
        <v>No</v>
      </c>
      <c r="M137" s="93" t="str">
        <f t="shared" si="23"/>
        <v>No operating coal capacity recorded in GEM</v>
      </c>
      <c r="O137" s="35"/>
      <c r="P137" s="35"/>
    </row>
    <row r="138" spans="1:16" ht="20" customHeight="1">
      <c r="A138" s="70" t="s">
        <v>304</v>
      </c>
      <c r="B138" s="70" t="s">
        <v>305</v>
      </c>
      <c r="C138" s="93">
        <f>IF($B138="","",_xlfn.LET(_xlpm.x,IFERROR(_xlfn.XLOOKUP($B138,[1]comp_GEM_coal!$B$2:$B$110,[1]comp_GEM_coal!$C$2:$C$110,0,0),0),IF(ISNUMBER(_xlpm.x),_xlpm.x,0)))</f>
        <v>0</v>
      </c>
      <c r="D138" s="93" t="str">
        <f t="shared" si="16"/>
        <v>Fail</v>
      </c>
      <c r="E138" s="93">
        <f>IF($B138="","",_xlfn.LET(_xlpm.src,IFERROR(_xlfn.XLOOKUP($B138,[1]clean_EMBER_2024!$D$5:$D$201,[1]clean_EMBER_2024!$J$5:$J$201,"",0),""),IF(ISNUMBER(_xlpm.src),_xlpm.src,"Missing")))</f>
        <v>0</v>
      </c>
      <c r="F138" s="93" t="str">
        <f>IF($B138="","",_xlfn.LET(_xlpm.x,IFERROR(_xlfn.XLOOKUP($B138,[1]comp_GEM_coal!$B$2:$B$110,[1]comp_GEM_coal!$F$2:$F$110,"",0),""),IF(ISNUMBER(_xlpm.x),_xlpm.x,"Missing")))</f>
        <v>Missing</v>
      </c>
      <c r="G138" s="93" t="str">
        <f t="shared" si="17"/>
        <v/>
      </c>
      <c r="H138" s="93" t="str">
        <f t="shared" si="18"/>
        <v/>
      </c>
      <c r="I138" s="93" t="str">
        <f t="shared" si="19"/>
        <v/>
      </c>
      <c r="J138" s="93" t="str">
        <f t="shared" si="20"/>
        <v/>
      </c>
      <c r="K138" s="93" t="str">
        <f t="shared" si="21"/>
        <v>Not screened</v>
      </c>
      <c r="L138" s="93" t="str">
        <f t="shared" si="22"/>
        <v>No</v>
      </c>
      <c r="M138" s="93" t="str">
        <f t="shared" si="23"/>
        <v>No operating coal capacity recorded in GEM</v>
      </c>
      <c r="O138" s="35"/>
      <c r="P138" s="35"/>
    </row>
    <row r="139" spans="1:16" ht="20" customHeight="1">
      <c r="A139" s="70" t="s">
        <v>300</v>
      </c>
      <c r="B139" s="70" t="s">
        <v>301</v>
      </c>
      <c r="C139" s="93">
        <f>IF($B139="","",_xlfn.LET(_xlpm.x,IFERROR(_xlfn.XLOOKUP($B139,[1]comp_GEM_coal!$B$2:$B$110,[1]comp_GEM_coal!$C$2:$C$110,0,0),0),IF(ISNUMBER(_xlpm.x),_xlpm.x,0)))</f>
        <v>3500</v>
      </c>
      <c r="D139" s="93" t="str">
        <f t="shared" si="16"/>
        <v>Pass</v>
      </c>
      <c r="E139" s="93">
        <f>IF($B139="","",_xlfn.LET(_xlpm.src,IFERROR(_xlfn.XLOOKUP($B139,[1]clean_EMBER_2024!$D$5:$D$201,[1]clean_EMBER_2024!$J$5:$J$201,"",0),""),IF(ISNUMBER(_xlpm.src),_xlpm.src,"Missing")))</f>
        <v>6.11</v>
      </c>
      <c r="F139" s="93">
        <f>IF($B139="","",_xlfn.LET(_xlpm.x,IFERROR(_xlfn.XLOOKUP($B139,[1]comp_GEM_coal!$B$2:$B$110,[1]comp_GEM_coal!$F$2:$F$110,"",0),""),IF(ISNUMBER(_xlpm.x),_xlpm.x,"Missing")))</f>
        <v>33.542374725999998</v>
      </c>
      <c r="G139" s="93">
        <f t="shared" si="17"/>
        <v>1</v>
      </c>
      <c r="H139" s="93">
        <f t="shared" si="18"/>
        <v>0</v>
      </c>
      <c r="I139" s="93">
        <f t="shared" si="19"/>
        <v>0</v>
      </c>
      <c r="J139" s="93">
        <f t="shared" si="20"/>
        <v>1</v>
      </c>
      <c r="K139" s="93" t="str">
        <f t="shared" si="21"/>
        <v>Fail</v>
      </c>
      <c r="L139" s="93" t="str">
        <f t="shared" si="22"/>
        <v>No</v>
      </c>
      <c r="M139" s="93" t="str">
        <f t="shared" si="23"/>
        <v>Does not meet at least two material-opportunity thresholds</v>
      </c>
      <c r="O139" s="35"/>
      <c r="P139" s="35"/>
    </row>
    <row r="140" spans="1:16" ht="20" customHeight="1">
      <c r="A140" s="70" t="s">
        <v>290</v>
      </c>
      <c r="B140" s="70" t="s">
        <v>291</v>
      </c>
      <c r="C140" s="93">
        <f>IF($B140="","",_xlfn.LET(_xlpm.x,IFERROR(_xlfn.XLOOKUP($B140,[1]comp_GEM_coal!$B$2:$B$110,[1]comp_GEM_coal!$C$2:$C$110,0,0),0),IF(ISNUMBER(_xlpm.x),_xlpm.x,0)))</f>
        <v>370</v>
      </c>
      <c r="D140" s="93" t="str">
        <f t="shared" si="16"/>
        <v>Pass</v>
      </c>
      <c r="E140" s="93">
        <f>IF($B140="","",_xlfn.LET(_xlpm.src,IFERROR(_xlfn.XLOOKUP($B140,[1]clean_EMBER_2024!$D$5:$D$201,[1]clean_EMBER_2024!$J$5:$J$201,"",0),""),IF(ISNUMBER(_xlpm.src),_xlpm.src,"Missing")))</f>
        <v>36.54</v>
      </c>
      <c r="F140" s="93">
        <f>IF($B140="","",_xlfn.LET(_xlpm.x,IFERROR(_xlfn.XLOOKUP($B140,[1]comp_GEM_coal!$B$2:$B$110,[1]comp_GEM_coal!$F$2:$F$110,"",0),""),IF(ISNUMBER(_xlpm.x),_xlpm.x,"Missing")))</f>
        <v>21.241718968000001</v>
      </c>
      <c r="G140" s="93">
        <f t="shared" si="17"/>
        <v>0</v>
      </c>
      <c r="H140" s="93">
        <f t="shared" si="18"/>
        <v>1</v>
      </c>
      <c r="I140" s="93">
        <f t="shared" si="19"/>
        <v>0</v>
      </c>
      <c r="J140" s="93">
        <f t="shared" si="20"/>
        <v>1</v>
      </c>
      <c r="K140" s="93" t="str">
        <f t="shared" si="21"/>
        <v>Fail</v>
      </c>
      <c r="L140" s="93" t="str">
        <f t="shared" si="22"/>
        <v>No</v>
      </c>
      <c r="M140" s="93" t="str">
        <f t="shared" si="23"/>
        <v>Does not meet at least two material-opportunity thresholds</v>
      </c>
      <c r="O140" s="35"/>
      <c r="P140" s="35"/>
    </row>
    <row r="141" spans="1:16" ht="20" customHeight="1">
      <c r="A141" s="70" t="s">
        <v>308</v>
      </c>
      <c r="B141" s="70" t="s">
        <v>309</v>
      </c>
      <c r="C141" s="93">
        <f>IF($B141="","",_xlfn.LET(_xlpm.x,IFERROR(_xlfn.XLOOKUP($B141,[1]comp_GEM_coal!$B$2:$B$110,[1]comp_GEM_coal!$C$2:$C$110,0,0),0),IF(ISNUMBER(_xlpm.x),_xlpm.x,0)))</f>
        <v>750</v>
      </c>
      <c r="D141" s="93" t="str">
        <f t="shared" si="16"/>
        <v>Pass</v>
      </c>
      <c r="E141" s="93">
        <f>IF($B141="","",_xlfn.LET(_xlpm.src,IFERROR(_xlfn.XLOOKUP($B141,[1]clean_EMBER_2024!$D$5:$D$201,[1]clean_EMBER_2024!$J$5:$J$201,"",0),""),IF(ISNUMBER(_xlpm.src),_xlpm.src,"Missing")))</f>
        <v>2.73</v>
      </c>
      <c r="F141" s="93">
        <f>IF($B141="","",_xlfn.LET(_xlpm.x,IFERROR(_xlfn.XLOOKUP($B141,[1]comp_GEM_coal!$B$2:$B$110,[1]comp_GEM_coal!$F$2:$F$110,"",0),""),IF(ISNUMBER(_xlpm.x),_xlpm.x,"Missing")))</f>
        <v>21.014090478</v>
      </c>
      <c r="G141" s="93">
        <f t="shared" si="17"/>
        <v>0</v>
      </c>
      <c r="H141" s="93">
        <f t="shared" si="18"/>
        <v>0</v>
      </c>
      <c r="I141" s="93">
        <f t="shared" si="19"/>
        <v>0</v>
      </c>
      <c r="J141" s="93">
        <f t="shared" si="20"/>
        <v>0</v>
      </c>
      <c r="K141" s="93" t="str">
        <f t="shared" si="21"/>
        <v>Fail</v>
      </c>
      <c r="L141" s="93" t="str">
        <f t="shared" si="22"/>
        <v>No</v>
      </c>
      <c r="M141" s="93" t="str">
        <f t="shared" si="23"/>
        <v>Does not meet at least two material-opportunity thresholds</v>
      </c>
      <c r="O141" s="35"/>
      <c r="P141" s="35"/>
    </row>
    <row r="142" spans="1:16" ht="20" customHeight="1">
      <c r="A142" s="70" t="s">
        <v>296</v>
      </c>
      <c r="B142" s="70" t="s">
        <v>297</v>
      </c>
      <c r="C142" s="93">
        <f>IF($B142="","",_xlfn.LET(_xlpm.x,IFERROR(_xlfn.XLOOKUP($B142,[1]comp_GEM_coal!$B$2:$B$110,[1]comp_GEM_coal!$C$2:$C$110,0,0),0),IF(ISNUMBER(_xlpm.x),_xlpm.x,0)))</f>
        <v>0</v>
      </c>
      <c r="D142" s="93" t="str">
        <f t="shared" si="16"/>
        <v>Fail</v>
      </c>
      <c r="E142" s="93">
        <f>IF($B142="","",_xlfn.LET(_xlpm.src,IFERROR(_xlfn.XLOOKUP($B142,[1]clean_EMBER_2024!$D$5:$D$201,[1]clean_EMBER_2024!$J$5:$J$201,"",0),""),IF(ISNUMBER(_xlpm.src),_xlpm.src,"Missing")))</f>
        <v>0</v>
      </c>
      <c r="F142" s="93" t="str">
        <f>IF($B142="","",_xlfn.LET(_xlpm.x,IFERROR(_xlfn.XLOOKUP($B142,[1]comp_GEM_coal!$B$2:$B$110,[1]comp_GEM_coal!$F$2:$F$110,"",0),""),IF(ISNUMBER(_xlpm.x),_xlpm.x,"Missing")))</f>
        <v>Missing</v>
      </c>
      <c r="G142" s="93" t="str">
        <f t="shared" si="17"/>
        <v/>
      </c>
      <c r="H142" s="93" t="str">
        <f t="shared" si="18"/>
        <v/>
      </c>
      <c r="I142" s="93" t="str">
        <f t="shared" si="19"/>
        <v/>
      </c>
      <c r="J142" s="93" t="str">
        <f t="shared" si="20"/>
        <v/>
      </c>
      <c r="K142" s="93" t="str">
        <f t="shared" si="21"/>
        <v>Not screened</v>
      </c>
      <c r="L142" s="93" t="str">
        <f t="shared" si="22"/>
        <v>No</v>
      </c>
      <c r="M142" s="93" t="str">
        <f t="shared" si="23"/>
        <v>No operating coal capacity recorded in GEM</v>
      </c>
      <c r="O142" s="35"/>
      <c r="P142" s="35"/>
    </row>
    <row r="143" spans="1:16" ht="20" customHeight="1">
      <c r="A143" s="70" t="s">
        <v>292</v>
      </c>
      <c r="B143" s="70" t="s">
        <v>293</v>
      </c>
      <c r="C143" s="93">
        <f>IF($B143="","",_xlfn.LET(_xlpm.x,IFERROR(_xlfn.XLOOKUP($B143,[1]comp_GEM_coal!$B$2:$B$110,[1]comp_GEM_coal!$C$2:$C$110,0,0),0),IF(ISNUMBER(_xlpm.x),_xlpm.x,0)))</f>
        <v>30</v>
      </c>
      <c r="D143" s="93" t="str">
        <f t="shared" si="16"/>
        <v>Pass</v>
      </c>
      <c r="E143" s="93">
        <f>IF($B143="","",_xlfn.LET(_xlpm.src,IFERROR(_xlfn.XLOOKUP($B143,[1]clean_EMBER_2024!$D$5:$D$201,[1]clean_EMBER_2024!$J$5:$J$201,"",0),""),IF(ISNUMBER(_xlpm.src),_xlpm.src,"Missing")))</f>
        <v>17.89</v>
      </c>
      <c r="F143" s="93">
        <f>IF($B143="","",_xlfn.LET(_xlpm.x,IFERROR(_xlfn.XLOOKUP($B143,[1]comp_GEM_coal!$B$2:$B$110,[1]comp_GEM_coal!$F$2:$F$110,"",0),""),IF(ISNUMBER(_xlpm.x),_xlpm.x,"Missing")))</f>
        <v>6.1744527649999998</v>
      </c>
      <c r="G143" s="93">
        <f t="shared" si="17"/>
        <v>0</v>
      </c>
      <c r="H143" s="93">
        <f t="shared" si="18"/>
        <v>0</v>
      </c>
      <c r="I143" s="93">
        <f t="shared" si="19"/>
        <v>0</v>
      </c>
      <c r="J143" s="93">
        <f t="shared" si="20"/>
        <v>0</v>
      </c>
      <c r="K143" s="93" t="str">
        <f t="shared" si="21"/>
        <v>Fail</v>
      </c>
      <c r="L143" s="93" t="str">
        <f t="shared" si="22"/>
        <v>No</v>
      </c>
      <c r="M143" s="93" t="str">
        <f t="shared" si="23"/>
        <v>Does not meet at least two material-opportunity thresholds</v>
      </c>
      <c r="O143" s="35"/>
      <c r="P143" s="35"/>
    </row>
    <row r="144" spans="1:16" ht="20" customHeight="1">
      <c r="A144" s="70" t="s">
        <v>294</v>
      </c>
      <c r="B144" s="70" t="s">
        <v>295</v>
      </c>
      <c r="C144" s="93">
        <f>IF($B144="","",_xlfn.LET(_xlpm.x,IFERROR(_xlfn.XLOOKUP($B144,[1]comp_GEM_coal!$B$2:$B$110,[1]comp_GEM_coal!$C$2:$C$110,0,0),0),IF(ISNUMBER(_xlpm.x),_xlpm.x,0)))</f>
        <v>344</v>
      </c>
      <c r="D144" s="93" t="str">
        <f t="shared" si="16"/>
        <v>Pass</v>
      </c>
      <c r="E144" s="93">
        <f>IF($B144="","",_xlfn.LET(_xlpm.src,IFERROR(_xlfn.XLOOKUP($B144,[1]clean_EMBER_2024!$D$5:$D$201,[1]clean_EMBER_2024!$J$5:$J$201,"",0),""),IF(ISNUMBER(_xlpm.src),_xlpm.src,"Missing")))</f>
        <v>0</v>
      </c>
      <c r="F144" s="93">
        <f>IF($B144="","",_xlfn.LET(_xlpm.x,IFERROR(_xlfn.XLOOKUP($B144,[1]comp_GEM_coal!$B$2:$B$110,[1]comp_GEM_coal!$F$2:$F$110,"",0),""),IF(ISNUMBER(_xlpm.x),_xlpm.x,"Missing")))</f>
        <v>45.996688444000007</v>
      </c>
      <c r="G144" s="93">
        <f t="shared" si="17"/>
        <v>0</v>
      </c>
      <c r="H144" s="93">
        <f t="shared" si="18"/>
        <v>0</v>
      </c>
      <c r="I144" s="93">
        <f t="shared" si="19"/>
        <v>0</v>
      </c>
      <c r="J144" s="93">
        <f t="shared" si="20"/>
        <v>0</v>
      </c>
      <c r="K144" s="93" t="str">
        <f t="shared" si="21"/>
        <v>Fail</v>
      </c>
      <c r="L144" s="93" t="str">
        <f t="shared" si="22"/>
        <v>No</v>
      </c>
      <c r="M144" s="93" t="str">
        <f t="shared" si="23"/>
        <v>Does not meet at least two material-opportunity thresholds</v>
      </c>
      <c r="O144" s="35"/>
      <c r="P144" s="35"/>
    </row>
    <row r="145" spans="1:16" ht="20" customHeight="1">
      <c r="A145" s="70" t="s">
        <v>298</v>
      </c>
      <c r="B145" s="70" t="s">
        <v>299</v>
      </c>
      <c r="C145" s="93">
        <f>IF($B145="","",_xlfn.LET(_xlpm.x,IFERROR(_xlfn.XLOOKUP($B145,[1]comp_GEM_coal!$B$2:$B$110,[1]comp_GEM_coal!$C$2:$C$110,0,0),0),IF(ISNUMBER(_xlpm.x),_xlpm.x,0)))</f>
        <v>0</v>
      </c>
      <c r="D145" s="93" t="str">
        <f t="shared" si="16"/>
        <v>Fail</v>
      </c>
      <c r="E145" s="93" t="str">
        <f>IF($B145="","",_xlfn.LET(_xlpm.src,IFERROR(_xlfn.XLOOKUP($B145,[1]clean_EMBER_2024!$D$5:$D$201,[1]clean_EMBER_2024!$J$5:$J$201,"",0),""),IF(ISNUMBER(_xlpm.src),_xlpm.src,"Missing")))</f>
        <v>Missing</v>
      </c>
      <c r="F145" s="93" t="str">
        <f>IF($B145="","",_xlfn.LET(_xlpm.x,IFERROR(_xlfn.XLOOKUP($B145,[1]comp_GEM_coal!$B$2:$B$110,[1]comp_GEM_coal!$F$2:$F$110,"",0),""),IF(ISNUMBER(_xlpm.x),_xlpm.x,"Missing")))</f>
        <v>Missing</v>
      </c>
      <c r="G145" s="93" t="str">
        <f t="shared" si="17"/>
        <v/>
      </c>
      <c r="H145" s="93" t="str">
        <f t="shared" si="18"/>
        <v/>
      </c>
      <c r="I145" s="93" t="str">
        <f t="shared" si="19"/>
        <v/>
      </c>
      <c r="J145" s="93" t="str">
        <f t="shared" si="20"/>
        <v/>
      </c>
      <c r="K145" s="93" t="str">
        <f t="shared" si="21"/>
        <v>Not screened</v>
      </c>
      <c r="L145" s="93" t="str">
        <f t="shared" si="22"/>
        <v>No</v>
      </c>
      <c r="M145" s="93" t="str">
        <f t="shared" si="23"/>
        <v>No operating coal capacity recorded in GEM</v>
      </c>
      <c r="O145" s="35"/>
      <c r="P145" s="35"/>
    </row>
    <row r="146" spans="1:16" ht="20" customHeight="1">
      <c r="A146" s="35" t="s">
        <v>478</v>
      </c>
      <c r="B146" s="148" t="s">
        <v>328</v>
      </c>
      <c r="C146" s="93">
        <f>IF($B146="","",_xlfn.LET(_xlpm.x,IFERROR(_xlfn.XLOOKUP($B146,[1]comp_GEM_coal!$B$2:$B$110,[1]comp_GEM_coal!$C$2:$C$110,0,0),0),IF(ISNUMBER(_xlpm.x),_xlpm.x,0)))</f>
        <v>3250</v>
      </c>
      <c r="D146" s="93" t="str">
        <f t="shared" si="16"/>
        <v>Pass</v>
      </c>
      <c r="E146" s="93">
        <f>IF($B146="","",_xlfn.LET(_xlpm.src,IFERROR(_xlfn.XLOOKUP($B146,[1]clean_EMBER_2024!$D$5:$D$201,[1]clean_EMBER_2024!$J$5:$J$201,"",0),""),IF(ISNUMBER(_xlpm.src),_xlpm.src,"Missing")))</f>
        <v>34.06</v>
      </c>
      <c r="F146" s="93">
        <f>IF($B146="","",_xlfn.LET(_xlpm.x,IFERROR(_xlfn.XLOOKUP($B146,[1]comp_GEM_coal!$B$2:$B$110,[1]comp_GEM_coal!$F$2:$F$110,"",0),""),IF(ISNUMBER(_xlpm.x),_xlpm.x,"Missing")))</f>
        <v>98.505921050999973</v>
      </c>
      <c r="G146" s="93">
        <f t="shared" si="17"/>
        <v>1</v>
      </c>
      <c r="H146" s="93">
        <f t="shared" si="18"/>
        <v>1</v>
      </c>
      <c r="I146" s="93">
        <f t="shared" si="19"/>
        <v>1</v>
      </c>
      <c r="J146" s="93">
        <f t="shared" si="20"/>
        <v>3</v>
      </c>
      <c r="K146" s="93" t="str">
        <f t="shared" si="21"/>
        <v>Pass</v>
      </c>
      <c r="L146" s="93" t="str">
        <f t="shared" si="22"/>
        <v>Yes</v>
      </c>
      <c r="M146" s="93" t="str">
        <f t="shared" si="23"/>
        <v/>
      </c>
      <c r="O146" s="35"/>
      <c r="P146" s="35"/>
    </row>
    <row r="147" spans="1:16" ht="20" customHeight="1">
      <c r="A147" s="70" t="s">
        <v>264</v>
      </c>
      <c r="B147" s="70" t="s">
        <v>265</v>
      </c>
      <c r="C147" s="93">
        <f>IF($B147="","",_xlfn.LET(_xlpm.x,IFERROR(_xlfn.XLOOKUP($B147,[1]comp_GEM_coal!$B$2:$B$110,[1]comp_GEM_coal!$C$2:$C$110,0,0),0),IF(ISNUMBER(_xlpm.x),_xlpm.x,0)))</f>
        <v>824</v>
      </c>
      <c r="D147" s="93" t="str">
        <f t="shared" si="16"/>
        <v>Pass</v>
      </c>
      <c r="E147" s="93">
        <f>IF($B147="","",_xlfn.LET(_xlpm.src,IFERROR(_xlfn.XLOOKUP($B147,[1]clean_EMBER_2024!$D$5:$D$201,[1]clean_EMBER_2024!$J$5:$J$201,"",0),""),IF(ISNUMBER(_xlpm.src),_xlpm.src,"Missing")))</f>
        <v>37.4</v>
      </c>
      <c r="F147" s="93">
        <f>IF($B147="","",_xlfn.LET(_xlpm.x,IFERROR(_xlfn.XLOOKUP($B147,[1]comp_GEM_coal!$B$2:$B$110,[1]comp_GEM_coal!$F$2:$F$110,"",0),""),IF(ISNUMBER(_xlpm.x),_xlpm.x,"Missing")))</f>
        <v>15.529393913000002</v>
      </c>
      <c r="G147" s="93">
        <f t="shared" si="17"/>
        <v>0</v>
      </c>
      <c r="H147" s="93">
        <f t="shared" si="18"/>
        <v>1</v>
      </c>
      <c r="I147" s="93">
        <f t="shared" si="19"/>
        <v>0</v>
      </c>
      <c r="J147" s="93">
        <f t="shared" si="20"/>
        <v>1</v>
      </c>
      <c r="K147" s="93" t="str">
        <f t="shared" si="21"/>
        <v>Fail</v>
      </c>
      <c r="L147" s="93" t="str">
        <f t="shared" si="22"/>
        <v>No</v>
      </c>
      <c r="M147" s="93" t="str">
        <f t="shared" si="23"/>
        <v>Does not meet at least two material-opportunity thresholds</v>
      </c>
      <c r="O147" s="35"/>
      <c r="P147" s="35"/>
    </row>
    <row r="148" spans="1:16" ht="20" customHeight="1">
      <c r="A148" s="70" t="s">
        <v>302</v>
      </c>
      <c r="B148" s="70" t="s">
        <v>303</v>
      </c>
      <c r="C148" s="93">
        <f>IF($B148="","",_xlfn.LET(_xlpm.x,IFERROR(_xlfn.XLOOKUP($B148,[1]comp_GEM_coal!$B$2:$B$110,[1]comp_GEM_coal!$C$2:$C$110,0,0),0),IF(ISNUMBER(_xlpm.x),_xlpm.x,0)))</f>
        <v>0</v>
      </c>
      <c r="D148" s="93" t="str">
        <f t="shared" si="16"/>
        <v>Fail</v>
      </c>
      <c r="E148" s="93">
        <f>IF($B148="","",_xlfn.LET(_xlpm.src,IFERROR(_xlfn.XLOOKUP($B148,[1]clean_EMBER_2024!$D$5:$D$201,[1]clean_EMBER_2024!$J$5:$J$201,"",0),""),IF(ISNUMBER(_xlpm.src),_xlpm.src,"Missing")))</f>
        <v>0</v>
      </c>
      <c r="F148" s="93" t="str">
        <f>IF($B148="","",_xlfn.LET(_xlpm.x,IFERROR(_xlfn.XLOOKUP($B148,[1]comp_GEM_coal!$B$2:$B$110,[1]comp_GEM_coal!$F$2:$F$110,"",0),""),IF(ISNUMBER(_xlpm.x),_xlpm.x,"Missing")))</f>
        <v>Missing</v>
      </c>
      <c r="G148" s="93" t="str">
        <f t="shared" si="17"/>
        <v/>
      </c>
      <c r="H148" s="93" t="str">
        <f t="shared" si="18"/>
        <v/>
      </c>
      <c r="I148" s="93" t="str">
        <f t="shared" si="19"/>
        <v/>
      </c>
      <c r="J148" s="93" t="str">
        <f t="shared" si="20"/>
        <v/>
      </c>
      <c r="K148" s="93" t="str">
        <f t="shared" si="21"/>
        <v>Not screened</v>
      </c>
      <c r="L148" s="93" t="str">
        <f t="shared" si="22"/>
        <v>No</v>
      </c>
      <c r="M148" s="93" t="str">
        <f t="shared" si="23"/>
        <v>No operating coal capacity recorded in GEM</v>
      </c>
      <c r="O148" s="35"/>
      <c r="P148" s="35"/>
    </row>
    <row r="149" spans="1:16" ht="20" customHeight="1">
      <c r="A149" s="70" t="s">
        <v>310</v>
      </c>
      <c r="B149" s="70" t="s">
        <v>311</v>
      </c>
      <c r="C149" s="93">
        <f>IF($B149="","",_xlfn.LET(_xlpm.x,IFERROR(_xlfn.XLOOKUP($B149,[1]comp_GEM_coal!$B$2:$B$110,[1]comp_GEM_coal!$C$2:$C$110,0,0),0),IF(ISNUMBER(_xlpm.x),_xlpm.x,0)))</f>
        <v>0</v>
      </c>
      <c r="D149" s="93" t="str">
        <f t="shared" si="16"/>
        <v>Fail</v>
      </c>
      <c r="E149" s="93">
        <f>IF($B149="","",_xlfn.LET(_xlpm.src,IFERROR(_xlfn.XLOOKUP($B149,[1]clean_EMBER_2024!$D$5:$D$201,[1]clean_EMBER_2024!$J$5:$J$201,"",0),""),IF(ISNUMBER(_xlpm.src),_xlpm.src,"Missing")))</f>
        <v>0</v>
      </c>
      <c r="F149" s="93">
        <f>IF($B149="","",_xlfn.LET(_xlpm.x,IFERROR(_xlfn.XLOOKUP($B149,[1]comp_GEM_coal!$B$2:$B$110,[1]comp_GEM_coal!$F$2:$F$110,"",0),""),IF(ISNUMBER(_xlpm.x),_xlpm.x,"Missing")))</f>
        <v>0</v>
      </c>
      <c r="G149" s="93" t="str">
        <f t="shared" si="17"/>
        <v/>
      </c>
      <c r="H149" s="93" t="str">
        <f t="shared" si="18"/>
        <v/>
      </c>
      <c r="I149" s="93" t="str">
        <f t="shared" si="19"/>
        <v/>
      </c>
      <c r="J149" s="93" t="str">
        <f t="shared" si="20"/>
        <v/>
      </c>
      <c r="K149" s="93" t="str">
        <f t="shared" si="21"/>
        <v>Not screened</v>
      </c>
      <c r="L149" s="93" t="str">
        <f t="shared" si="22"/>
        <v>No</v>
      </c>
      <c r="M149" s="93" t="str">
        <f t="shared" si="23"/>
        <v>No operating coal capacity recorded in GEM</v>
      </c>
      <c r="O149" s="35"/>
      <c r="P149" s="35"/>
    </row>
    <row r="150" spans="1:16" ht="20" customHeight="1">
      <c r="A150" s="70" t="s">
        <v>312</v>
      </c>
      <c r="B150" s="70" t="s">
        <v>313</v>
      </c>
      <c r="C150" s="93">
        <f>IF($B150="","",_xlfn.LET(_xlpm.x,IFERROR(_xlfn.XLOOKUP($B150,[1]comp_GEM_coal!$B$2:$B$110,[1]comp_GEM_coal!$C$2:$C$110,0,0),0),IF(ISNUMBER(_xlpm.x),_xlpm.x,0)))</f>
        <v>8330</v>
      </c>
      <c r="D150" s="93" t="str">
        <f t="shared" si="16"/>
        <v>Pass</v>
      </c>
      <c r="E150" s="93">
        <f>IF($B150="","",_xlfn.LET(_xlpm.src,IFERROR(_xlfn.XLOOKUP($B150,[1]clean_EMBER_2024!$D$5:$D$201,[1]clean_EMBER_2024!$J$5:$J$201,"",0),""),IF(ISNUMBER(_xlpm.src),_xlpm.src,"Missing")))</f>
        <v>15.45</v>
      </c>
      <c r="F150" s="93">
        <f>IF($B150="","",_xlfn.LET(_xlpm.x,IFERROR(_xlfn.XLOOKUP($B150,[1]comp_GEM_coal!$B$2:$B$110,[1]comp_GEM_coal!$F$2:$F$110,"",0),""),IF(ISNUMBER(_xlpm.x),_xlpm.x,"Missing")))</f>
        <v>668.18929084800004</v>
      </c>
      <c r="G150" s="93">
        <f t="shared" si="17"/>
        <v>1</v>
      </c>
      <c r="H150" s="93">
        <f t="shared" si="18"/>
        <v>0</v>
      </c>
      <c r="I150" s="93">
        <f t="shared" si="19"/>
        <v>1</v>
      </c>
      <c r="J150" s="93">
        <f t="shared" si="20"/>
        <v>2</v>
      </c>
      <c r="K150" s="93" t="str">
        <f t="shared" si="21"/>
        <v>Pass</v>
      </c>
      <c r="L150" s="93" t="str">
        <f t="shared" si="22"/>
        <v>Yes</v>
      </c>
      <c r="M150" s="93" t="str">
        <f t="shared" si="23"/>
        <v/>
      </c>
      <c r="O150" s="35"/>
      <c r="P150" s="35"/>
    </row>
    <row r="151" spans="1:16" ht="20" customHeight="1">
      <c r="A151" s="70" t="s">
        <v>320</v>
      </c>
      <c r="B151" s="70" t="s">
        <v>321</v>
      </c>
      <c r="C151" s="93">
        <f>IF($B151="","",_xlfn.LET(_xlpm.x,IFERROR(_xlfn.XLOOKUP($B151,[1]comp_GEM_coal!$B$2:$B$110,[1]comp_GEM_coal!$C$2:$C$110,0,0),0),IF(ISNUMBER(_xlpm.x),_xlpm.x,0)))</f>
        <v>0</v>
      </c>
      <c r="D151" s="93" t="str">
        <f t="shared" si="16"/>
        <v>Fail</v>
      </c>
      <c r="E151" s="93" t="str">
        <f>IF($B151="","",_xlfn.LET(_xlpm.src,IFERROR(_xlfn.XLOOKUP($B151,[1]clean_EMBER_2024!$D$5:$D$201,[1]clean_EMBER_2024!$J$5:$J$201,"",0),""),IF(ISNUMBER(_xlpm.src),_xlpm.src,"Missing")))</f>
        <v>Missing</v>
      </c>
      <c r="F151" s="93" t="str">
        <f>IF($B151="","",_xlfn.LET(_xlpm.x,IFERROR(_xlfn.XLOOKUP($B151,[1]comp_GEM_coal!$B$2:$B$110,[1]comp_GEM_coal!$F$2:$F$110,"",0),""),IF(ISNUMBER(_xlpm.x),_xlpm.x,"Missing")))</f>
        <v>Missing</v>
      </c>
      <c r="G151" s="93" t="str">
        <f t="shared" si="17"/>
        <v/>
      </c>
      <c r="H151" s="93" t="str">
        <f t="shared" si="18"/>
        <v/>
      </c>
      <c r="I151" s="93" t="str">
        <f t="shared" si="19"/>
        <v/>
      </c>
      <c r="J151" s="93" t="str">
        <f t="shared" si="20"/>
        <v/>
      </c>
      <c r="K151" s="93" t="str">
        <f t="shared" si="21"/>
        <v>Not screened</v>
      </c>
      <c r="L151" s="93" t="str">
        <f t="shared" si="22"/>
        <v>No</v>
      </c>
      <c r="M151" s="93" t="str">
        <f t="shared" si="23"/>
        <v>No operating coal capacity recorded in GEM</v>
      </c>
      <c r="O151" s="35"/>
      <c r="P151" s="35"/>
    </row>
    <row r="152" spans="1:16" ht="20" customHeight="1">
      <c r="A152" s="70" t="s">
        <v>314</v>
      </c>
      <c r="B152" s="70" t="s">
        <v>315</v>
      </c>
      <c r="C152" s="93">
        <f>IF($B152="","",_xlfn.LET(_xlpm.x,IFERROR(_xlfn.XLOOKUP($B152,[1]comp_GEM_coal!$B$2:$B$110,[1]comp_GEM_coal!$C$2:$C$110,0,0),0),IF(ISNUMBER(_xlpm.x),_xlpm.x,0)))</f>
        <v>153</v>
      </c>
      <c r="D152" s="93" t="str">
        <f t="shared" si="16"/>
        <v>Pass</v>
      </c>
      <c r="E152" s="93">
        <f>IF($B152="","",_xlfn.LET(_xlpm.src,IFERROR(_xlfn.XLOOKUP($B152,[1]clean_EMBER_2024!$D$5:$D$201,[1]clean_EMBER_2024!$J$5:$J$201,"",0),""),IF(ISNUMBER(_xlpm.src),_xlpm.src,"Missing")))</f>
        <v>3.72</v>
      </c>
      <c r="F152" s="93">
        <f>IF($B152="","",_xlfn.LET(_xlpm.x,IFERROR(_xlfn.XLOOKUP($B152,[1]comp_GEM_coal!$B$2:$B$110,[1]comp_GEM_coal!$F$2:$F$110,"",0),""),IF(ISNUMBER(_xlpm.x),_xlpm.x,"Missing")))</f>
        <v>6.6494955830000002</v>
      </c>
      <c r="G152" s="93">
        <f t="shared" si="17"/>
        <v>0</v>
      </c>
      <c r="H152" s="93">
        <f t="shared" si="18"/>
        <v>0</v>
      </c>
      <c r="I152" s="93">
        <f t="shared" si="19"/>
        <v>0</v>
      </c>
      <c r="J152" s="93">
        <f t="shared" si="20"/>
        <v>0</v>
      </c>
      <c r="K152" s="93" t="str">
        <f t="shared" si="21"/>
        <v>Fail</v>
      </c>
      <c r="L152" s="93" t="str">
        <f t="shared" si="22"/>
        <v>No</v>
      </c>
      <c r="M152" s="93" t="str">
        <f t="shared" si="23"/>
        <v>Does not meet at least two material-opportunity thresholds</v>
      </c>
      <c r="O152" s="35"/>
      <c r="P152" s="35"/>
    </row>
    <row r="153" spans="1:16" ht="20" customHeight="1">
      <c r="A153" s="70" t="s">
        <v>322</v>
      </c>
      <c r="B153" s="70" t="s">
        <v>323</v>
      </c>
      <c r="C153" s="93">
        <f>IF($B153="","",_xlfn.LET(_xlpm.x,IFERROR(_xlfn.XLOOKUP($B153,[1]comp_GEM_coal!$B$2:$B$110,[1]comp_GEM_coal!$C$2:$C$110,0,0),0),IF(ISNUMBER(_xlpm.x),_xlpm.x,0)))</f>
        <v>0</v>
      </c>
      <c r="D153" s="93" t="str">
        <f t="shared" si="16"/>
        <v>Fail</v>
      </c>
      <c r="E153" s="93">
        <f>IF($B153="","",_xlfn.LET(_xlpm.src,IFERROR(_xlfn.XLOOKUP($B153,[1]clean_EMBER_2024!$D$5:$D$201,[1]clean_EMBER_2024!$J$5:$J$201,"",0),""),IF(ISNUMBER(_xlpm.src),_xlpm.src,"Missing")))</f>
        <v>0</v>
      </c>
      <c r="F153" s="93">
        <f>IF($B153="","",_xlfn.LET(_xlpm.x,IFERROR(_xlfn.XLOOKUP($B153,[1]comp_GEM_coal!$B$2:$B$110,[1]comp_GEM_coal!$F$2:$F$110,"",0),""),IF(ISNUMBER(_xlpm.x),_xlpm.x,"Missing")))</f>
        <v>0</v>
      </c>
      <c r="G153" s="93" t="str">
        <f t="shared" si="17"/>
        <v/>
      </c>
      <c r="H153" s="93" t="str">
        <f t="shared" si="18"/>
        <v/>
      </c>
      <c r="I153" s="93" t="str">
        <f t="shared" si="19"/>
        <v/>
      </c>
      <c r="J153" s="93" t="str">
        <f t="shared" si="20"/>
        <v/>
      </c>
      <c r="K153" s="93" t="str">
        <f t="shared" si="21"/>
        <v>Not screened</v>
      </c>
      <c r="L153" s="93" t="str">
        <f t="shared" si="22"/>
        <v>No</v>
      </c>
      <c r="M153" s="93" t="str">
        <f t="shared" si="23"/>
        <v>No operating coal capacity recorded in GEM</v>
      </c>
      <c r="O153" s="35"/>
      <c r="P153" s="35"/>
    </row>
    <row r="154" spans="1:16" ht="20" customHeight="1">
      <c r="A154" s="70" t="s">
        <v>331</v>
      </c>
      <c r="B154" s="70" t="s">
        <v>332</v>
      </c>
      <c r="C154" s="93">
        <f>IF($B154="","",_xlfn.LET(_xlpm.x,IFERROR(_xlfn.XLOOKUP($B154,[1]comp_GEM_coal!$B$2:$B$110,[1]comp_GEM_coal!$C$2:$C$110,0,0),0),IF(ISNUMBER(_xlpm.x),_xlpm.x,0)))</f>
        <v>0</v>
      </c>
      <c r="D154" s="93" t="str">
        <f t="shared" si="16"/>
        <v>Fail</v>
      </c>
      <c r="E154" s="93">
        <f>IF($B154="","",_xlfn.LET(_xlpm.src,IFERROR(_xlfn.XLOOKUP($B154,[1]clean_EMBER_2024!$D$5:$D$201,[1]clean_EMBER_2024!$J$5:$J$201,"",0),""),IF(ISNUMBER(_xlpm.src),_xlpm.src,"Missing")))</f>
        <v>0</v>
      </c>
      <c r="F154" s="93" t="str">
        <f>IF($B154="","",_xlfn.LET(_xlpm.x,IFERROR(_xlfn.XLOOKUP($B154,[1]comp_GEM_coal!$B$2:$B$110,[1]comp_GEM_coal!$F$2:$F$110,"",0),""),IF(ISNUMBER(_xlpm.x),_xlpm.x,"Missing")))</f>
        <v>Missing</v>
      </c>
      <c r="G154" s="93" t="str">
        <f t="shared" si="17"/>
        <v/>
      </c>
      <c r="H154" s="93" t="str">
        <f t="shared" si="18"/>
        <v/>
      </c>
      <c r="I154" s="93" t="str">
        <f t="shared" si="19"/>
        <v/>
      </c>
      <c r="J154" s="93" t="str">
        <f t="shared" si="20"/>
        <v/>
      </c>
      <c r="K154" s="93" t="str">
        <f t="shared" si="21"/>
        <v>Not screened</v>
      </c>
      <c r="L154" s="93" t="str">
        <f t="shared" si="22"/>
        <v>No</v>
      </c>
      <c r="M154" s="93" t="str">
        <f t="shared" si="23"/>
        <v>No operating coal capacity recorded in GEM</v>
      </c>
      <c r="O154" s="35"/>
      <c r="P154" s="35"/>
    </row>
    <row r="155" spans="1:16" ht="20" customHeight="1">
      <c r="A155" s="70" t="s">
        <v>316</v>
      </c>
      <c r="B155" s="70" t="s">
        <v>317</v>
      </c>
      <c r="C155" s="93">
        <f>IF($B155="","",_xlfn.LET(_xlpm.x,IFERROR(_xlfn.XLOOKUP($B155,[1]comp_GEM_coal!$B$2:$B$110,[1]comp_GEM_coal!$C$2:$C$110,0,0),0),IF(ISNUMBER(_xlpm.x),_xlpm.x,0)))</f>
        <v>0</v>
      </c>
      <c r="D155" s="93" t="str">
        <f t="shared" si="16"/>
        <v>Fail</v>
      </c>
      <c r="E155" s="93">
        <f>IF($B155="","",_xlfn.LET(_xlpm.src,IFERROR(_xlfn.XLOOKUP($B155,[1]clean_EMBER_2024!$D$5:$D$201,[1]clean_EMBER_2024!$J$5:$J$201,"",0),""),IF(ISNUMBER(_xlpm.src),_xlpm.src,"Missing")))</f>
        <v>0</v>
      </c>
      <c r="F155" s="93">
        <f>IF($B155="","",_xlfn.LET(_xlpm.x,IFERROR(_xlfn.XLOOKUP($B155,[1]comp_GEM_coal!$B$2:$B$110,[1]comp_GEM_coal!$F$2:$F$110,"",0),""),IF(ISNUMBER(_xlpm.x),_xlpm.x,"Missing")))</f>
        <v>0</v>
      </c>
      <c r="G155" s="93" t="str">
        <f t="shared" si="17"/>
        <v/>
      </c>
      <c r="H155" s="93" t="str">
        <f t="shared" si="18"/>
        <v/>
      </c>
      <c r="I155" s="93" t="str">
        <f t="shared" si="19"/>
        <v/>
      </c>
      <c r="J155" s="93" t="str">
        <f t="shared" si="20"/>
        <v/>
      </c>
      <c r="K155" s="93" t="str">
        <f t="shared" si="21"/>
        <v>Not screened</v>
      </c>
      <c r="L155" s="93" t="str">
        <f t="shared" si="22"/>
        <v>No</v>
      </c>
      <c r="M155" s="93" t="str">
        <f t="shared" si="23"/>
        <v>No operating coal capacity recorded in GEM</v>
      </c>
      <c r="O155" s="35"/>
      <c r="P155" s="35"/>
    </row>
    <row r="156" spans="1:16" ht="20" customHeight="1">
      <c r="A156" s="70" t="s">
        <v>318</v>
      </c>
      <c r="B156" s="70" t="s">
        <v>319</v>
      </c>
      <c r="C156" s="93">
        <f>IF($B156="","",_xlfn.LET(_xlpm.x,IFERROR(_xlfn.XLOOKUP($B156,[1]comp_GEM_coal!$B$2:$B$110,[1]comp_GEM_coal!$C$2:$C$110,0,0),0),IF(ISNUMBER(_xlpm.x),_xlpm.x,0)))</f>
        <v>12643</v>
      </c>
      <c r="D156" s="93" t="str">
        <f t="shared" si="16"/>
        <v>Pass</v>
      </c>
      <c r="E156" s="93">
        <f>IF($B156="","",_xlfn.LET(_xlpm.src,IFERROR(_xlfn.XLOOKUP($B156,[1]clean_EMBER_2024!$D$5:$D$201,[1]clean_EMBER_2024!$J$5:$J$201,"",0),""),IF(ISNUMBER(_xlpm.src),_xlpm.src,"Missing")))</f>
        <v>63.91</v>
      </c>
      <c r="F156" s="93">
        <f>IF($B156="","",_xlfn.LET(_xlpm.x,IFERROR(_xlfn.XLOOKUP($B156,[1]comp_GEM_coal!$B$2:$B$110,[1]comp_GEM_coal!$F$2:$F$110,"",0),""),IF(ISNUMBER(_xlpm.x),_xlpm.x,"Missing")))</f>
        <v>1678.7175094080003</v>
      </c>
      <c r="G156" s="93">
        <f t="shared" si="17"/>
        <v>1</v>
      </c>
      <c r="H156" s="93">
        <f t="shared" si="18"/>
        <v>1</v>
      </c>
      <c r="I156" s="93">
        <f t="shared" si="19"/>
        <v>1</v>
      </c>
      <c r="J156" s="93">
        <f t="shared" si="20"/>
        <v>3</v>
      </c>
      <c r="K156" s="93" t="str">
        <f t="shared" si="21"/>
        <v>Pass</v>
      </c>
      <c r="L156" s="93" t="str">
        <f t="shared" si="22"/>
        <v>Yes</v>
      </c>
      <c r="M156" s="93" t="str">
        <f t="shared" si="23"/>
        <v/>
      </c>
      <c r="O156" s="35"/>
      <c r="P156" s="35"/>
    </row>
    <row r="157" spans="1:16" ht="20" customHeight="1">
      <c r="A157" s="70" t="s">
        <v>324</v>
      </c>
      <c r="B157" s="70" t="s">
        <v>325</v>
      </c>
      <c r="C157" s="93">
        <f>IF($B157="","",_xlfn.LET(_xlpm.x,IFERROR(_xlfn.XLOOKUP($B157,[1]comp_GEM_coal!$B$2:$B$110,[1]comp_GEM_coal!$C$2:$C$110,0,0),0),IF(ISNUMBER(_xlpm.x),_xlpm.x,0)))</f>
        <v>27263</v>
      </c>
      <c r="D157" s="93" t="str">
        <f t="shared" si="16"/>
        <v>Pass</v>
      </c>
      <c r="E157" s="93">
        <f>IF($B157="","",_xlfn.LET(_xlpm.src,IFERROR(_xlfn.XLOOKUP($B157,[1]clean_EMBER_2024!$D$5:$D$201,[1]clean_EMBER_2024!$J$5:$J$201,"",0),""),IF(ISNUMBER(_xlpm.src),_xlpm.src,"Missing")))</f>
        <v>54.32</v>
      </c>
      <c r="F157" s="93">
        <f>IF($B157="","",_xlfn.LET(_xlpm.x,IFERROR(_xlfn.XLOOKUP($B157,[1]comp_GEM_coal!$B$2:$B$110,[1]comp_GEM_coal!$F$2:$F$110,"",0),""),IF(ISNUMBER(_xlpm.x),_xlpm.x,"Missing")))</f>
        <v>874.40678872299998</v>
      </c>
      <c r="G157" s="93">
        <f t="shared" si="17"/>
        <v>1</v>
      </c>
      <c r="H157" s="93">
        <f t="shared" si="18"/>
        <v>1</v>
      </c>
      <c r="I157" s="93">
        <f t="shared" si="19"/>
        <v>1</v>
      </c>
      <c r="J157" s="93">
        <f t="shared" si="20"/>
        <v>3</v>
      </c>
      <c r="K157" s="93" t="str">
        <f t="shared" si="21"/>
        <v>Pass</v>
      </c>
      <c r="L157" s="93" t="str">
        <f t="shared" si="22"/>
        <v>Yes</v>
      </c>
      <c r="M157" s="93" t="str">
        <f t="shared" si="23"/>
        <v/>
      </c>
      <c r="O157" s="35"/>
      <c r="P157" s="35"/>
    </row>
    <row r="158" spans="1:16" ht="20" customHeight="1">
      <c r="A158" s="70" t="s">
        <v>329</v>
      </c>
      <c r="B158" s="70" t="s">
        <v>330</v>
      </c>
      <c r="C158" s="93">
        <f>IF($B158="","",_xlfn.LET(_xlpm.x,IFERROR(_xlfn.XLOOKUP($B158,[1]comp_GEM_coal!$B$2:$B$110,[1]comp_GEM_coal!$C$2:$C$110,0,0),0),IF(ISNUMBER(_xlpm.x),_xlpm.x,0)))</f>
        <v>0</v>
      </c>
      <c r="D158" s="93" t="str">
        <f t="shared" si="16"/>
        <v>Fail</v>
      </c>
      <c r="E158" s="93">
        <f>IF($B158="","",_xlfn.LET(_xlpm.src,IFERROR(_xlfn.XLOOKUP($B158,[1]clean_EMBER_2024!$D$5:$D$201,[1]clean_EMBER_2024!$J$5:$J$201,"",0),""),IF(ISNUMBER(_xlpm.src),_xlpm.src,"Missing")))</f>
        <v>0</v>
      </c>
      <c r="F158" s="93">
        <f>IF($B158="","",_xlfn.LET(_xlpm.x,IFERROR(_xlfn.XLOOKUP($B158,[1]comp_GEM_coal!$B$2:$B$110,[1]comp_GEM_coal!$F$2:$F$110,"",0),""),IF(ISNUMBER(_xlpm.x),_xlpm.x,"Missing")))</f>
        <v>0</v>
      </c>
      <c r="G158" s="93" t="str">
        <f t="shared" si="17"/>
        <v/>
      </c>
      <c r="H158" s="93" t="str">
        <f t="shared" si="18"/>
        <v/>
      </c>
      <c r="I158" s="93" t="str">
        <f t="shared" si="19"/>
        <v/>
      </c>
      <c r="J158" s="93" t="str">
        <f t="shared" si="20"/>
        <v/>
      </c>
      <c r="K158" s="93" t="str">
        <f t="shared" si="21"/>
        <v>Not screened</v>
      </c>
      <c r="L158" s="93" t="str">
        <f t="shared" si="22"/>
        <v>No</v>
      </c>
      <c r="M158" s="93" t="str">
        <f t="shared" si="23"/>
        <v>No operating coal capacity recorded in GEM</v>
      </c>
      <c r="O158" s="35"/>
      <c r="P158" s="35"/>
    </row>
    <row r="159" spans="1:16" ht="20" customHeight="1">
      <c r="A159" s="70" t="s">
        <v>326</v>
      </c>
      <c r="B159" s="70" t="s">
        <v>327</v>
      </c>
      <c r="C159" s="93">
        <f>IF($B159="","",_xlfn.LET(_xlpm.x,IFERROR(_xlfn.XLOOKUP($B159,[1]comp_GEM_coal!$B$2:$B$110,[1]comp_GEM_coal!$C$2:$C$110,0,0),0),IF(ISNUMBER(_xlpm.x),_xlpm.x,0)))</f>
        <v>0</v>
      </c>
      <c r="D159" s="93" t="str">
        <f t="shared" si="16"/>
        <v>Fail</v>
      </c>
      <c r="E159" s="93">
        <f>IF($B159="","",_xlfn.LET(_xlpm.src,IFERROR(_xlfn.XLOOKUP($B159,[1]clean_EMBER_2024!$D$5:$D$201,[1]clean_EMBER_2024!$J$5:$J$201,"",0),""),IF(ISNUMBER(_xlpm.src),_xlpm.src,"Missing")))</f>
        <v>16</v>
      </c>
      <c r="F159" s="93" t="str">
        <f>IF($B159="","",_xlfn.LET(_xlpm.x,IFERROR(_xlfn.XLOOKUP($B159,[1]comp_GEM_coal!$B$2:$B$110,[1]comp_GEM_coal!$F$2:$F$110,"",0),""),IF(ISNUMBER(_xlpm.x),_xlpm.x,"Missing")))</f>
        <v>Missing</v>
      </c>
      <c r="G159" s="93" t="str">
        <f t="shared" si="17"/>
        <v/>
      </c>
      <c r="H159" s="93" t="str">
        <f t="shared" si="18"/>
        <v/>
      </c>
      <c r="I159" s="93" t="str">
        <f t="shared" si="19"/>
        <v/>
      </c>
      <c r="J159" s="93" t="str">
        <f t="shared" si="20"/>
        <v/>
      </c>
      <c r="K159" s="93" t="str">
        <f t="shared" si="21"/>
        <v>Not screened</v>
      </c>
      <c r="L159" s="93" t="str">
        <f t="shared" si="22"/>
        <v>No</v>
      </c>
      <c r="M159" s="93" t="str">
        <f t="shared" si="23"/>
        <v>No operating coal capacity recorded in GEM</v>
      </c>
      <c r="O159" s="35"/>
      <c r="P159" s="35"/>
    </row>
    <row r="160" spans="1:16" ht="20" customHeight="1">
      <c r="A160" s="70" t="s">
        <v>337</v>
      </c>
      <c r="B160" s="70" t="s">
        <v>338</v>
      </c>
      <c r="C160" s="93">
        <f>IF($B160="","",_xlfn.LET(_xlpm.x,IFERROR(_xlfn.XLOOKUP($B160,[1]comp_GEM_coal!$B$2:$B$110,[1]comp_GEM_coal!$C$2:$C$110,0,0),0),IF(ISNUMBER(_xlpm.x),_xlpm.x,0)))</f>
        <v>0</v>
      </c>
      <c r="D160" s="93" t="str">
        <f t="shared" si="16"/>
        <v>Fail</v>
      </c>
      <c r="E160" s="93">
        <f>IF($B160="","",_xlfn.LET(_xlpm.src,IFERROR(_xlfn.XLOOKUP($B160,[1]clean_EMBER_2024!$D$5:$D$201,[1]clean_EMBER_2024!$J$5:$J$201,"",0),""),IF(ISNUMBER(_xlpm.src),_xlpm.src,"Missing")))</f>
        <v>0</v>
      </c>
      <c r="F160" s="93" t="str">
        <f>IF($B160="","",_xlfn.LET(_xlpm.x,IFERROR(_xlfn.XLOOKUP($B160,[1]comp_GEM_coal!$B$2:$B$110,[1]comp_GEM_coal!$F$2:$F$110,"",0),""),IF(ISNUMBER(_xlpm.x),_xlpm.x,"Missing")))</f>
        <v>Missing</v>
      </c>
      <c r="G160" s="93" t="str">
        <f t="shared" si="17"/>
        <v/>
      </c>
      <c r="H160" s="93" t="str">
        <f t="shared" si="18"/>
        <v/>
      </c>
      <c r="I160" s="93" t="str">
        <f t="shared" si="19"/>
        <v/>
      </c>
      <c r="J160" s="93" t="str">
        <f t="shared" si="20"/>
        <v/>
      </c>
      <c r="K160" s="93" t="str">
        <f t="shared" si="21"/>
        <v>Not screened</v>
      </c>
      <c r="L160" s="93" t="str">
        <f t="shared" si="22"/>
        <v>No</v>
      </c>
      <c r="M160" s="93" t="str">
        <f t="shared" si="23"/>
        <v>No operating coal capacity recorded in GEM</v>
      </c>
      <c r="O160" s="35"/>
      <c r="P160" s="35"/>
    </row>
    <row r="161" spans="1:16" ht="20" customHeight="1">
      <c r="A161" s="70" t="s">
        <v>339</v>
      </c>
      <c r="B161" s="70" t="s">
        <v>340</v>
      </c>
      <c r="C161" s="93">
        <f>IF($B161="","",_xlfn.LET(_xlpm.x,IFERROR(_xlfn.XLOOKUP($B161,[1]comp_GEM_coal!$B$2:$B$110,[1]comp_GEM_coal!$C$2:$C$110,0,0),0),IF(ISNUMBER(_xlpm.x),_xlpm.x,0)))</f>
        <v>0</v>
      </c>
      <c r="D161" s="93" t="str">
        <f t="shared" si="16"/>
        <v>Fail</v>
      </c>
      <c r="E161" s="93" t="str">
        <f>IF($B161="","",_xlfn.LET(_xlpm.src,IFERROR(_xlfn.XLOOKUP($B161,[1]clean_EMBER_2024!$D$5:$D$201,[1]clean_EMBER_2024!$J$5:$J$201,"",0),""),IF(ISNUMBER(_xlpm.src),_xlpm.src,"Missing")))</f>
        <v>Missing</v>
      </c>
      <c r="F161" s="93" t="str">
        <f>IF($B161="","",_xlfn.LET(_xlpm.x,IFERROR(_xlfn.XLOOKUP($B161,[1]comp_GEM_coal!$B$2:$B$110,[1]comp_GEM_coal!$F$2:$F$110,"",0),""),IF(ISNUMBER(_xlpm.x),_xlpm.x,"Missing")))</f>
        <v>Missing</v>
      </c>
      <c r="G161" s="93" t="str">
        <f t="shared" si="17"/>
        <v/>
      </c>
      <c r="H161" s="93" t="str">
        <f t="shared" si="18"/>
        <v/>
      </c>
      <c r="I161" s="93" t="str">
        <f t="shared" si="19"/>
        <v/>
      </c>
      <c r="J161" s="93" t="str">
        <f t="shared" si="20"/>
        <v/>
      </c>
      <c r="K161" s="93" t="str">
        <f t="shared" si="21"/>
        <v>Not screened</v>
      </c>
      <c r="L161" s="93" t="str">
        <f t="shared" si="22"/>
        <v>No</v>
      </c>
      <c r="M161" s="93" t="str">
        <f t="shared" si="23"/>
        <v>No operating coal capacity recorded in GEM</v>
      </c>
      <c r="O161" s="35"/>
      <c r="P161" s="35"/>
    </row>
    <row r="162" spans="1:16" ht="20" customHeight="1">
      <c r="A162" s="70" t="s">
        <v>341</v>
      </c>
      <c r="B162" s="70" t="s">
        <v>342</v>
      </c>
      <c r="C162" s="93">
        <f>IF($B162="","",_xlfn.LET(_xlpm.x,IFERROR(_xlfn.XLOOKUP($B162,[1]comp_GEM_coal!$B$2:$B$110,[1]comp_GEM_coal!$C$2:$C$110,0,0),0),IF(ISNUMBER(_xlpm.x),_xlpm.x,0)))</f>
        <v>2200</v>
      </c>
      <c r="D162" s="93" t="str">
        <f t="shared" si="16"/>
        <v>Pass</v>
      </c>
      <c r="E162" s="93">
        <f>IF($B162="","",_xlfn.LET(_xlpm.src,IFERROR(_xlfn.XLOOKUP($B162,[1]clean_EMBER_2024!$D$5:$D$201,[1]clean_EMBER_2024!$J$5:$J$201,"",0),""),IF(ISNUMBER(_xlpm.src),_xlpm.src,"Missing")))</f>
        <v>15.1</v>
      </c>
      <c r="F162" s="93">
        <f>IF($B162="","",_xlfn.LET(_xlpm.x,IFERROR(_xlfn.XLOOKUP($B162,[1]comp_GEM_coal!$B$2:$B$110,[1]comp_GEM_coal!$F$2:$F$110,"",0),""),IF(ISNUMBER(_xlpm.x),_xlpm.x,"Missing")))</f>
        <v>32.311670887999995</v>
      </c>
      <c r="G162" s="93">
        <f t="shared" si="17"/>
        <v>1</v>
      </c>
      <c r="H162" s="93">
        <f t="shared" si="18"/>
        <v>0</v>
      </c>
      <c r="I162" s="93">
        <f t="shared" si="19"/>
        <v>0</v>
      </c>
      <c r="J162" s="93">
        <f t="shared" si="20"/>
        <v>1</v>
      </c>
      <c r="K162" s="93" t="str">
        <f t="shared" si="21"/>
        <v>Fail</v>
      </c>
      <c r="L162" s="93" t="str">
        <f t="shared" si="22"/>
        <v>No</v>
      </c>
      <c r="M162" s="93" t="str">
        <f t="shared" si="23"/>
        <v>Does not meet at least two material-opportunity thresholds</v>
      </c>
      <c r="O162" s="35"/>
      <c r="P162" s="35"/>
    </row>
    <row r="163" spans="1:16" ht="20" customHeight="1">
      <c r="A163" s="35" t="s">
        <v>479</v>
      </c>
      <c r="B163" s="70" t="s">
        <v>343</v>
      </c>
      <c r="C163" s="93">
        <f>IF($B163="","",_xlfn.LET(_xlpm.x,IFERROR(_xlfn.XLOOKUP($B163,[1]comp_GEM_coal!$B$2:$B$110,[1]comp_GEM_coal!$C$2:$C$110,0,0),0),IF(ISNUMBER(_xlpm.x),_xlpm.x,0)))</f>
        <v>37193</v>
      </c>
      <c r="D163" s="93" t="str">
        <f t="shared" si="16"/>
        <v>Pass</v>
      </c>
      <c r="E163" s="93">
        <f>IF($B163="","",_xlfn.LET(_xlpm.src,IFERROR(_xlfn.XLOOKUP($B163,[1]clean_EMBER_2024!$D$5:$D$201,[1]clean_EMBER_2024!$J$5:$J$201,"",0),""),IF(ISNUMBER(_xlpm.src),_xlpm.src,"Missing")))</f>
        <v>17.79</v>
      </c>
      <c r="F163" s="93">
        <f>IF($B163="","",_xlfn.LET(_xlpm.x,IFERROR(_xlfn.XLOOKUP($B163,[1]comp_GEM_coal!$B$2:$B$110,[1]comp_GEM_coal!$F$2:$F$110,"",0),""),IF(ISNUMBER(_xlpm.x),_xlpm.x,"Missing")))</f>
        <v>2005.9450450580007</v>
      </c>
      <c r="G163" s="93">
        <f t="shared" si="17"/>
        <v>1</v>
      </c>
      <c r="H163" s="93">
        <f t="shared" si="18"/>
        <v>0</v>
      </c>
      <c r="I163" s="93">
        <f t="shared" si="19"/>
        <v>1</v>
      </c>
      <c r="J163" s="93">
        <f t="shared" si="20"/>
        <v>2</v>
      </c>
      <c r="K163" s="93" t="str">
        <f t="shared" si="21"/>
        <v>Pass</v>
      </c>
      <c r="L163" s="93" t="str">
        <f t="shared" si="22"/>
        <v>Yes</v>
      </c>
      <c r="M163" s="93" t="str">
        <f t="shared" si="23"/>
        <v/>
      </c>
      <c r="O163" s="35"/>
      <c r="P163" s="35"/>
    </row>
    <row r="164" spans="1:16" ht="20" customHeight="1">
      <c r="A164" s="70" t="s">
        <v>344</v>
      </c>
      <c r="B164" s="70" t="s">
        <v>345</v>
      </c>
      <c r="C164" s="93">
        <f>IF($B164="","",_xlfn.LET(_xlpm.x,IFERROR(_xlfn.XLOOKUP($B164,[1]comp_GEM_coal!$B$2:$B$110,[1]comp_GEM_coal!$C$2:$C$110,0,0),0),IF(ISNUMBER(_xlpm.x),_xlpm.x,0)))</f>
        <v>0</v>
      </c>
      <c r="D164" s="93" t="str">
        <f t="shared" si="16"/>
        <v>Fail</v>
      </c>
      <c r="E164" s="93">
        <f>IF($B164="","",_xlfn.LET(_xlpm.src,IFERROR(_xlfn.XLOOKUP($B164,[1]clean_EMBER_2024!$D$5:$D$201,[1]clean_EMBER_2024!$J$5:$J$201,"",0),""),IF(ISNUMBER(_xlpm.src),_xlpm.src,"Missing")))</f>
        <v>15.04</v>
      </c>
      <c r="F164" s="93" t="str">
        <f>IF($B164="","",_xlfn.LET(_xlpm.x,IFERROR(_xlfn.XLOOKUP($B164,[1]comp_GEM_coal!$B$2:$B$110,[1]comp_GEM_coal!$F$2:$F$110,"",0),""),IF(ISNUMBER(_xlpm.x),_xlpm.x,"Missing")))</f>
        <v>Missing</v>
      </c>
      <c r="G164" s="93" t="str">
        <f t="shared" si="17"/>
        <v/>
      </c>
      <c r="H164" s="93" t="str">
        <f t="shared" si="18"/>
        <v/>
      </c>
      <c r="I164" s="93" t="str">
        <f t="shared" si="19"/>
        <v/>
      </c>
      <c r="J164" s="93" t="str">
        <f t="shared" si="20"/>
        <v/>
      </c>
      <c r="K164" s="93" t="str">
        <f t="shared" si="21"/>
        <v>Not screened</v>
      </c>
      <c r="L164" s="93" t="str">
        <f t="shared" si="22"/>
        <v>No</v>
      </c>
      <c r="M164" s="93" t="str">
        <f t="shared" si="23"/>
        <v>No operating coal capacity recorded in GEM</v>
      </c>
      <c r="O164" s="35"/>
      <c r="P164" s="35"/>
    </row>
    <row r="165" spans="1:16" ht="20" customHeight="1">
      <c r="A165" s="70" t="s">
        <v>428</v>
      </c>
      <c r="B165" s="70" t="s">
        <v>429</v>
      </c>
      <c r="C165" s="93">
        <f>IF($B165="","",_xlfn.LET(_xlpm.x,IFERROR(_xlfn.XLOOKUP($B165,[1]comp_GEM_coal!$B$2:$B$110,[1]comp_GEM_coal!$C$2:$C$110,0,0),0),IF(ISNUMBER(_xlpm.x),_xlpm.x,0)))</f>
        <v>0</v>
      </c>
      <c r="D165" s="93" t="str">
        <f t="shared" si="16"/>
        <v>Fail</v>
      </c>
      <c r="E165" s="93">
        <f>IF($B165="","",_xlfn.LET(_xlpm.src,IFERROR(_xlfn.XLOOKUP($B165,[1]clean_EMBER_2024!$D$5:$D$201,[1]clean_EMBER_2024!$J$5:$J$201,"",0),""),IF(ISNUMBER(_xlpm.src),_xlpm.src,"Missing")))</f>
        <v>0</v>
      </c>
      <c r="F165" s="93" t="str">
        <f>IF($B165="","",_xlfn.LET(_xlpm.x,IFERROR(_xlfn.XLOOKUP($B165,[1]comp_GEM_coal!$B$2:$B$110,[1]comp_GEM_coal!$F$2:$F$110,"",0),""),IF(ISNUMBER(_xlpm.x),_xlpm.x,"Missing")))</f>
        <v>Missing</v>
      </c>
      <c r="G165" s="93" t="str">
        <f t="shared" si="17"/>
        <v/>
      </c>
      <c r="H165" s="93" t="str">
        <f t="shared" si="18"/>
        <v/>
      </c>
      <c r="I165" s="93" t="str">
        <f t="shared" si="19"/>
        <v/>
      </c>
      <c r="J165" s="93" t="str">
        <f t="shared" si="20"/>
        <v/>
      </c>
      <c r="K165" s="93" t="str">
        <f t="shared" si="21"/>
        <v>Not screened</v>
      </c>
      <c r="L165" s="93" t="str">
        <f t="shared" si="22"/>
        <v>No</v>
      </c>
      <c r="M165" s="93" t="str">
        <f t="shared" si="23"/>
        <v>No operating coal capacity recorded in GEM</v>
      </c>
      <c r="O165" s="35"/>
      <c r="P165" s="35"/>
    </row>
    <row r="166" spans="1:16" ht="20" customHeight="1">
      <c r="A166" s="70" t="s">
        <v>360</v>
      </c>
      <c r="B166" s="70" t="s">
        <v>361</v>
      </c>
      <c r="C166" s="93">
        <f>IF($B166="","",_xlfn.LET(_xlpm.x,IFERROR(_xlfn.XLOOKUP($B166,[1]comp_GEM_coal!$B$2:$B$110,[1]comp_GEM_coal!$C$2:$C$110,0,0),0),IF(ISNUMBER(_xlpm.x),_xlpm.x,0)))</f>
        <v>0</v>
      </c>
      <c r="D166" s="93" t="str">
        <f t="shared" si="16"/>
        <v>Fail</v>
      </c>
      <c r="E166" s="93" t="str">
        <f>IF($B166="","",_xlfn.LET(_xlpm.src,IFERROR(_xlfn.XLOOKUP($B166,[1]clean_EMBER_2024!$D$5:$D$201,[1]clean_EMBER_2024!$J$5:$J$201,"",0),""),IF(ISNUMBER(_xlpm.src),_xlpm.src,"Missing")))</f>
        <v>Missing</v>
      </c>
      <c r="F166" s="93" t="str">
        <f>IF($B166="","",_xlfn.LET(_xlpm.x,IFERROR(_xlfn.XLOOKUP($B166,[1]comp_GEM_coal!$B$2:$B$110,[1]comp_GEM_coal!$F$2:$F$110,"",0),""),IF(ISNUMBER(_xlpm.x),_xlpm.x,"Missing")))</f>
        <v>Missing</v>
      </c>
      <c r="G166" s="93" t="str">
        <f t="shared" si="17"/>
        <v/>
      </c>
      <c r="H166" s="93" t="str">
        <f t="shared" si="18"/>
        <v/>
      </c>
      <c r="I166" s="93" t="str">
        <f t="shared" si="19"/>
        <v/>
      </c>
      <c r="J166" s="93" t="str">
        <f t="shared" si="20"/>
        <v/>
      </c>
      <c r="K166" s="93" t="str">
        <f t="shared" si="21"/>
        <v>Not screened</v>
      </c>
      <c r="L166" s="93" t="str">
        <f t="shared" si="22"/>
        <v>No</v>
      </c>
      <c r="M166" s="93" t="str">
        <f t="shared" si="23"/>
        <v>No operating coal capacity recorded in GEM</v>
      </c>
      <c r="O166" s="35"/>
      <c r="P166" s="35"/>
    </row>
    <row r="167" spans="1:16" ht="20" customHeight="1">
      <c r="A167" s="70" t="s">
        <v>368</v>
      </c>
      <c r="B167" s="70" t="s">
        <v>369</v>
      </c>
      <c r="C167" s="93">
        <f>IF($B167="","",_xlfn.LET(_xlpm.x,IFERROR(_xlfn.XLOOKUP($B167,[1]comp_GEM_coal!$B$2:$B$110,[1]comp_GEM_coal!$C$2:$C$110,0,0),0),IF(ISNUMBER(_xlpm.x),_xlpm.x,0)))</f>
        <v>0</v>
      </c>
      <c r="D167" s="93" t="str">
        <f t="shared" si="16"/>
        <v>Fail</v>
      </c>
      <c r="E167" s="93" t="str">
        <f>IF($B167="","",_xlfn.LET(_xlpm.src,IFERROR(_xlfn.XLOOKUP($B167,[1]clean_EMBER_2024!$D$5:$D$201,[1]clean_EMBER_2024!$J$5:$J$201,"",0),""),IF(ISNUMBER(_xlpm.src),_xlpm.src,"Missing")))</f>
        <v>Missing</v>
      </c>
      <c r="F167" s="93" t="str">
        <f>IF($B167="","",_xlfn.LET(_xlpm.x,IFERROR(_xlfn.XLOOKUP($B167,[1]comp_GEM_coal!$B$2:$B$110,[1]comp_GEM_coal!$F$2:$F$110,"",0),""),IF(ISNUMBER(_xlpm.x),_xlpm.x,"Missing")))</f>
        <v>Missing</v>
      </c>
      <c r="G167" s="93" t="str">
        <f t="shared" si="17"/>
        <v/>
      </c>
      <c r="H167" s="93" t="str">
        <f t="shared" si="18"/>
        <v/>
      </c>
      <c r="I167" s="93" t="str">
        <f t="shared" si="19"/>
        <v/>
      </c>
      <c r="J167" s="93" t="str">
        <f t="shared" si="20"/>
        <v/>
      </c>
      <c r="K167" s="93" t="str">
        <f t="shared" si="21"/>
        <v>Not screened</v>
      </c>
      <c r="L167" s="93" t="str">
        <f t="shared" si="22"/>
        <v>No</v>
      </c>
      <c r="M167" s="93" t="str">
        <f t="shared" si="23"/>
        <v>No operating coal capacity recorded in GEM</v>
      </c>
      <c r="O167" s="35"/>
      <c r="P167" s="35"/>
    </row>
    <row r="168" spans="1:16" ht="20" customHeight="1">
      <c r="A168" s="70" t="s">
        <v>346</v>
      </c>
      <c r="B168" s="70" t="s">
        <v>347</v>
      </c>
      <c r="C168" s="93">
        <f>IF($B168="","",_xlfn.LET(_xlpm.x,IFERROR(_xlfn.XLOOKUP($B168,[1]comp_GEM_coal!$B$2:$B$110,[1]comp_GEM_coal!$C$2:$C$110,0,0),0),IF(ISNUMBER(_xlpm.x),_xlpm.x,0)))</f>
        <v>0</v>
      </c>
      <c r="D168" s="93" t="str">
        <f t="shared" si="16"/>
        <v>Fail</v>
      </c>
      <c r="E168" s="93">
        <f>IF($B168="","",_xlfn.LET(_xlpm.src,IFERROR(_xlfn.XLOOKUP($B168,[1]clean_EMBER_2024!$D$5:$D$201,[1]clean_EMBER_2024!$J$5:$J$201,"",0),""),IF(ISNUMBER(_xlpm.src),_xlpm.src,"Missing")))</f>
        <v>0</v>
      </c>
      <c r="F168" s="93" t="str">
        <f>IF($B168="","",_xlfn.LET(_xlpm.x,IFERROR(_xlfn.XLOOKUP($B168,[1]comp_GEM_coal!$B$2:$B$110,[1]comp_GEM_coal!$F$2:$F$110,"",0),""),IF(ISNUMBER(_xlpm.x),_xlpm.x,"Missing")))</f>
        <v>Missing</v>
      </c>
      <c r="G168" s="93" t="str">
        <f t="shared" si="17"/>
        <v/>
      </c>
      <c r="H168" s="93" t="str">
        <f t="shared" si="18"/>
        <v/>
      </c>
      <c r="I168" s="93" t="str">
        <f t="shared" si="19"/>
        <v/>
      </c>
      <c r="J168" s="93" t="str">
        <f t="shared" si="20"/>
        <v/>
      </c>
      <c r="K168" s="93" t="str">
        <f t="shared" si="21"/>
        <v>Not screened</v>
      </c>
      <c r="L168" s="93" t="str">
        <f t="shared" si="22"/>
        <v>No</v>
      </c>
      <c r="M168" s="93" t="str">
        <f t="shared" si="23"/>
        <v>No operating coal capacity recorded in GEM</v>
      </c>
      <c r="O168" s="35"/>
      <c r="P168" s="35"/>
    </row>
    <row r="169" spans="1:16" ht="20" customHeight="1">
      <c r="A169" s="70" t="s">
        <v>350</v>
      </c>
      <c r="B169" s="70" t="s">
        <v>351</v>
      </c>
      <c r="C169" s="93">
        <f>IF($B169="","",_xlfn.LET(_xlpm.x,IFERROR(_xlfn.XLOOKUP($B169,[1]comp_GEM_coal!$B$2:$B$110,[1]comp_GEM_coal!$C$2:$C$110,0,0),0),IF(ISNUMBER(_xlpm.x),_xlpm.x,0)))</f>
        <v>155</v>
      </c>
      <c r="D169" s="93" t="str">
        <f t="shared" si="16"/>
        <v>Pass</v>
      </c>
      <c r="E169" s="93">
        <f>IF($B169="","",_xlfn.LET(_xlpm.src,IFERROR(_xlfn.XLOOKUP($B169,[1]clean_EMBER_2024!$D$5:$D$201,[1]clean_EMBER_2024!$J$5:$J$201,"",0),""),IF(ISNUMBER(_xlpm.src),_xlpm.src,"Missing")))</f>
        <v>1.31</v>
      </c>
      <c r="F169" s="93">
        <f>IF($B169="","",_xlfn.LET(_xlpm.x,IFERROR(_xlfn.XLOOKUP($B169,[1]comp_GEM_coal!$B$2:$B$110,[1]comp_GEM_coal!$F$2:$F$110,"",0),""),IF(ISNUMBER(_xlpm.x),_xlpm.x,"Missing")))</f>
        <v>14.79507909</v>
      </c>
      <c r="G169" s="93">
        <f t="shared" si="17"/>
        <v>0</v>
      </c>
      <c r="H169" s="93">
        <f t="shared" si="18"/>
        <v>0</v>
      </c>
      <c r="I169" s="93">
        <f t="shared" si="19"/>
        <v>0</v>
      </c>
      <c r="J169" s="93">
        <f t="shared" si="20"/>
        <v>0</v>
      </c>
      <c r="K169" s="93" t="str">
        <f t="shared" si="21"/>
        <v>Fail</v>
      </c>
      <c r="L169" s="93" t="str">
        <f t="shared" si="22"/>
        <v>No</v>
      </c>
      <c r="M169" s="93" t="str">
        <f t="shared" si="23"/>
        <v>Does not meet at least two material-opportunity thresholds</v>
      </c>
      <c r="O169" s="35"/>
      <c r="P169" s="35"/>
    </row>
    <row r="170" spans="1:16" ht="20" customHeight="1">
      <c r="A170" s="70" t="s">
        <v>364</v>
      </c>
      <c r="B170" s="70" t="s">
        <v>365</v>
      </c>
      <c r="C170" s="93">
        <f>IF($B170="","",_xlfn.LET(_xlpm.x,IFERROR(_xlfn.XLOOKUP($B170,[1]comp_GEM_coal!$B$2:$B$110,[1]comp_GEM_coal!$C$2:$C$110,0,0),0),IF(ISNUMBER(_xlpm.x),_xlpm.x,0)))</f>
        <v>4785</v>
      </c>
      <c r="D170" s="93" t="str">
        <f t="shared" si="16"/>
        <v>Pass</v>
      </c>
      <c r="E170" s="93">
        <f>IF($B170="","",_xlfn.LET(_xlpm.src,IFERROR(_xlfn.XLOOKUP($B170,[1]clean_EMBER_2024!$D$5:$D$201,[1]clean_EMBER_2024!$J$5:$J$201,"",0),""),IF(ISNUMBER(_xlpm.src),_xlpm.src,"Missing")))</f>
        <v>62.93</v>
      </c>
      <c r="F170" s="93">
        <f>IF($B170="","",_xlfn.LET(_xlpm.x,IFERROR(_xlfn.XLOOKUP($B170,[1]comp_GEM_coal!$B$2:$B$110,[1]comp_GEM_coal!$F$2:$F$110,"",0),""),IF(ISNUMBER(_xlpm.x),_xlpm.x,"Missing")))</f>
        <v>444.10418674699997</v>
      </c>
      <c r="G170" s="93">
        <f t="shared" si="17"/>
        <v>1</v>
      </c>
      <c r="H170" s="93">
        <f t="shared" si="18"/>
        <v>1</v>
      </c>
      <c r="I170" s="93">
        <f t="shared" si="19"/>
        <v>1</v>
      </c>
      <c r="J170" s="93">
        <f t="shared" si="20"/>
        <v>3</v>
      </c>
      <c r="K170" s="93" t="str">
        <f t="shared" si="21"/>
        <v>Pass</v>
      </c>
      <c r="L170" s="93" t="str">
        <f t="shared" si="22"/>
        <v>Yes</v>
      </c>
      <c r="M170" s="93" t="str">
        <f t="shared" si="23"/>
        <v/>
      </c>
      <c r="O170" s="35"/>
      <c r="P170" s="35"/>
    </row>
    <row r="171" spans="1:16" ht="20" customHeight="1">
      <c r="A171" s="70" t="s">
        <v>379</v>
      </c>
      <c r="B171" s="70" t="s">
        <v>380</v>
      </c>
      <c r="C171" s="93">
        <f>IF($B171="","",_xlfn.LET(_xlpm.x,IFERROR(_xlfn.XLOOKUP($B171,[1]comp_GEM_coal!$B$2:$B$110,[1]comp_GEM_coal!$C$2:$C$110,0,0),0),IF(ISNUMBER(_xlpm.x),_xlpm.x,0)))</f>
        <v>0</v>
      </c>
      <c r="D171" s="93" t="str">
        <f t="shared" si="16"/>
        <v>Fail</v>
      </c>
      <c r="E171" s="93">
        <f>IF($B171="","",_xlfn.LET(_xlpm.src,IFERROR(_xlfn.XLOOKUP($B171,[1]clean_EMBER_2024!$D$5:$D$201,[1]clean_EMBER_2024!$J$5:$J$201,"",0),""),IF(ISNUMBER(_xlpm.src),_xlpm.src,"Missing")))</f>
        <v>0</v>
      </c>
      <c r="F171" s="93" t="str">
        <f>IF($B171="","",_xlfn.LET(_xlpm.x,IFERROR(_xlfn.XLOOKUP($B171,[1]comp_GEM_coal!$B$2:$B$110,[1]comp_GEM_coal!$F$2:$F$110,"",0),""),IF(ISNUMBER(_xlpm.x),_xlpm.x,"Missing")))</f>
        <v>Missing</v>
      </c>
      <c r="G171" s="93" t="str">
        <f t="shared" si="17"/>
        <v/>
      </c>
      <c r="H171" s="93" t="str">
        <f t="shared" si="18"/>
        <v/>
      </c>
      <c r="I171" s="93" t="str">
        <f t="shared" si="19"/>
        <v/>
      </c>
      <c r="J171" s="93" t="str">
        <f t="shared" si="20"/>
        <v/>
      </c>
      <c r="K171" s="93" t="str">
        <f t="shared" si="21"/>
        <v>Not screened</v>
      </c>
      <c r="L171" s="93" t="str">
        <f t="shared" si="22"/>
        <v>No</v>
      </c>
      <c r="M171" s="93" t="str">
        <f t="shared" si="23"/>
        <v>No operating coal capacity recorded in GEM</v>
      </c>
      <c r="O171" s="35"/>
      <c r="P171" s="35"/>
    </row>
    <row r="172" spans="1:16" ht="20" customHeight="1">
      <c r="A172" s="70" t="s">
        <v>356</v>
      </c>
      <c r="B172" s="70" t="s">
        <v>357</v>
      </c>
      <c r="C172" s="93">
        <f>IF($B172="","",_xlfn.LET(_xlpm.x,IFERROR(_xlfn.XLOOKUP($B172,[1]comp_GEM_coal!$B$2:$B$110,[1]comp_GEM_coal!$C$2:$C$110,0,0),0),IF(ISNUMBER(_xlpm.x),_xlpm.x,0)))</f>
        <v>0</v>
      </c>
      <c r="D172" s="93" t="str">
        <f t="shared" si="16"/>
        <v>Fail</v>
      </c>
      <c r="E172" s="93">
        <f>IF($B172="","",_xlfn.LET(_xlpm.src,IFERROR(_xlfn.XLOOKUP($B172,[1]clean_EMBER_2024!$D$5:$D$201,[1]clean_EMBER_2024!$J$5:$J$201,"",0),""),IF(ISNUMBER(_xlpm.src),_xlpm.src,"Missing")))</f>
        <v>0</v>
      </c>
      <c r="F172" s="93" t="str">
        <f>IF($B172="","",_xlfn.LET(_xlpm.x,IFERROR(_xlfn.XLOOKUP($B172,[1]comp_GEM_coal!$B$2:$B$110,[1]comp_GEM_coal!$F$2:$F$110,"",0),""),IF(ISNUMBER(_xlpm.x),_xlpm.x,"Missing")))</f>
        <v>Missing</v>
      </c>
      <c r="G172" s="93" t="str">
        <f t="shared" si="17"/>
        <v/>
      </c>
      <c r="H172" s="93" t="str">
        <f t="shared" si="18"/>
        <v/>
      </c>
      <c r="I172" s="93" t="str">
        <f t="shared" si="19"/>
        <v/>
      </c>
      <c r="J172" s="93" t="str">
        <f t="shared" si="20"/>
        <v/>
      </c>
      <c r="K172" s="93" t="str">
        <f t="shared" si="21"/>
        <v>Not screened</v>
      </c>
      <c r="L172" s="93" t="str">
        <f t="shared" si="22"/>
        <v>No</v>
      </c>
      <c r="M172" s="93" t="str">
        <f t="shared" si="23"/>
        <v>No operating coal capacity recorded in GEM</v>
      </c>
      <c r="O172" s="35"/>
      <c r="P172" s="35"/>
    </row>
    <row r="173" spans="1:16" ht="20" customHeight="1">
      <c r="A173" s="70" t="s">
        <v>352</v>
      </c>
      <c r="B173" s="70" t="s">
        <v>353</v>
      </c>
      <c r="C173" s="93">
        <f>IF($B173="","",_xlfn.LET(_xlpm.x,IFERROR(_xlfn.XLOOKUP($B173,[1]comp_GEM_coal!$B$2:$B$110,[1]comp_GEM_coal!$C$2:$C$110,0,0),0),IF(ISNUMBER(_xlpm.x),_xlpm.x,0)))</f>
        <v>0</v>
      </c>
      <c r="D173" s="93" t="str">
        <f t="shared" si="16"/>
        <v>Fail</v>
      </c>
      <c r="E173" s="93">
        <f>IF($B173="","",_xlfn.LET(_xlpm.src,IFERROR(_xlfn.XLOOKUP($B173,[1]clean_EMBER_2024!$D$5:$D$201,[1]clean_EMBER_2024!$J$5:$J$201,"",0),""),IF(ISNUMBER(_xlpm.src),_xlpm.src,"Missing")))</f>
        <v>0.96</v>
      </c>
      <c r="F173" s="93" t="str">
        <f>IF($B173="","",_xlfn.LET(_xlpm.x,IFERROR(_xlfn.XLOOKUP($B173,[1]comp_GEM_coal!$B$2:$B$110,[1]comp_GEM_coal!$F$2:$F$110,"",0),""),IF(ISNUMBER(_xlpm.x),_xlpm.x,"Missing")))</f>
        <v>Missing</v>
      </c>
      <c r="G173" s="93" t="str">
        <f t="shared" si="17"/>
        <v/>
      </c>
      <c r="H173" s="93" t="str">
        <f t="shared" si="18"/>
        <v/>
      </c>
      <c r="I173" s="93" t="str">
        <f t="shared" si="19"/>
        <v/>
      </c>
      <c r="J173" s="93" t="str">
        <f t="shared" si="20"/>
        <v/>
      </c>
      <c r="K173" s="93" t="str">
        <f t="shared" si="21"/>
        <v>Not screened</v>
      </c>
      <c r="L173" s="93" t="str">
        <f t="shared" si="22"/>
        <v>No</v>
      </c>
      <c r="M173" s="93" t="str">
        <f t="shared" si="23"/>
        <v>No operating coal capacity recorded in GEM</v>
      </c>
      <c r="O173" s="35"/>
      <c r="P173" s="35"/>
    </row>
    <row r="174" spans="1:16" ht="20" customHeight="1">
      <c r="A174" s="35" t="s">
        <v>480</v>
      </c>
      <c r="B174" s="70" t="s">
        <v>372</v>
      </c>
      <c r="C174" s="93">
        <f>IF($B174="","",_xlfn.LET(_xlpm.x,IFERROR(_xlfn.XLOOKUP($B174,[1]comp_GEM_coal!$B$2:$B$110,[1]comp_GEM_coal!$C$2:$C$110,0,0),0),IF(ISNUMBER(_xlpm.x),_xlpm.x,0)))</f>
        <v>274</v>
      </c>
      <c r="D174" s="93" t="str">
        <f t="shared" si="16"/>
        <v>Pass</v>
      </c>
      <c r="E174" s="93">
        <f>IF($B174="","",_xlfn.LET(_xlpm.src,IFERROR(_xlfn.XLOOKUP($B174,[1]clean_EMBER_2024!$D$5:$D$201,[1]clean_EMBER_2024!$J$5:$J$201,"",0),""),IF(ISNUMBER(_xlpm.src),_xlpm.src,"Missing")))</f>
        <v>1.76</v>
      </c>
      <c r="F174" s="93">
        <f>IF($B174="","",_xlfn.LET(_xlpm.x,IFERROR(_xlfn.XLOOKUP($B174,[1]comp_GEM_coal!$B$2:$B$110,[1]comp_GEM_coal!$F$2:$F$110,"",0),""),IF(ISNUMBER(_xlpm.x),_xlpm.x,"Missing")))</f>
        <v>4.9852789560000002</v>
      </c>
      <c r="G174" s="93">
        <f t="shared" si="17"/>
        <v>0</v>
      </c>
      <c r="H174" s="93">
        <f t="shared" si="18"/>
        <v>0</v>
      </c>
      <c r="I174" s="93">
        <f t="shared" si="19"/>
        <v>0</v>
      </c>
      <c r="J174" s="93">
        <f t="shared" si="20"/>
        <v>0</v>
      </c>
      <c r="K174" s="93" t="str">
        <f t="shared" si="21"/>
        <v>Fail</v>
      </c>
      <c r="L174" s="93" t="str">
        <f t="shared" si="22"/>
        <v>No</v>
      </c>
      <c r="M174" s="93" t="str">
        <f t="shared" si="23"/>
        <v>Does not meet at least two material-opportunity thresholds</v>
      </c>
      <c r="O174" s="35"/>
      <c r="P174" s="35"/>
    </row>
    <row r="175" spans="1:16" ht="20" customHeight="1">
      <c r="A175" s="70" t="s">
        <v>373</v>
      </c>
      <c r="B175" s="70" t="s">
        <v>374</v>
      </c>
      <c r="C175" s="93">
        <f>IF($B175="","",_xlfn.LET(_xlpm.x,IFERROR(_xlfn.XLOOKUP($B175,[1]comp_GEM_coal!$B$2:$B$110,[1]comp_GEM_coal!$C$2:$C$110,0,0),0),IF(ISNUMBER(_xlpm.x),_xlpm.x,0)))</f>
        <v>1069</v>
      </c>
      <c r="D175" s="93" t="str">
        <f t="shared" si="16"/>
        <v>Pass</v>
      </c>
      <c r="E175" s="93">
        <f>IF($B175="","",_xlfn.LET(_xlpm.src,IFERROR(_xlfn.XLOOKUP($B175,[1]clean_EMBER_2024!$D$5:$D$201,[1]clean_EMBER_2024!$J$5:$J$201,"",0),""),IF(ISNUMBER(_xlpm.src),_xlpm.src,"Missing")))</f>
        <v>20.95</v>
      </c>
      <c r="F175" s="93">
        <f>IF($B175="","",_xlfn.LET(_xlpm.x,IFERROR(_xlfn.XLOOKUP($B175,[1]comp_GEM_coal!$B$2:$B$110,[1]comp_GEM_coal!$F$2:$F$110,"",0),""),IF(ISNUMBER(_xlpm.x),_xlpm.x,"Missing")))</f>
        <v>4.9199921180000015</v>
      </c>
      <c r="G175" s="93">
        <f t="shared" si="17"/>
        <v>0</v>
      </c>
      <c r="H175" s="93">
        <f t="shared" si="18"/>
        <v>1</v>
      </c>
      <c r="I175" s="93">
        <f t="shared" si="19"/>
        <v>0</v>
      </c>
      <c r="J175" s="93">
        <f t="shared" si="20"/>
        <v>1</v>
      </c>
      <c r="K175" s="93" t="str">
        <f t="shared" si="21"/>
        <v>Fail</v>
      </c>
      <c r="L175" s="93" t="str">
        <f t="shared" si="22"/>
        <v>No</v>
      </c>
      <c r="M175" s="93" t="str">
        <f t="shared" si="23"/>
        <v>Does not meet at least two material-opportunity thresholds</v>
      </c>
      <c r="O175" s="35"/>
      <c r="P175" s="35"/>
    </row>
    <row r="176" spans="1:16" ht="20" customHeight="1">
      <c r="A176" s="70" t="s">
        <v>354</v>
      </c>
      <c r="B176" s="70" t="s">
        <v>355</v>
      </c>
      <c r="C176" s="93">
        <f>IF($B176="","",_xlfn.LET(_xlpm.x,IFERROR(_xlfn.XLOOKUP($B176,[1]comp_GEM_coal!$B$2:$B$110,[1]comp_GEM_coal!$C$2:$C$110,0,0),0),IF(ISNUMBER(_xlpm.x),_xlpm.x,0)))</f>
        <v>0</v>
      </c>
      <c r="D176" s="93" t="str">
        <f t="shared" si="16"/>
        <v>Fail</v>
      </c>
      <c r="E176" s="93">
        <f>IF($B176="","",_xlfn.LET(_xlpm.src,IFERROR(_xlfn.XLOOKUP($B176,[1]clean_EMBER_2024!$D$5:$D$201,[1]clean_EMBER_2024!$J$5:$J$201,"",0),""),IF(ISNUMBER(_xlpm.src),_xlpm.src,"Missing")))</f>
        <v>0</v>
      </c>
      <c r="F176" s="93" t="str">
        <f>IF($B176="","",_xlfn.LET(_xlpm.x,IFERROR(_xlfn.XLOOKUP($B176,[1]comp_GEM_coal!$B$2:$B$110,[1]comp_GEM_coal!$F$2:$F$110,"",0),""),IF(ISNUMBER(_xlpm.x),_xlpm.x,"Missing")))</f>
        <v>Missing</v>
      </c>
      <c r="G176" s="93" t="str">
        <f t="shared" si="17"/>
        <v/>
      </c>
      <c r="H176" s="93" t="str">
        <f t="shared" si="18"/>
        <v/>
      </c>
      <c r="I176" s="93" t="str">
        <f t="shared" si="19"/>
        <v/>
      </c>
      <c r="J176" s="93" t="str">
        <f t="shared" si="20"/>
        <v/>
      </c>
      <c r="K176" s="93" t="str">
        <f t="shared" si="21"/>
        <v>Not screened</v>
      </c>
      <c r="L176" s="93" t="str">
        <f t="shared" si="22"/>
        <v>No</v>
      </c>
      <c r="M176" s="93" t="str">
        <f t="shared" si="23"/>
        <v>No operating coal capacity recorded in GEM</v>
      </c>
      <c r="O176" s="35"/>
      <c r="P176" s="35"/>
    </row>
    <row r="177" spans="1:16" ht="20" customHeight="1">
      <c r="A177" s="70" t="s">
        <v>434</v>
      </c>
      <c r="B177" s="70" t="s">
        <v>435</v>
      </c>
      <c r="C177" s="93">
        <f>IF($B177="","",_xlfn.LET(_xlpm.x,IFERROR(_xlfn.XLOOKUP($B177,[1]comp_GEM_coal!$B$2:$B$110,[1]comp_GEM_coal!$C$2:$C$110,0,0),0),IF(ISNUMBER(_xlpm.x),_xlpm.x,0)))</f>
        <v>45025</v>
      </c>
      <c r="D177" s="93" t="str">
        <f t="shared" si="16"/>
        <v>Pass</v>
      </c>
      <c r="E177" s="93">
        <f>IF($B177="","",_xlfn.LET(_xlpm.src,IFERROR(_xlfn.XLOOKUP($B177,[1]clean_EMBER_2024!$D$5:$D$201,[1]clean_EMBER_2024!$J$5:$J$201,"",0),""),IF(ISNUMBER(_xlpm.src),_xlpm.src,"Missing")))</f>
        <v>83.55</v>
      </c>
      <c r="F177" s="93">
        <f>IF($B177="","",_xlfn.LET(_xlpm.x,IFERROR(_xlfn.XLOOKUP($B177,[1]comp_GEM_coal!$B$2:$B$110,[1]comp_GEM_coal!$F$2:$F$110,"",0),""),IF(ISNUMBER(_xlpm.x),_xlpm.x,"Missing")))</f>
        <v>3281.4282709740005</v>
      </c>
      <c r="G177" s="93">
        <f t="shared" si="17"/>
        <v>1</v>
      </c>
      <c r="H177" s="93">
        <f t="shared" si="18"/>
        <v>1</v>
      </c>
      <c r="I177" s="93">
        <f t="shared" si="19"/>
        <v>1</v>
      </c>
      <c r="J177" s="93">
        <f t="shared" si="20"/>
        <v>3</v>
      </c>
      <c r="K177" s="93" t="str">
        <f t="shared" si="21"/>
        <v>Pass</v>
      </c>
      <c r="L177" s="93" t="str">
        <f t="shared" si="22"/>
        <v>Yes</v>
      </c>
      <c r="M177" s="93" t="str">
        <f t="shared" si="23"/>
        <v/>
      </c>
      <c r="O177" s="35"/>
      <c r="P177" s="35"/>
    </row>
    <row r="178" spans="1:16" ht="20" customHeight="1">
      <c r="A178" s="70" t="s">
        <v>366</v>
      </c>
      <c r="B178" s="70" t="s">
        <v>367</v>
      </c>
      <c r="C178" s="93">
        <f>IF($B178="","",_xlfn.LET(_xlpm.x,IFERROR(_xlfn.XLOOKUP($B178,[1]comp_GEM_coal!$B$2:$B$110,[1]comp_GEM_coal!$C$2:$C$110,0,0),0),IF(ISNUMBER(_xlpm.x),_xlpm.x,0)))</f>
        <v>0</v>
      </c>
      <c r="D178" s="93" t="str">
        <f t="shared" si="16"/>
        <v>Fail</v>
      </c>
      <c r="E178" s="93">
        <f>IF($B178="","",_xlfn.LET(_xlpm.src,IFERROR(_xlfn.XLOOKUP($B178,[1]clean_EMBER_2024!$D$5:$D$201,[1]clean_EMBER_2024!$J$5:$J$201,"",0),""),IF(ISNUMBER(_xlpm.src),_xlpm.src,"Missing")))</f>
        <v>0</v>
      </c>
      <c r="F178" s="93" t="str">
        <f>IF($B178="","",_xlfn.LET(_xlpm.x,IFERROR(_xlfn.XLOOKUP($B178,[1]comp_GEM_coal!$B$2:$B$110,[1]comp_GEM_coal!$F$2:$F$110,"",0),""),IF(ISNUMBER(_xlpm.x),_xlpm.x,"Missing")))</f>
        <v>Missing</v>
      </c>
      <c r="G178" s="93" t="str">
        <f t="shared" si="17"/>
        <v/>
      </c>
      <c r="H178" s="93" t="str">
        <f t="shared" si="18"/>
        <v/>
      </c>
      <c r="I178" s="93" t="str">
        <f t="shared" si="19"/>
        <v/>
      </c>
      <c r="J178" s="93" t="str">
        <f t="shared" si="20"/>
        <v/>
      </c>
      <c r="K178" s="93" t="str">
        <f t="shared" si="21"/>
        <v>Not screened</v>
      </c>
      <c r="L178" s="93" t="str">
        <f t="shared" si="22"/>
        <v>No</v>
      </c>
      <c r="M178" s="93" t="str">
        <f t="shared" si="23"/>
        <v>No operating coal capacity recorded in GEM</v>
      </c>
      <c r="O178" s="35"/>
      <c r="P178" s="35"/>
    </row>
    <row r="179" spans="1:16" ht="20" customHeight="1">
      <c r="A179" s="35" t="s">
        <v>481</v>
      </c>
      <c r="B179" s="70" t="s">
        <v>224</v>
      </c>
      <c r="C179" s="93">
        <f>IF($B179="","",_xlfn.LET(_xlpm.x,IFERROR(_xlfn.XLOOKUP($B179,[1]comp_GEM_coal!$B$2:$B$110,[1]comp_GEM_coal!$C$2:$C$110,0,0),0),IF(ISNUMBER(_xlpm.x),_xlpm.x,0)))</f>
        <v>41745</v>
      </c>
      <c r="D179" s="93" t="str">
        <f t="shared" si="16"/>
        <v>Pass</v>
      </c>
      <c r="E179" s="93">
        <f>IF($B179="","",_xlfn.LET(_xlpm.src,IFERROR(_xlfn.XLOOKUP($B179,[1]clean_EMBER_2024!$D$5:$D$201,[1]clean_EMBER_2024!$J$5:$J$201,"",0),""),IF(ISNUMBER(_xlpm.src),_xlpm.src,"Missing")))</f>
        <v>30.51</v>
      </c>
      <c r="F179" s="93">
        <f>IF($B179="","",_xlfn.LET(_xlpm.x,IFERROR(_xlfn.XLOOKUP($B179,[1]comp_GEM_coal!$B$2:$B$110,[1]comp_GEM_coal!$F$2:$F$110,"",0),""),IF(ISNUMBER(_xlpm.x),_xlpm.x,"Missing")))</f>
        <v>2612.7766412939991</v>
      </c>
      <c r="G179" s="93">
        <f t="shared" si="17"/>
        <v>1</v>
      </c>
      <c r="H179" s="93">
        <f t="shared" si="18"/>
        <v>1</v>
      </c>
      <c r="I179" s="93">
        <f t="shared" si="19"/>
        <v>1</v>
      </c>
      <c r="J179" s="93">
        <f t="shared" si="20"/>
        <v>3</v>
      </c>
      <c r="K179" s="93" t="str">
        <f t="shared" si="21"/>
        <v>Pass</v>
      </c>
      <c r="L179" s="93" t="str">
        <f t="shared" si="22"/>
        <v>Yes</v>
      </c>
      <c r="M179" s="93" t="str">
        <f t="shared" si="23"/>
        <v/>
      </c>
      <c r="O179" s="35"/>
      <c r="P179" s="35"/>
    </row>
    <row r="180" spans="1:16" ht="20" customHeight="1">
      <c r="A180" s="70" t="s">
        <v>136</v>
      </c>
      <c r="B180" s="70" t="s">
        <v>137</v>
      </c>
      <c r="C180" s="93">
        <f>IF($B180="","",_xlfn.LET(_xlpm.x,IFERROR(_xlfn.XLOOKUP($B180,[1]comp_GEM_coal!$B$2:$B$110,[1]comp_GEM_coal!$C$2:$C$110,0,0),0),IF(ISNUMBER(_xlpm.x),_xlpm.x,0)))</f>
        <v>260</v>
      </c>
      <c r="D180" s="93" t="str">
        <f t="shared" si="16"/>
        <v>Pass</v>
      </c>
      <c r="E180" s="93">
        <f>IF($B180="","",_xlfn.LET(_xlpm.src,IFERROR(_xlfn.XLOOKUP($B180,[1]clean_EMBER_2024!$D$5:$D$201,[1]clean_EMBER_2024!$J$5:$J$201,"",0),""),IF(ISNUMBER(_xlpm.src),_xlpm.src,"Missing")))</f>
        <v>0.92</v>
      </c>
      <c r="F180" s="93">
        <f>IF($B180="","",_xlfn.LET(_xlpm.x,IFERROR(_xlfn.XLOOKUP($B180,[1]comp_GEM_coal!$B$2:$B$110,[1]comp_GEM_coal!$F$2:$F$110,"",0),""),IF(ISNUMBER(_xlpm.x),_xlpm.x,"Missing")))</f>
        <v>2.5133884740000001</v>
      </c>
      <c r="G180" s="93">
        <f t="shared" si="17"/>
        <v>0</v>
      </c>
      <c r="H180" s="93">
        <f t="shared" si="18"/>
        <v>0</v>
      </c>
      <c r="I180" s="93">
        <f t="shared" si="19"/>
        <v>0</v>
      </c>
      <c r="J180" s="93">
        <f t="shared" si="20"/>
        <v>0</v>
      </c>
      <c r="K180" s="93" t="str">
        <f t="shared" si="21"/>
        <v>Fail</v>
      </c>
      <c r="L180" s="93" t="str">
        <f t="shared" si="22"/>
        <v>No</v>
      </c>
      <c r="M180" s="93" t="str">
        <f t="shared" si="23"/>
        <v>Does not meet at least two material-opportunity thresholds</v>
      </c>
      <c r="O180" s="35"/>
      <c r="P180" s="35"/>
    </row>
    <row r="181" spans="1:16" ht="20" customHeight="1">
      <c r="A181" s="70" t="s">
        <v>238</v>
      </c>
      <c r="B181" s="70" t="s">
        <v>239</v>
      </c>
      <c r="C181" s="93">
        <f>IF($B181="","",_xlfn.LET(_xlpm.x,IFERROR(_xlfn.XLOOKUP($B181,[1]comp_GEM_coal!$B$2:$B$110,[1]comp_GEM_coal!$C$2:$C$110,0,0),0),IF(ISNUMBER(_xlpm.x),_xlpm.x,0)))</f>
        <v>900</v>
      </c>
      <c r="D181" s="93" t="str">
        <f t="shared" si="16"/>
        <v>Pass</v>
      </c>
      <c r="E181" s="93">
        <f>IF($B181="","",_xlfn.LET(_xlpm.src,IFERROR(_xlfn.XLOOKUP($B181,[1]clean_EMBER_2024!$D$5:$D$201,[1]clean_EMBER_2024!$J$5:$J$201,"",0),""),IF(ISNUMBER(_xlpm.src),_xlpm.src,"Missing")))</f>
        <v>32.86</v>
      </c>
      <c r="F181" s="93">
        <f>IF($B181="","",_xlfn.LET(_xlpm.x,IFERROR(_xlfn.XLOOKUP($B181,[1]comp_GEM_coal!$B$2:$B$110,[1]comp_GEM_coal!$F$2:$F$110,"",0),""),IF(ISNUMBER(_xlpm.x),_xlpm.x,"Missing")))</f>
        <v>106.49711164999999</v>
      </c>
      <c r="G181" s="93">
        <f t="shared" si="17"/>
        <v>0</v>
      </c>
      <c r="H181" s="93">
        <f t="shared" si="18"/>
        <v>1</v>
      </c>
      <c r="I181" s="93">
        <f t="shared" si="19"/>
        <v>1</v>
      </c>
      <c r="J181" s="93">
        <f t="shared" si="20"/>
        <v>2</v>
      </c>
      <c r="K181" s="93" t="str">
        <f t="shared" si="21"/>
        <v>Pass</v>
      </c>
      <c r="L181" s="93" t="str">
        <f t="shared" si="22"/>
        <v>Yes</v>
      </c>
      <c r="M181" s="93" t="str">
        <f t="shared" si="23"/>
        <v/>
      </c>
      <c r="O181" s="35"/>
      <c r="P181" s="35"/>
    </row>
    <row r="182" spans="1:16" ht="20" customHeight="1">
      <c r="A182" s="70" t="s">
        <v>222</v>
      </c>
      <c r="B182" s="70" t="s">
        <v>223</v>
      </c>
      <c r="C182" s="93">
        <f>IF($B182="","",_xlfn.LET(_xlpm.x,IFERROR(_xlfn.XLOOKUP($B182,[1]comp_GEM_coal!$B$2:$B$110,[1]comp_GEM_coal!$C$2:$C$110,0,0),0),IF(ISNUMBER(_xlpm.x),_xlpm.x,0)))</f>
        <v>0</v>
      </c>
      <c r="D182" s="93" t="str">
        <f t="shared" si="16"/>
        <v>Fail</v>
      </c>
      <c r="E182" s="93">
        <f>IF($B182="","",_xlfn.LET(_xlpm.src,IFERROR(_xlfn.XLOOKUP($B182,[1]clean_EMBER_2024!$D$5:$D$201,[1]clean_EMBER_2024!$J$5:$J$201,"",0),""),IF(ISNUMBER(_xlpm.src),_xlpm.src,"Missing")))</f>
        <v>0</v>
      </c>
      <c r="F182" s="93" t="str">
        <f>IF($B182="","",_xlfn.LET(_xlpm.x,IFERROR(_xlfn.XLOOKUP($B182,[1]comp_GEM_coal!$B$2:$B$110,[1]comp_GEM_coal!$F$2:$F$110,"",0),""),IF(ISNUMBER(_xlpm.x),_xlpm.x,"Missing")))</f>
        <v>Missing</v>
      </c>
      <c r="G182" s="93" t="str">
        <f t="shared" si="17"/>
        <v/>
      </c>
      <c r="H182" s="93" t="str">
        <f t="shared" si="18"/>
        <v/>
      </c>
      <c r="I182" s="93" t="str">
        <f t="shared" si="19"/>
        <v/>
      </c>
      <c r="J182" s="93" t="str">
        <f t="shared" si="20"/>
        <v/>
      </c>
      <c r="K182" s="93" t="str">
        <f t="shared" si="21"/>
        <v>Not screened</v>
      </c>
      <c r="L182" s="93" t="str">
        <f t="shared" si="22"/>
        <v>No</v>
      </c>
      <c r="M182" s="93" t="str">
        <f t="shared" si="23"/>
        <v>No operating coal capacity recorded in GEM</v>
      </c>
      <c r="O182" s="35"/>
      <c r="P182" s="35"/>
    </row>
    <row r="183" spans="1:16" ht="20" customHeight="1">
      <c r="A183" s="70" t="s">
        <v>234</v>
      </c>
      <c r="B183" s="70" t="s">
        <v>235</v>
      </c>
      <c r="C183" s="93">
        <f>IF($B183="","",_xlfn.LET(_xlpm.x,IFERROR(_xlfn.XLOOKUP($B183,[1]comp_GEM_coal!$B$2:$B$110,[1]comp_GEM_coal!$C$2:$C$110,0,0),0),IF(ISNUMBER(_xlpm.x),_xlpm.x,0)))</f>
        <v>0</v>
      </c>
      <c r="D183" s="93" t="str">
        <f t="shared" si="16"/>
        <v>Fail</v>
      </c>
      <c r="E183" s="93">
        <f>IF($B183="","",_xlfn.LET(_xlpm.src,IFERROR(_xlfn.XLOOKUP($B183,[1]clean_EMBER_2024!$D$5:$D$201,[1]clean_EMBER_2024!$J$5:$J$201,"",0),""),IF(ISNUMBER(_xlpm.src),_xlpm.src,"Missing")))</f>
        <v>0</v>
      </c>
      <c r="F183" s="93" t="str">
        <f>IF($B183="","",_xlfn.LET(_xlpm.x,IFERROR(_xlfn.XLOOKUP($B183,[1]comp_GEM_coal!$B$2:$B$110,[1]comp_GEM_coal!$F$2:$F$110,"",0),""),IF(ISNUMBER(_xlpm.x),_xlpm.x,"Missing")))</f>
        <v>Missing</v>
      </c>
      <c r="G183" s="93" t="str">
        <f t="shared" si="17"/>
        <v/>
      </c>
      <c r="H183" s="93" t="str">
        <f t="shared" si="18"/>
        <v/>
      </c>
      <c r="I183" s="93" t="str">
        <f t="shared" si="19"/>
        <v/>
      </c>
      <c r="J183" s="93" t="str">
        <f t="shared" si="20"/>
        <v/>
      </c>
      <c r="K183" s="93" t="str">
        <f t="shared" si="21"/>
        <v>Not screened</v>
      </c>
      <c r="L183" s="93" t="str">
        <f t="shared" si="22"/>
        <v>No</v>
      </c>
      <c r="M183" s="93" t="str">
        <f t="shared" si="23"/>
        <v>No operating coal capacity recorded in GEM</v>
      </c>
      <c r="O183" s="35"/>
      <c r="P183" s="35"/>
    </row>
    <row r="184" spans="1:16" ht="20" customHeight="1">
      <c r="A184" s="70" t="s">
        <v>419</v>
      </c>
      <c r="B184" s="70" t="s">
        <v>420</v>
      </c>
      <c r="C184" s="93">
        <f>IF($B184="","",_xlfn.LET(_xlpm.x,IFERROR(_xlfn.XLOOKUP($B184,[1]comp_GEM_coal!$B$2:$B$110,[1]comp_GEM_coal!$C$2:$C$110,0,0),0),IF(ISNUMBER(_xlpm.x),_xlpm.x,0)))</f>
        <v>0</v>
      </c>
      <c r="D184" s="93" t="str">
        <f t="shared" si="16"/>
        <v>Fail</v>
      </c>
      <c r="E184" s="93">
        <f>IF($B184="","",_xlfn.LET(_xlpm.src,IFERROR(_xlfn.XLOOKUP($B184,[1]clean_EMBER_2024!$D$5:$D$201,[1]clean_EMBER_2024!$J$5:$J$201,"",0),""),IF(ISNUMBER(_xlpm.src),_xlpm.src,"Missing")))</f>
        <v>0</v>
      </c>
      <c r="F184" s="93" t="str">
        <f>IF($B184="","",_xlfn.LET(_xlpm.x,IFERROR(_xlfn.XLOOKUP($B184,[1]comp_GEM_coal!$B$2:$B$110,[1]comp_GEM_coal!$F$2:$F$110,"",0),""),IF(ISNUMBER(_xlpm.x),_xlpm.x,"Missing")))</f>
        <v>Missing</v>
      </c>
      <c r="G184" s="93" t="str">
        <f t="shared" si="17"/>
        <v/>
      </c>
      <c r="H184" s="93" t="str">
        <f t="shared" si="18"/>
        <v/>
      </c>
      <c r="I184" s="93" t="str">
        <f t="shared" si="19"/>
        <v/>
      </c>
      <c r="J184" s="93" t="str">
        <f t="shared" si="20"/>
        <v/>
      </c>
      <c r="K184" s="93" t="str">
        <f t="shared" si="21"/>
        <v>Not screened</v>
      </c>
      <c r="L184" s="93" t="str">
        <f t="shared" si="22"/>
        <v>No</v>
      </c>
      <c r="M184" s="93" t="str">
        <f t="shared" si="23"/>
        <v>No operating coal capacity recorded in GEM</v>
      </c>
      <c r="O184" s="35"/>
      <c r="P184" s="35"/>
    </row>
    <row r="185" spans="1:16" ht="20" customHeight="1">
      <c r="A185" s="70" t="s">
        <v>348</v>
      </c>
      <c r="B185" s="70" t="s">
        <v>349</v>
      </c>
      <c r="C185" s="93">
        <f>IF($B185="","",_xlfn.LET(_xlpm.x,IFERROR(_xlfn.XLOOKUP($B185,[1]comp_GEM_coal!$B$2:$B$110,[1]comp_GEM_coal!$C$2:$C$110,0,0),0),IF(ISNUMBER(_xlpm.x),_xlpm.x,0)))</f>
        <v>0</v>
      </c>
      <c r="D185" s="93" t="str">
        <f t="shared" si="16"/>
        <v>Fail</v>
      </c>
      <c r="E185" s="93">
        <f>IF($B185="","",_xlfn.LET(_xlpm.src,IFERROR(_xlfn.XLOOKUP($B185,[1]clean_EMBER_2024!$D$5:$D$201,[1]clean_EMBER_2024!$J$5:$J$201,"",0),""),IF(ISNUMBER(_xlpm.src),_xlpm.src,"Missing")))</f>
        <v>0</v>
      </c>
      <c r="F185" s="93">
        <f>IF($B185="","",_xlfn.LET(_xlpm.x,IFERROR(_xlfn.XLOOKUP($B185,[1]comp_GEM_coal!$B$2:$B$110,[1]comp_GEM_coal!$F$2:$F$110,"",0),""),IF(ISNUMBER(_xlpm.x),_xlpm.x,"Missing")))</f>
        <v>0</v>
      </c>
      <c r="G185" s="93" t="str">
        <f t="shared" si="17"/>
        <v/>
      </c>
      <c r="H185" s="93" t="str">
        <f t="shared" si="18"/>
        <v/>
      </c>
      <c r="I185" s="93" t="str">
        <f t="shared" si="19"/>
        <v/>
      </c>
      <c r="J185" s="93" t="str">
        <f t="shared" si="20"/>
        <v/>
      </c>
      <c r="K185" s="93" t="str">
        <f t="shared" si="21"/>
        <v>Not screened</v>
      </c>
      <c r="L185" s="93" t="str">
        <f t="shared" si="22"/>
        <v>No</v>
      </c>
      <c r="M185" s="93" t="str">
        <f t="shared" si="23"/>
        <v>No operating coal capacity recorded in GEM</v>
      </c>
      <c r="O185" s="35"/>
      <c r="P185" s="35"/>
    </row>
    <row r="186" spans="1:16" ht="20" customHeight="1">
      <c r="A186" s="70" t="s">
        <v>370</v>
      </c>
      <c r="B186" s="70" t="s">
        <v>371</v>
      </c>
      <c r="C186" s="93">
        <f>IF($B186="","",_xlfn.LET(_xlpm.x,IFERROR(_xlfn.XLOOKUP($B186,[1]comp_GEM_coal!$B$2:$B$110,[1]comp_GEM_coal!$C$2:$C$110,0,0),0),IF(ISNUMBER(_xlpm.x),_xlpm.x,0)))</f>
        <v>0</v>
      </c>
      <c r="D186" s="93" t="str">
        <f t="shared" si="16"/>
        <v>Fail</v>
      </c>
      <c r="E186" s="93">
        <f>IF($B186="","",_xlfn.LET(_xlpm.src,IFERROR(_xlfn.XLOOKUP($B186,[1]clean_EMBER_2024!$D$5:$D$201,[1]clean_EMBER_2024!$J$5:$J$201,"",0),""),IF(ISNUMBER(_xlpm.src),_xlpm.src,"Missing")))</f>
        <v>0</v>
      </c>
      <c r="F186" s="93" t="str">
        <f>IF($B186="","",_xlfn.LET(_xlpm.x,IFERROR(_xlfn.XLOOKUP($B186,[1]comp_GEM_coal!$B$2:$B$110,[1]comp_GEM_coal!$F$2:$F$110,"",0),""),IF(ISNUMBER(_xlpm.x),_xlpm.x,"Missing")))</f>
        <v>Missing</v>
      </c>
      <c r="G186" s="93" t="str">
        <f t="shared" si="17"/>
        <v/>
      </c>
      <c r="H186" s="93" t="str">
        <f t="shared" si="18"/>
        <v/>
      </c>
      <c r="I186" s="93" t="str">
        <f t="shared" si="19"/>
        <v/>
      </c>
      <c r="J186" s="93" t="str">
        <f t="shared" si="20"/>
        <v/>
      </c>
      <c r="K186" s="93" t="str">
        <f t="shared" si="21"/>
        <v>Not screened</v>
      </c>
      <c r="L186" s="93" t="str">
        <f t="shared" si="22"/>
        <v>No</v>
      </c>
      <c r="M186" s="93" t="str">
        <f t="shared" si="23"/>
        <v>No operating coal capacity recorded in GEM</v>
      </c>
      <c r="O186" s="35"/>
      <c r="P186" s="35"/>
    </row>
    <row r="187" spans="1:16" ht="20" customHeight="1">
      <c r="A187" s="70" t="s">
        <v>375</v>
      </c>
      <c r="B187" s="70" t="s">
        <v>376</v>
      </c>
      <c r="C187" s="93">
        <f>IF($B187="","",_xlfn.LET(_xlpm.x,IFERROR(_xlfn.XLOOKUP($B187,[1]comp_GEM_coal!$B$2:$B$110,[1]comp_GEM_coal!$C$2:$C$110,0,0),0),IF(ISNUMBER(_xlpm.x),_xlpm.x,0)))</f>
        <v>0</v>
      </c>
      <c r="D187" s="93" t="str">
        <f t="shared" si="16"/>
        <v>Fail</v>
      </c>
      <c r="E187" s="93">
        <f>IF($B187="","",_xlfn.LET(_xlpm.src,IFERROR(_xlfn.XLOOKUP($B187,[1]clean_EMBER_2024!$D$5:$D$201,[1]clean_EMBER_2024!$J$5:$J$201,"",0),""),IF(ISNUMBER(_xlpm.src),_xlpm.src,"Missing")))</f>
        <v>0</v>
      </c>
      <c r="F187" s="93">
        <f>IF($B187="","",_xlfn.LET(_xlpm.x,IFERROR(_xlfn.XLOOKUP($B187,[1]comp_GEM_coal!$B$2:$B$110,[1]comp_GEM_coal!$F$2:$F$110,"",0),""),IF(ISNUMBER(_xlpm.x),_xlpm.x,"Missing")))</f>
        <v>0</v>
      </c>
      <c r="G187" s="93" t="str">
        <f t="shared" si="17"/>
        <v/>
      </c>
      <c r="H187" s="93" t="str">
        <f t="shared" si="18"/>
        <v/>
      </c>
      <c r="I187" s="93" t="str">
        <f t="shared" si="19"/>
        <v/>
      </c>
      <c r="J187" s="93" t="str">
        <f t="shared" si="20"/>
        <v/>
      </c>
      <c r="K187" s="93" t="str">
        <f t="shared" si="21"/>
        <v>Not screened</v>
      </c>
      <c r="L187" s="93" t="str">
        <f t="shared" si="22"/>
        <v>No</v>
      </c>
      <c r="M187" s="93" t="str">
        <f t="shared" si="23"/>
        <v>No operating coal capacity recorded in GEM</v>
      </c>
      <c r="O187" s="35"/>
      <c r="P187" s="35"/>
    </row>
    <row r="188" spans="1:16" ht="20" customHeight="1">
      <c r="A188" s="70" t="s">
        <v>88</v>
      </c>
      <c r="B188" s="70" t="s">
        <v>89</v>
      </c>
      <c r="C188" s="93">
        <f>IF($B188="","",_xlfn.LET(_xlpm.x,IFERROR(_xlfn.XLOOKUP($B188,[1]comp_GEM_coal!$B$2:$B$110,[1]comp_GEM_coal!$C$2:$C$110,0,0),0),IF(ISNUMBER(_xlpm.x),_xlpm.x,0)))</f>
        <v>0</v>
      </c>
      <c r="D188" s="93" t="str">
        <f t="shared" si="16"/>
        <v>Fail</v>
      </c>
      <c r="E188" s="93" t="str">
        <f>IF($B188="","",_xlfn.LET(_xlpm.src,IFERROR(_xlfn.XLOOKUP($B188,[1]clean_EMBER_2024!$D$5:$D$201,[1]clean_EMBER_2024!$J$5:$J$201,"",0),""),IF(ISNUMBER(_xlpm.src),_xlpm.src,"Missing")))</f>
        <v>Missing</v>
      </c>
      <c r="F188" s="93" t="str">
        <f>IF($B188="","",_xlfn.LET(_xlpm.x,IFERROR(_xlfn.XLOOKUP($B188,[1]comp_GEM_coal!$B$2:$B$110,[1]comp_GEM_coal!$F$2:$F$110,"",0),""),IF(ISNUMBER(_xlpm.x),_xlpm.x,"Missing")))</f>
        <v>Missing</v>
      </c>
      <c r="G188" s="93" t="str">
        <f t="shared" si="17"/>
        <v/>
      </c>
      <c r="H188" s="93" t="str">
        <f t="shared" si="18"/>
        <v/>
      </c>
      <c r="I188" s="93" t="str">
        <f t="shared" si="19"/>
        <v/>
      </c>
      <c r="J188" s="93" t="str">
        <f t="shared" si="20"/>
        <v/>
      </c>
      <c r="K188" s="93" t="str">
        <f t="shared" si="21"/>
        <v>Not screened</v>
      </c>
      <c r="L188" s="93" t="str">
        <f t="shared" si="22"/>
        <v>No</v>
      </c>
      <c r="M188" s="93" t="str">
        <f t="shared" si="23"/>
        <v>No operating coal capacity recorded in GEM</v>
      </c>
      <c r="O188" s="35"/>
      <c r="P188" s="35"/>
    </row>
    <row r="189" spans="1:16" ht="20" customHeight="1">
      <c r="A189" s="70" t="s">
        <v>381</v>
      </c>
      <c r="B189" s="70" t="s">
        <v>382</v>
      </c>
      <c r="C189" s="93">
        <f>IF($B189="","",_xlfn.LET(_xlpm.x,IFERROR(_xlfn.XLOOKUP($B189,[1]comp_GEM_coal!$B$2:$B$110,[1]comp_GEM_coal!$C$2:$C$110,0,0),0),IF(ISNUMBER(_xlpm.x),_xlpm.x,0)))</f>
        <v>0</v>
      </c>
      <c r="D189" s="93" t="str">
        <f t="shared" si="16"/>
        <v>Fail</v>
      </c>
      <c r="E189" s="93">
        <f>IF($B189="","",_xlfn.LET(_xlpm.src,IFERROR(_xlfn.XLOOKUP($B189,[1]clean_EMBER_2024!$D$5:$D$201,[1]clean_EMBER_2024!$J$5:$J$201,"",0),""),IF(ISNUMBER(_xlpm.src),_xlpm.src,"Missing")))</f>
        <v>0</v>
      </c>
      <c r="F189" s="93">
        <f>IF($B189="","",_xlfn.LET(_xlpm.x,IFERROR(_xlfn.XLOOKUP($B189,[1]comp_GEM_coal!$B$2:$B$110,[1]comp_GEM_coal!$F$2:$F$110,"",0),""),IF(ISNUMBER(_xlpm.x),_xlpm.x,"Missing")))</f>
        <v>0</v>
      </c>
      <c r="G189" s="93" t="str">
        <f t="shared" si="17"/>
        <v/>
      </c>
      <c r="H189" s="93" t="str">
        <f t="shared" si="18"/>
        <v/>
      </c>
      <c r="I189" s="93" t="str">
        <f t="shared" si="19"/>
        <v/>
      </c>
      <c r="J189" s="93" t="str">
        <f t="shared" si="20"/>
        <v/>
      </c>
      <c r="K189" s="93" t="str">
        <f t="shared" si="21"/>
        <v>Not screened</v>
      </c>
      <c r="L189" s="93" t="str">
        <f t="shared" si="22"/>
        <v>No</v>
      </c>
      <c r="M189" s="93" t="str">
        <f t="shared" si="23"/>
        <v>No operating coal capacity recorded in GEM</v>
      </c>
      <c r="O189" s="35"/>
      <c r="P189" s="35"/>
    </row>
    <row r="190" spans="1:16" ht="20" customHeight="1">
      <c r="A190" s="70" t="s">
        <v>405</v>
      </c>
      <c r="B190" s="70" t="s">
        <v>406</v>
      </c>
      <c r="C190" s="93">
        <f>IF($B190="","",_xlfn.LET(_xlpm.x,IFERROR(_xlfn.XLOOKUP($B190,[1]comp_GEM_coal!$B$2:$B$110,[1]comp_GEM_coal!$C$2:$C$110,0,0),0),IF(ISNUMBER(_xlpm.x),_xlpm.x,0)))</f>
        <v>14999</v>
      </c>
      <c r="D190" s="93" t="str">
        <f t="shared" si="16"/>
        <v>Pass</v>
      </c>
      <c r="E190" s="93">
        <f>IF($B190="","",_xlfn.LET(_xlpm.src,IFERROR(_xlfn.XLOOKUP($B190,[1]clean_EMBER_2024!$D$5:$D$201,[1]clean_EMBER_2024!$J$5:$J$201,"",0),""),IF(ISNUMBER(_xlpm.src),_xlpm.src,"Missing")))</f>
        <v>40.07</v>
      </c>
      <c r="F190" s="93">
        <f>IF($B190="","",_xlfn.LET(_xlpm.x,IFERROR(_xlfn.XLOOKUP($B190,[1]comp_GEM_coal!$B$2:$B$110,[1]comp_GEM_coal!$F$2:$F$110,"",0),""),IF(ISNUMBER(_xlpm.x),_xlpm.x,"Missing")))</f>
        <v>1003.4924716550001</v>
      </c>
      <c r="G190" s="93">
        <f t="shared" si="17"/>
        <v>1</v>
      </c>
      <c r="H190" s="93">
        <f t="shared" si="18"/>
        <v>1</v>
      </c>
      <c r="I190" s="93">
        <f t="shared" si="19"/>
        <v>1</v>
      </c>
      <c r="J190" s="93">
        <f t="shared" si="20"/>
        <v>3</v>
      </c>
      <c r="K190" s="93" t="str">
        <f t="shared" si="21"/>
        <v>Pass</v>
      </c>
      <c r="L190" s="93" t="str">
        <f t="shared" si="22"/>
        <v>Yes</v>
      </c>
      <c r="M190" s="93" t="str">
        <f t="shared" si="23"/>
        <v/>
      </c>
      <c r="O190" s="35"/>
      <c r="P190" s="35"/>
    </row>
    <row r="191" spans="1:16" ht="20" customHeight="1">
      <c r="A191" s="70" t="s">
        <v>389</v>
      </c>
      <c r="B191" s="70" t="s">
        <v>390</v>
      </c>
      <c r="C191" s="93">
        <f>IF($B191="","",_xlfn.LET(_xlpm.x,IFERROR(_xlfn.XLOOKUP($B191,[1]comp_GEM_coal!$B$2:$B$110,[1]comp_GEM_coal!$C$2:$C$110,0,0),0),IF(ISNUMBER(_xlpm.x),_xlpm.x,0)))</f>
        <v>400</v>
      </c>
      <c r="D191" s="93" t="str">
        <f t="shared" si="16"/>
        <v>Pass</v>
      </c>
      <c r="E191" s="93">
        <f>IF($B191="","",_xlfn.LET(_xlpm.src,IFERROR(_xlfn.XLOOKUP($B191,[1]clean_EMBER_2024!$D$5:$D$201,[1]clean_EMBER_2024!$J$5:$J$201,"",0),""),IF(ISNUMBER(_xlpm.src),_xlpm.src,"Missing")))</f>
        <v>4.5</v>
      </c>
      <c r="F191" s="93">
        <f>IF($B191="","",_xlfn.LET(_xlpm.x,IFERROR(_xlfn.XLOOKUP($B191,[1]comp_GEM_coal!$B$2:$B$110,[1]comp_GEM_coal!$F$2:$F$110,"",0),""),IF(ISNUMBER(_xlpm.x),_xlpm.x,"Missing")))</f>
        <v>42.443245470000001</v>
      </c>
      <c r="G191" s="93">
        <f t="shared" si="17"/>
        <v>0</v>
      </c>
      <c r="H191" s="93">
        <f t="shared" si="18"/>
        <v>0</v>
      </c>
      <c r="I191" s="93">
        <f t="shared" si="19"/>
        <v>0</v>
      </c>
      <c r="J191" s="93">
        <f t="shared" si="20"/>
        <v>0</v>
      </c>
      <c r="K191" s="93" t="str">
        <f t="shared" si="21"/>
        <v>Fail</v>
      </c>
      <c r="L191" s="93" t="str">
        <f t="shared" si="22"/>
        <v>No</v>
      </c>
      <c r="M191" s="93" t="str">
        <f t="shared" si="23"/>
        <v>Does not meet at least two material-opportunity thresholds</v>
      </c>
      <c r="O191" s="35"/>
      <c r="P191" s="35"/>
    </row>
    <row r="192" spans="1:16" ht="20" customHeight="1">
      <c r="A192" s="70" t="s">
        <v>407</v>
      </c>
      <c r="B192" s="70" t="s">
        <v>408</v>
      </c>
      <c r="C192" s="93">
        <f>IF($B192="","",_xlfn.LET(_xlpm.x,IFERROR(_xlfn.XLOOKUP($B192,[1]comp_GEM_coal!$B$2:$B$110,[1]comp_GEM_coal!$C$2:$C$110,0,0),0),IF(ISNUMBER(_xlpm.x),_xlpm.x,0)))</f>
        <v>0</v>
      </c>
      <c r="D192" s="93" t="str">
        <f t="shared" si="16"/>
        <v>Fail</v>
      </c>
      <c r="E192" s="93">
        <f>IF($B192="","",_xlfn.LET(_xlpm.src,IFERROR(_xlfn.XLOOKUP($B192,[1]clean_EMBER_2024!$D$5:$D$201,[1]clean_EMBER_2024!$J$5:$J$201,"",0),""),IF(ISNUMBER(_xlpm.src),_xlpm.src,"Missing")))</f>
        <v>0</v>
      </c>
      <c r="F192" s="93">
        <f>IF($B192="","",_xlfn.LET(_xlpm.x,IFERROR(_xlfn.XLOOKUP($B192,[1]comp_GEM_coal!$B$2:$B$110,[1]comp_GEM_coal!$F$2:$F$110,"",0),""),IF(ISNUMBER(_xlpm.x),_xlpm.x,"Missing")))</f>
        <v>0</v>
      </c>
      <c r="G192" s="93" t="str">
        <f t="shared" si="17"/>
        <v/>
      </c>
      <c r="H192" s="93" t="str">
        <f t="shared" si="18"/>
        <v/>
      </c>
      <c r="I192" s="93" t="str">
        <f t="shared" si="19"/>
        <v/>
      </c>
      <c r="J192" s="93" t="str">
        <f t="shared" si="20"/>
        <v/>
      </c>
      <c r="K192" s="93" t="str">
        <f t="shared" si="21"/>
        <v>Not screened</v>
      </c>
      <c r="L192" s="93" t="str">
        <f t="shared" si="22"/>
        <v>No</v>
      </c>
      <c r="M192" s="93" t="str">
        <f t="shared" si="23"/>
        <v>No operating coal capacity recorded in GEM</v>
      </c>
      <c r="O192" s="35"/>
      <c r="P192" s="35"/>
    </row>
    <row r="193" spans="1:16" ht="20" customHeight="1">
      <c r="A193" s="70" t="s">
        <v>387</v>
      </c>
      <c r="B193" s="70" t="s">
        <v>388</v>
      </c>
      <c r="C193" s="93">
        <f>IF($B193="","",_xlfn.LET(_xlpm.x,IFERROR(_xlfn.XLOOKUP($B193,[1]comp_GEM_coal!$B$2:$B$110,[1]comp_GEM_coal!$C$2:$C$110,0,0),0),IF(ISNUMBER(_xlpm.x),_xlpm.x,0)))</f>
        <v>5838</v>
      </c>
      <c r="D193" s="93" t="str">
        <f t="shared" si="16"/>
        <v>Pass</v>
      </c>
      <c r="E193" s="93">
        <f>IF($B193="","",_xlfn.LET(_xlpm.src,IFERROR(_xlfn.XLOOKUP($B193,[1]clean_EMBER_2024!$D$5:$D$201,[1]clean_EMBER_2024!$J$5:$J$201,"",0),""),IF(ISNUMBER(_xlpm.src),_xlpm.src,"Missing")))</f>
        <v>16.670000000000002</v>
      </c>
      <c r="F193" s="93">
        <f>IF($B193="","",_xlfn.LET(_xlpm.x,IFERROR(_xlfn.XLOOKUP($B193,[1]comp_GEM_coal!$B$2:$B$110,[1]comp_GEM_coal!$F$2:$F$110,"",0),""),IF(ISNUMBER(_xlpm.x),_xlpm.x,"Missing")))</f>
        <v>461.86659905600004</v>
      </c>
      <c r="G193" s="93">
        <f t="shared" si="17"/>
        <v>1</v>
      </c>
      <c r="H193" s="93">
        <f t="shared" si="18"/>
        <v>0</v>
      </c>
      <c r="I193" s="93">
        <f t="shared" si="19"/>
        <v>1</v>
      </c>
      <c r="J193" s="93">
        <f t="shared" si="20"/>
        <v>2</v>
      </c>
      <c r="K193" s="93" t="str">
        <f t="shared" si="21"/>
        <v>Pass</v>
      </c>
      <c r="L193" s="93" t="str">
        <f t="shared" si="22"/>
        <v>Yes</v>
      </c>
      <c r="M193" s="93" t="str">
        <f t="shared" si="23"/>
        <v/>
      </c>
      <c r="O193" s="35"/>
      <c r="P193" s="35"/>
    </row>
    <row r="194" spans="1:16" ht="20" customHeight="1">
      <c r="A194" s="70" t="s">
        <v>393</v>
      </c>
      <c r="B194" s="70" t="s">
        <v>394</v>
      </c>
      <c r="C194" s="93">
        <f>IF($B194="","",_xlfn.LET(_xlpm.x,IFERROR(_xlfn.XLOOKUP($B194,[1]comp_GEM_coal!$B$2:$B$110,[1]comp_GEM_coal!$C$2:$C$110,0,0),0),IF(ISNUMBER(_xlpm.x),_xlpm.x,0)))</f>
        <v>0</v>
      </c>
      <c r="D194" s="93" t="str">
        <f t="shared" si="16"/>
        <v>Fail</v>
      </c>
      <c r="E194" s="93">
        <f>IF($B194="","",_xlfn.LET(_xlpm.src,IFERROR(_xlfn.XLOOKUP($B194,[1]clean_EMBER_2024!$D$5:$D$201,[1]clean_EMBER_2024!$J$5:$J$201,"",0),""),IF(ISNUMBER(_xlpm.src),_xlpm.src,"Missing")))</f>
        <v>0</v>
      </c>
      <c r="F194" s="93" t="str">
        <f>IF($B194="","",_xlfn.LET(_xlpm.x,IFERROR(_xlfn.XLOOKUP($B194,[1]comp_GEM_coal!$B$2:$B$110,[1]comp_GEM_coal!$F$2:$F$110,"",0),""),IF(ISNUMBER(_xlpm.x),_xlpm.x,"Missing")))</f>
        <v>Missing</v>
      </c>
      <c r="G194" s="93" t="str">
        <f t="shared" si="17"/>
        <v/>
      </c>
      <c r="H194" s="93" t="str">
        <f t="shared" si="18"/>
        <v/>
      </c>
      <c r="I194" s="93" t="str">
        <f t="shared" si="19"/>
        <v/>
      </c>
      <c r="J194" s="93" t="str">
        <f t="shared" si="20"/>
        <v/>
      </c>
      <c r="K194" s="93" t="str">
        <f t="shared" si="21"/>
        <v>Not screened</v>
      </c>
      <c r="L194" s="93" t="str">
        <f t="shared" si="22"/>
        <v>No</v>
      </c>
      <c r="M194" s="93" t="str">
        <f t="shared" si="23"/>
        <v>No operating coal capacity recorded in GEM</v>
      </c>
      <c r="O194" s="35"/>
      <c r="P194" s="35"/>
    </row>
    <row r="195" spans="1:16" ht="20" customHeight="1">
      <c r="A195" s="70" t="s">
        <v>385</v>
      </c>
      <c r="B195" s="70" t="s">
        <v>386</v>
      </c>
      <c r="C195" s="93">
        <f>IF($B195="","",_xlfn.LET(_xlpm.x,IFERROR(_xlfn.XLOOKUP($B195,[1]comp_GEM_coal!$B$2:$B$110,[1]comp_GEM_coal!$C$2:$C$110,0,0),0),IF(ISNUMBER(_xlpm.x),_xlpm.x,0)))</f>
        <v>0</v>
      </c>
      <c r="D195" s="93" t="str">
        <f t="shared" ref="D195:D216" si="24">IF($B195="","",IF(C195&gt;0,"Pass","Fail"))</f>
        <v>Fail</v>
      </c>
      <c r="E195" s="93">
        <f>IF($B195="","",_xlfn.LET(_xlpm.src,IFERROR(_xlfn.XLOOKUP($B195,[1]clean_EMBER_2024!$D$5:$D$201,[1]clean_EMBER_2024!$J$5:$J$201,"",0),""),IF(ISNUMBER(_xlpm.src),_xlpm.src,"Missing")))</f>
        <v>0</v>
      </c>
      <c r="F195" s="93" t="str">
        <f>IF($B195="","",_xlfn.LET(_xlpm.x,IFERROR(_xlfn.XLOOKUP($B195,[1]comp_GEM_coal!$B$2:$B$110,[1]comp_GEM_coal!$F$2:$F$110,"",0),""),IF(ISNUMBER(_xlpm.x),_xlpm.x,"Missing")))</f>
        <v>Missing</v>
      </c>
      <c r="G195" s="93" t="str">
        <f t="shared" ref="G195:G216" si="25">IF($D195&lt;&gt;"Pass","",--($C195&gt;=$Q$3))</f>
        <v/>
      </c>
      <c r="H195" s="93" t="str">
        <f t="shared" ref="H195:H216" si="26">IF($D195&lt;&gt;"Pass","",IF(ISNUMBER($E195),--($E195&gt;=$Q$4),""))</f>
        <v/>
      </c>
      <c r="I195" s="93" t="str">
        <f t="shared" ref="I195:I216" si="27">IF($D195&lt;&gt;"Pass","",IF(ISNUMBER($F195),--($F195&gt;=$Q$5),""))</f>
        <v/>
      </c>
      <c r="J195" s="93" t="str">
        <f t="shared" ref="J195:J216" si="28">IF($D195&lt;&gt;"Pass","",IF(COUNT($G195:$I195)=3,SUM($G195:$I195),""))</f>
        <v/>
      </c>
      <c r="K195" s="93" t="str">
        <f t="shared" ref="K195:K216" si="29">IF($B195="","",IF($D195="Fail","Not screened",IF(COUNT($G195:$I195)&lt;3,"Review – missing data",IF($J195&gt;=$Q$6,"Pass","Fail"))))</f>
        <v>Not screened</v>
      </c>
      <c r="L195" s="93" t="str">
        <f t="shared" ref="L195:L216" si="30">IF($B195="","",IF(AND($D195="Pass",$K195="Pass"),"Yes","No"))</f>
        <v>No</v>
      </c>
      <c r="M195" s="93" t="str">
        <f t="shared" ref="M195:M216" si="31">IF($B195="","",IF($L195="Yes","",IF($D195="Fail","No operating coal capacity recorded in GEM",IF($K195="Review – missing data","Opportunity screen incomplete because one or more fields are missing","Does not meet at least two material-opportunity thresholds"))))</f>
        <v>No operating coal capacity recorded in GEM</v>
      </c>
      <c r="O195" s="35"/>
      <c r="P195" s="35"/>
    </row>
    <row r="196" spans="1:16" ht="20" customHeight="1">
      <c r="A196" s="70" t="s">
        <v>395</v>
      </c>
      <c r="B196" s="70" t="s">
        <v>396</v>
      </c>
      <c r="C196" s="93">
        <f>IF($B196="","",_xlfn.LET(_xlpm.x,IFERROR(_xlfn.XLOOKUP($B196,[1]comp_GEM_coal!$B$2:$B$110,[1]comp_GEM_coal!$C$2:$C$110,0,0),0),IF(ISNUMBER(_xlpm.x),_xlpm.x,0)))</f>
        <v>0</v>
      </c>
      <c r="D196" s="93" t="str">
        <f t="shared" si="24"/>
        <v>Fail</v>
      </c>
      <c r="E196" s="93">
        <f>IF($B196="","",_xlfn.LET(_xlpm.src,IFERROR(_xlfn.XLOOKUP($B196,[1]clean_EMBER_2024!$D$5:$D$201,[1]clean_EMBER_2024!$J$5:$J$201,"",0),""),IF(ISNUMBER(_xlpm.src),_xlpm.src,"Missing")))</f>
        <v>0</v>
      </c>
      <c r="F196" s="93" t="str">
        <f>IF($B196="","",_xlfn.LET(_xlpm.x,IFERROR(_xlfn.XLOOKUP($B196,[1]comp_GEM_coal!$B$2:$B$110,[1]comp_GEM_coal!$F$2:$F$110,"",0),""),IF(ISNUMBER(_xlpm.x),_xlpm.x,"Missing")))</f>
        <v>Missing</v>
      </c>
      <c r="G196" s="93" t="str">
        <f t="shared" si="25"/>
        <v/>
      </c>
      <c r="H196" s="93" t="str">
        <f t="shared" si="26"/>
        <v/>
      </c>
      <c r="I196" s="93" t="str">
        <f t="shared" si="27"/>
        <v/>
      </c>
      <c r="J196" s="93" t="str">
        <f t="shared" si="28"/>
        <v/>
      </c>
      <c r="K196" s="93" t="str">
        <f t="shared" si="29"/>
        <v>Not screened</v>
      </c>
      <c r="L196" s="93" t="str">
        <f t="shared" si="30"/>
        <v>No</v>
      </c>
      <c r="M196" s="93" t="str">
        <f t="shared" si="31"/>
        <v>No operating coal capacity recorded in GEM</v>
      </c>
      <c r="O196" s="35"/>
      <c r="P196" s="35"/>
    </row>
    <row r="197" spans="1:16" ht="20" customHeight="1">
      <c r="A197" s="70" t="s">
        <v>397</v>
      </c>
      <c r="B197" s="70" t="s">
        <v>398</v>
      </c>
      <c r="C197" s="93">
        <f>IF($B197="","",_xlfn.LET(_xlpm.x,IFERROR(_xlfn.XLOOKUP($B197,[1]comp_GEM_coal!$B$2:$B$110,[1]comp_GEM_coal!$C$2:$C$110,0,0),0),IF(ISNUMBER(_xlpm.x),_xlpm.x,0)))</f>
        <v>0</v>
      </c>
      <c r="D197" s="93" t="str">
        <f t="shared" si="24"/>
        <v>Fail</v>
      </c>
      <c r="E197" s="93">
        <f>IF($B197="","",_xlfn.LET(_xlpm.src,IFERROR(_xlfn.XLOOKUP($B197,[1]clean_EMBER_2024!$D$5:$D$201,[1]clean_EMBER_2024!$J$5:$J$201,"",0),""),IF(ISNUMBER(_xlpm.src),_xlpm.src,"Missing")))</f>
        <v>0</v>
      </c>
      <c r="F197" s="93" t="str">
        <f>IF($B197="","",_xlfn.LET(_xlpm.x,IFERROR(_xlfn.XLOOKUP($B197,[1]comp_GEM_coal!$B$2:$B$110,[1]comp_GEM_coal!$F$2:$F$110,"",0),""),IF(ISNUMBER(_xlpm.x),_xlpm.x,"Missing")))</f>
        <v>Missing</v>
      </c>
      <c r="G197" s="93" t="str">
        <f t="shared" si="25"/>
        <v/>
      </c>
      <c r="H197" s="93" t="str">
        <f t="shared" si="26"/>
        <v/>
      </c>
      <c r="I197" s="93" t="str">
        <f t="shared" si="27"/>
        <v/>
      </c>
      <c r="J197" s="93" t="str">
        <f t="shared" si="28"/>
        <v/>
      </c>
      <c r="K197" s="93" t="str">
        <f t="shared" si="29"/>
        <v>Not screened</v>
      </c>
      <c r="L197" s="93" t="str">
        <f t="shared" si="30"/>
        <v>No</v>
      </c>
      <c r="M197" s="93" t="str">
        <f t="shared" si="31"/>
        <v>No operating coal capacity recorded in GEM</v>
      </c>
      <c r="O197" s="35"/>
      <c r="P197" s="35"/>
    </row>
    <row r="198" spans="1:16" ht="20" customHeight="1">
      <c r="A198" s="70" t="s">
        <v>399</v>
      </c>
      <c r="B198" s="70" t="s">
        <v>400</v>
      </c>
      <c r="C198" s="93">
        <f>IF($B198="","",_xlfn.LET(_xlpm.x,IFERROR(_xlfn.XLOOKUP($B198,[1]comp_GEM_coal!$B$2:$B$110,[1]comp_GEM_coal!$C$2:$C$110,0,0),0),IF(ISNUMBER(_xlpm.x),_xlpm.x,0)))</f>
        <v>0</v>
      </c>
      <c r="D198" s="93" t="str">
        <f t="shared" si="24"/>
        <v>Fail</v>
      </c>
      <c r="E198" s="93">
        <f>IF($B198="","",_xlfn.LET(_xlpm.src,IFERROR(_xlfn.XLOOKUP($B198,[1]clean_EMBER_2024!$D$5:$D$201,[1]clean_EMBER_2024!$J$5:$J$201,"",0),""),IF(ISNUMBER(_xlpm.src),_xlpm.src,"Missing")))</f>
        <v>0</v>
      </c>
      <c r="F198" s="93" t="str">
        <f>IF($B198="","",_xlfn.LET(_xlpm.x,IFERROR(_xlfn.XLOOKUP($B198,[1]comp_GEM_coal!$B$2:$B$110,[1]comp_GEM_coal!$F$2:$F$110,"",0),""),IF(ISNUMBER(_xlpm.x),_xlpm.x,"Missing")))</f>
        <v>Missing</v>
      </c>
      <c r="G198" s="93" t="str">
        <f t="shared" si="25"/>
        <v/>
      </c>
      <c r="H198" s="93" t="str">
        <f t="shared" si="26"/>
        <v/>
      </c>
      <c r="I198" s="93" t="str">
        <f t="shared" si="27"/>
        <v/>
      </c>
      <c r="J198" s="93" t="str">
        <f t="shared" si="28"/>
        <v/>
      </c>
      <c r="K198" s="93" t="str">
        <f t="shared" si="29"/>
        <v>Not screened</v>
      </c>
      <c r="L198" s="93" t="str">
        <f t="shared" si="30"/>
        <v>No</v>
      </c>
      <c r="M198" s="93" t="str">
        <f t="shared" si="31"/>
        <v>No operating coal capacity recorded in GEM</v>
      </c>
      <c r="O198" s="35"/>
      <c r="P198" s="35"/>
    </row>
    <row r="199" spans="1:16" ht="20" customHeight="1">
      <c r="A199" s="70" t="s">
        <v>401</v>
      </c>
      <c r="B199" s="70" t="s">
        <v>402</v>
      </c>
      <c r="C199" s="93">
        <f>IF($B199="","",_xlfn.LET(_xlpm.x,IFERROR(_xlfn.XLOOKUP($B199,[1]comp_GEM_coal!$B$2:$B$110,[1]comp_GEM_coal!$C$2:$C$110,0,0),0),IF(ISNUMBER(_xlpm.x),_xlpm.x,0)))</f>
        <v>20474</v>
      </c>
      <c r="D199" s="93" t="str">
        <f t="shared" si="24"/>
        <v>Pass</v>
      </c>
      <c r="E199" s="93">
        <f>IF($B199="","",_xlfn.LET(_xlpm.src,IFERROR(_xlfn.XLOOKUP($B199,[1]clean_EMBER_2024!$D$5:$D$201,[1]clean_EMBER_2024!$J$5:$J$201,"",0),""),IF(ISNUMBER(_xlpm.src),_xlpm.src,"Missing")))</f>
        <v>35.549999999999997</v>
      </c>
      <c r="F199" s="93">
        <f>IF($B199="","",_xlfn.LET(_xlpm.x,IFERROR(_xlfn.XLOOKUP($B199,[1]comp_GEM_coal!$B$2:$B$110,[1]comp_GEM_coal!$F$2:$F$110,"",0),""),IF(ISNUMBER(_xlpm.x),_xlpm.x,"Missing")))</f>
        <v>2070.7764374479989</v>
      </c>
      <c r="G199" s="93">
        <f t="shared" si="25"/>
        <v>1</v>
      </c>
      <c r="H199" s="93">
        <f t="shared" si="26"/>
        <v>1</v>
      </c>
      <c r="I199" s="93">
        <f t="shared" si="27"/>
        <v>1</v>
      </c>
      <c r="J199" s="93">
        <f t="shared" si="28"/>
        <v>3</v>
      </c>
      <c r="K199" s="93" t="str">
        <f t="shared" si="29"/>
        <v>Pass</v>
      </c>
      <c r="L199" s="93" t="str">
        <f t="shared" si="30"/>
        <v>Yes</v>
      </c>
      <c r="M199" s="93" t="str">
        <f t="shared" si="31"/>
        <v/>
      </c>
      <c r="O199" s="35"/>
      <c r="P199" s="35"/>
    </row>
    <row r="200" spans="1:16" ht="20" customHeight="1">
      <c r="A200" s="70" t="s">
        <v>391</v>
      </c>
      <c r="B200" s="70" t="s">
        <v>392</v>
      </c>
      <c r="C200" s="93">
        <f>IF($B200="","",_xlfn.LET(_xlpm.x,IFERROR(_xlfn.XLOOKUP($B200,[1]comp_GEM_coal!$B$2:$B$110,[1]comp_GEM_coal!$C$2:$C$110,0,0),0),IF(ISNUMBER(_xlpm.x),_xlpm.x,0)))</f>
        <v>0</v>
      </c>
      <c r="D200" s="93" t="str">
        <f t="shared" si="24"/>
        <v>Fail</v>
      </c>
      <c r="E200" s="93">
        <f>IF($B200="","",_xlfn.LET(_xlpm.src,IFERROR(_xlfn.XLOOKUP($B200,[1]clean_EMBER_2024!$D$5:$D$201,[1]clean_EMBER_2024!$J$5:$J$201,"",0),""),IF(ISNUMBER(_xlpm.src),_xlpm.src,"Missing")))</f>
        <v>0</v>
      </c>
      <c r="F200" s="93" t="str">
        <f>IF($B200="","",_xlfn.LET(_xlpm.x,IFERROR(_xlfn.XLOOKUP($B200,[1]comp_GEM_coal!$B$2:$B$110,[1]comp_GEM_coal!$F$2:$F$110,"",0),""),IF(ISNUMBER(_xlpm.x),_xlpm.x,"Missing")))</f>
        <v>Missing</v>
      </c>
      <c r="G200" s="93" t="str">
        <f t="shared" si="25"/>
        <v/>
      </c>
      <c r="H200" s="93" t="str">
        <f t="shared" si="26"/>
        <v/>
      </c>
      <c r="I200" s="93" t="str">
        <f t="shared" si="27"/>
        <v/>
      </c>
      <c r="J200" s="93" t="str">
        <f t="shared" si="28"/>
        <v/>
      </c>
      <c r="K200" s="93" t="str">
        <f t="shared" si="29"/>
        <v>Not screened</v>
      </c>
      <c r="L200" s="93" t="str">
        <f t="shared" si="30"/>
        <v>No</v>
      </c>
      <c r="M200" s="93" t="str">
        <f t="shared" si="31"/>
        <v>No operating coal capacity recorded in GEM</v>
      </c>
      <c r="O200" s="35"/>
      <c r="P200" s="35"/>
    </row>
    <row r="201" spans="1:16" ht="20" customHeight="1">
      <c r="A201" s="70" t="s">
        <v>403</v>
      </c>
      <c r="B201" s="70" t="s">
        <v>404</v>
      </c>
      <c r="C201" s="93">
        <f>IF($B201="","",_xlfn.LET(_xlpm.x,IFERROR(_xlfn.XLOOKUP($B201,[1]comp_GEM_coal!$B$2:$B$110,[1]comp_GEM_coal!$C$2:$C$110,0,0),0),IF(ISNUMBER(_xlpm.x),_xlpm.x,0)))</f>
        <v>0</v>
      </c>
      <c r="D201" s="93" t="str">
        <f t="shared" si="24"/>
        <v>Fail</v>
      </c>
      <c r="E201" s="93" t="str">
        <f>IF($B201="","",_xlfn.LET(_xlpm.src,IFERROR(_xlfn.XLOOKUP($B201,[1]clean_EMBER_2024!$D$5:$D$201,[1]clean_EMBER_2024!$J$5:$J$201,"",0),""),IF(ISNUMBER(_xlpm.src),_xlpm.src,"Missing")))</f>
        <v>Missing</v>
      </c>
      <c r="F201" s="93" t="str">
        <f>IF($B201="","",_xlfn.LET(_xlpm.x,IFERROR(_xlfn.XLOOKUP($B201,[1]comp_GEM_coal!$B$2:$B$110,[1]comp_GEM_coal!$F$2:$F$110,"",0),""),IF(ISNUMBER(_xlpm.x),_xlpm.x,"Missing")))</f>
        <v>Missing</v>
      </c>
      <c r="G201" s="93" t="str">
        <f t="shared" si="25"/>
        <v/>
      </c>
      <c r="H201" s="93" t="str">
        <f t="shared" si="26"/>
        <v/>
      </c>
      <c r="I201" s="93" t="str">
        <f t="shared" si="27"/>
        <v/>
      </c>
      <c r="J201" s="93" t="str">
        <f t="shared" si="28"/>
        <v/>
      </c>
      <c r="K201" s="93" t="str">
        <f t="shared" si="29"/>
        <v>Not screened</v>
      </c>
      <c r="L201" s="93" t="str">
        <f t="shared" si="30"/>
        <v>No</v>
      </c>
      <c r="M201" s="93" t="str">
        <f t="shared" si="31"/>
        <v>No operating coal capacity recorded in GEM</v>
      </c>
      <c r="O201" s="35"/>
      <c r="P201" s="35"/>
    </row>
    <row r="202" spans="1:16" ht="20" customHeight="1">
      <c r="A202" s="70" t="s">
        <v>409</v>
      </c>
      <c r="B202" s="70" t="s">
        <v>410</v>
      </c>
      <c r="C202" s="93">
        <f>IF($B202="","",_xlfn.LET(_xlpm.x,IFERROR(_xlfn.XLOOKUP($B202,[1]comp_GEM_coal!$B$2:$B$110,[1]comp_GEM_coal!$C$2:$C$110,0,0),0),IF(ISNUMBER(_xlpm.x),_xlpm.x,0)))</f>
        <v>0</v>
      </c>
      <c r="D202" s="93" t="str">
        <f t="shared" si="24"/>
        <v>Fail</v>
      </c>
      <c r="E202" s="93">
        <f>IF($B202="","",_xlfn.LET(_xlpm.src,IFERROR(_xlfn.XLOOKUP($B202,[1]clean_EMBER_2024!$D$5:$D$201,[1]clean_EMBER_2024!$J$5:$J$201,"",0),""),IF(ISNUMBER(_xlpm.src),_xlpm.src,"Missing")))</f>
        <v>0</v>
      </c>
      <c r="F202" s="93" t="str">
        <f>IF($B202="","",_xlfn.LET(_xlpm.x,IFERROR(_xlfn.XLOOKUP($B202,[1]comp_GEM_coal!$B$2:$B$110,[1]comp_GEM_coal!$F$2:$F$110,"",0),""),IF(ISNUMBER(_xlpm.x),_xlpm.x,"Missing")))</f>
        <v>Missing</v>
      </c>
      <c r="G202" s="93" t="str">
        <f t="shared" si="25"/>
        <v/>
      </c>
      <c r="H202" s="93" t="str">
        <f t="shared" si="26"/>
        <v/>
      </c>
      <c r="I202" s="93" t="str">
        <f t="shared" si="27"/>
        <v/>
      </c>
      <c r="J202" s="93" t="str">
        <f t="shared" si="28"/>
        <v/>
      </c>
      <c r="K202" s="93" t="str">
        <f t="shared" si="29"/>
        <v>Not screened</v>
      </c>
      <c r="L202" s="93" t="str">
        <f t="shared" si="30"/>
        <v>No</v>
      </c>
      <c r="M202" s="93" t="str">
        <f t="shared" si="31"/>
        <v>No operating coal capacity recorded in GEM</v>
      </c>
      <c r="O202" s="35"/>
      <c r="P202" s="35"/>
    </row>
    <row r="203" spans="1:16" ht="20" customHeight="1">
      <c r="A203" s="70" t="s">
        <v>411</v>
      </c>
      <c r="B203" s="70" t="s">
        <v>412</v>
      </c>
      <c r="C203" s="93">
        <f>IF($B203="","",_xlfn.LET(_xlpm.x,IFERROR(_xlfn.XLOOKUP($B203,[1]comp_GEM_coal!$B$2:$B$110,[1]comp_GEM_coal!$C$2:$C$110,0,0),0),IF(ISNUMBER(_xlpm.x),_xlpm.x,0)))</f>
        <v>3640</v>
      </c>
      <c r="D203" s="93" t="str">
        <f t="shared" si="24"/>
        <v>Pass</v>
      </c>
      <c r="E203" s="91">
        <v>17.79</v>
      </c>
      <c r="F203" s="93">
        <f>IF($B203="","",_xlfn.LET(_xlpm.x,IFERROR(_xlfn.XLOOKUP($B203,[1]comp_GEM_coal!$B$2:$B$110,[1]comp_GEM_coal!$F$2:$F$110,"",0),""),IF(ISNUMBER(_xlpm.x),_xlpm.x,"Missing")))</f>
        <v>16.041551080999998</v>
      </c>
      <c r="G203" s="93">
        <f t="shared" si="25"/>
        <v>1</v>
      </c>
      <c r="H203" s="93">
        <f t="shared" si="26"/>
        <v>0</v>
      </c>
      <c r="I203" s="93">
        <f t="shared" si="27"/>
        <v>0</v>
      </c>
      <c r="J203" s="93">
        <f t="shared" si="28"/>
        <v>1</v>
      </c>
      <c r="K203" s="93" t="str">
        <f t="shared" si="29"/>
        <v>Fail</v>
      </c>
      <c r="L203" s="93" t="str">
        <f t="shared" si="30"/>
        <v>No</v>
      </c>
      <c r="M203" s="93" t="str">
        <f t="shared" si="31"/>
        <v>Does not meet at least two material-opportunity thresholds</v>
      </c>
      <c r="O203" s="35"/>
      <c r="P203" s="35"/>
    </row>
    <row r="204" spans="1:16" ht="20" customHeight="1">
      <c r="A204" s="70" t="s">
        <v>32</v>
      </c>
      <c r="B204" s="70" t="s">
        <v>33</v>
      </c>
      <c r="C204" s="93">
        <f>IF($B204="","",_xlfn.LET(_xlpm.x,IFERROR(_xlfn.XLOOKUP($B204,[1]comp_GEM_coal!$B$2:$B$110,[1]comp_GEM_coal!$C$2:$C$110,0,0),0),IF(ISNUMBER(_xlpm.x),_xlpm.x,0)))</f>
        <v>0</v>
      </c>
      <c r="D204" s="93" t="str">
        <f t="shared" si="24"/>
        <v>Fail</v>
      </c>
      <c r="E204" s="93">
        <f>IF($B204="","",_xlfn.LET(_xlpm.src,IFERROR(_xlfn.XLOOKUP($B204,[1]clean_EMBER_2024!$D$5:$D$201,[1]clean_EMBER_2024!$J$5:$J$201,"",0),""),IF(ISNUMBER(_xlpm.src),_xlpm.src,"Missing")))</f>
        <v>0</v>
      </c>
      <c r="F204" s="93">
        <f>IF($B204="","",_xlfn.LET(_xlpm.x,IFERROR(_xlfn.XLOOKUP($B204,[1]comp_GEM_coal!$B$2:$B$110,[1]comp_GEM_coal!$F$2:$F$110,"",0),""),IF(ISNUMBER(_xlpm.x),_xlpm.x,"Missing")))</f>
        <v>0</v>
      </c>
      <c r="G204" s="93" t="str">
        <f t="shared" si="25"/>
        <v/>
      </c>
      <c r="H204" s="93" t="str">
        <f t="shared" si="26"/>
        <v/>
      </c>
      <c r="I204" s="93" t="str">
        <f t="shared" si="27"/>
        <v/>
      </c>
      <c r="J204" s="93" t="str">
        <f t="shared" si="28"/>
        <v/>
      </c>
      <c r="K204" s="93" t="str">
        <f t="shared" si="29"/>
        <v>Not screened</v>
      </c>
      <c r="L204" s="93" t="str">
        <f t="shared" si="30"/>
        <v>No</v>
      </c>
      <c r="M204" s="93" t="str">
        <f t="shared" si="31"/>
        <v>No operating coal capacity recorded in GEM</v>
      </c>
      <c r="O204" s="35"/>
      <c r="P204" s="35"/>
    </row>
    <row r="205" spans="1:16" ht="20" customHeight="1">
      <c r="A205" s="70" t="s">
        <v>152</v>
      </c>
      <c r="B205" s="70" t="s">
        <v>153</v>
      </c>
      <c r="C205" s="93">
        <f>IF($B205="","",_xlfn.LET(_xlpm.x,IFERROR(_xlfn.XLOOKUP($B205,[1]comp_GEM_coal!$B$2:$B$110,[1]comp_GEM_coal!$C$2:$C$110,0,0),0),IF(ISNUMBER(_xlpm.x),_xlpm.x,0)))</f>
        <v>0</v>
      </c>
      <c r="D205" s="93" t="str">
        <f t="shared" si="24"/>
        <v>Fail</v>
      </c>
      <c r="E205" s="93">
        <f>IF($B205="","",_xlfn.LET(_xlpm.src,IFERROR(_xlfn.XLOOKUP($B205,[1]clean_EMBER_2024!$D$5:$D$201,[1]clean_EMBER_2024!$J$5:$J$201,"",0),""),IF(ISNUMBER(_xlpm.src),_xlpm.src,"Missing")))</f>
        <v>0.67</v>
      </c>
      <c r="F205" s="93">
        <f>IF($B205="","",_xlfn.LET(_xlpm.x,IFERROR(_xlfn.XLOOKUP($B205,[1]comp_GEM_coal!$B$2:$B$110,[1]comp_GEM_coal!$F$2:$F$110,"",0),""),IF(ISNUMBER(_xlpm.x),_xlpm.x,"Missing")))</f>
        <v>0</v>
      </c>
      <c r="G205" s="93" t="str">
        <f t="shared" si="25"/>
        <v/>
      </c>
      <c r="H205" s="93" t="str">
        <f t="shared" si="26"/>
        <v/>
      </c>
      <c r="I205" s="93" t="str">
        <f t="shared" si="27"/>
        <v/>
      </c>
      <c r="J205" s="93" t="str">
        <f t="shared" si="28"/>
        <v/>
      </c>
      <c r="K205" s="93" t="str">
        <f t="shared" si="29"/>
        <v>Not screened</v>
      </c>
      <c r="L205" s="93" t="str">
        <f t="shared" si="30"/>
        <v>No</v>
      </c>
      <c r="M205" s="93" t="str">
        <f t="shared" si="31"/>
        <v>No operating coal capacity recorded in GEM</v>
      </c>
      <c r="O205" s="35"/>
      <c r="P205" s="35"/>
    </row>
    <row r="206" spans="1:16" ht="20" customHeight="1">
      <c r="A206" s="70" t="s">
        <v>415</v>
      </c>
      <c r="B206" s="70" t="s">
        <v>416</v>
      </c>
      <c r="C206" s="93">
        <f>IF($B206="","",_xlfn.LET(_xlpm.x,IFERROR(_xlfn.XLOOKUP($B206,[1]comp_GEM_coal!$B$2:$B$110,[1]comp_GEM_coal!$C$2:$C$110,0,0),0),IF(ISNUMBER(_xlpm.x),_xlpm.x,0)))</f>
        <v>187222</v>
      </c>
      <c r="D206" s="93" t="str">
        <f t="shared" si="24"/>
        <v>Pass</v>
      </c>
      <c r="E206" s="93">
        <f>IF($B206="","",_xlfn.LET(_xlpm.src,IFERROR(_xlfn.XLOOKUP($B206,[1]clean_EMBER_2024!$D$5:$D$201,[1]clean_EMBER_2024!$J$5:$J$201,"",0),""),IF(ISNUMBER(_xlpm.src),_xlpm.src,"Missing")))</f>
        <v>14.85</v>
      </c>
      <c r="F206" s="93">
        <f>IF($B206="","",_xlfn.LET(_xlpm.x,IFERROR(_xlfn.XLOOKUP($B206,[1]comp_GEM_coal!$B$2:$B$110,[1]comp_GEM_coal!$F$2:$F$110,"",0),""),IF(ISNUMBER(_xlpm.x),_xlpm.x,"Missing")))</f>
        <v>4766.759042878999</v>
      </c>
      <c r="G206" s="93">
        <f t="shared" si="25"/>
        <v>1</v>
      </c>
      <c r="H206" s="93">
        <f t="shared" si="26"/>
        <v>0</v>
      </c>
      <c r="I206" s="93">
        <f t="shared" si="27"/>
        <v>1</v>
      </c>
      <c r="J206" s="93">
        <f t="shared" si="28"/>
        <v>2</v>
      </c>
      <c r="K206" s="93" t="str">
        <f t="shared" si="29"/>
        <v>Pass</v>
      </c>
      <c r="L206" s="93" t="str">
        <f t="shared" si="30"/>
        <v>Yes</v>
      </c>
      <c r="M206" s="93" t="str">
        <f t="shared" si="31"/>
        <v/>
      </c>
      <c r="O206" s="35"/>
      <c r="P206" s="35"/>
    </row>
    <row r="207" spans="1:16" ht="20" customHeight="1">
      <c r="A207" s="70" t="s">
        <v>413</v>
      </c>
      <c r="B207" s="70" t="s">
        <v>414</v>
      </c>
      <c r="C207" s="93">
        <f>IF($B207="","",_xlfn.LET(_xlpm.x,IFERROR(_xlfn.XLOOKUP($B207,[1]comp_GEM_coal!$B$2:$B$110,[1]comp_GEM_coal!$C$2:$C$110,0,0),0),IF(ISNUMBER(_xlpm.x),_xlpm.x,0)))</f>
        <v>0</v>
      </c>
      <c r="D207" s="93" t="str">
        <f t="shared" si="24"/>
        <v>Fail</v>
      </c>
      <c r="E207" s="93">
        <f>IF($B207="","",_xlfn.LET(_xlpm.src,IFERROR(_xlfn.XLOOKUP($B207,[1]clean_EMBER_2024!$D$5:$D$201,[1]clean_EMBER_2024!$J$5:$J$201,"",0),""),IF(ISNUMBER(_xlpm.src),_xlpm.src,"Missing")))</f>
        <v>0</v>
      </c>
      <c r="F207" s="93" t="str">
        <f>IF($B207="","",_xlfn.LET(_xlpm.x,IFERROR(_xlfn.XLOOKUP($B207,[1]comp_GEM_coal!$B$2:$B$110,[1]comp_GEM_coal!$F$2:$F$110,"",0),""),IF(ISNUMBER(_xlpm.x),_xlpm.x,"Missing")))</f>
        <v>Missing</v>
      </c>
      <c r="G207" s="93" t="str">
        <f t="shared" si="25"/>
        <v/>
      </c>
      <c r="H207" s="93" t="str">
        <f t="shared" si="26"/>
        <v/>
      </c>
      <c r="I207" s="93" t="str">
        <f t="shared" si="27"/>
        <v/>
      </c>
      <c r="J207" s="93" t="str">
        <f t="shared" si="28"/>
        <v/>
      </c>
      <c r="K207" s="93" t="str">
        <f t="shared" si="29"/>
        <v>Not screened</v>
      </c>
      <c r="L207" s="93" t="str">
        <f t="shared" si="30"/>
        <v>No</v>
      </c>
      <c r="M207" s="93" t="str">
        <f t="shared" si="31"/>
        <v>No operating coal capacity recorded in GEM</v>
      </c>
      <c r="O207" s="35"/>
      <c r="P207" s="35"/>
    </row>
    <row r="208" spans="1:16" ht="20" customHeight="1">
      <c r="A208" s="70" t="s">
        <v>417</v>
      </c>
      <c r="B208" s="70" t="s">
        <v>418</v>
      </c>
      <c r="C208" s="93">
        <f>IF($B208="","",_xlfn.LET(_xlpm.x,IFERROR(_xlfn.XLOOKUP($B208,[1]comp_GEM_coal!$B$2:$B$110,[1]comp_GEM_coal!$C$2:$C$110,0,0),0),IF(ISNUMBER(_xlpm.x),_xlpm.x,0)))</f>
        <v>2386</v>
      </c>
      <c r="D208" s="93" t="str">
        <f t="shared" si="24"/>
        <v>Pass</v>
      </c>
      <c r="E208" s="93">
        <f>IF($B208="","",_xlfn.LET(_xlpm.src,IFERROR(_xlfn.XLOOKUP($B208,[1]clean_EMBER_2024!$D$5:$D$201,[1]clean_EMBER_2024!$J$5:$J$201,"",0),""),IF(ISNUMBER(_xlpm.src),_xlpm.src,"Missing")))</f>
        <v>6.99</v>
      </c>
      <c r="F208" s="93">
        <f>IF($B208="","",_xlfn.LET(_xlpm.x,IFERROR(_xlfn.XLOOKUP($B208,[1]comp_GEM_coal!$B$2:$B$110,[1]comp_GEM_coal!$F$2:$F$110,"",0),""),IF(ISNUMBER(_xlpm.x),_xlpm.x,"Missing")))</f>
        <v>42.470943403999989</v>
      </c>
      <c r="G208" s="93">
        <f t="shared" si="25"/>
        <v>1</v>
      </c>
      <c r="H208" s="93">
        <f t="shared" si="26"/>
        <v>0</v>
      </c>
      <c r="I208" s="93">
        <f t="shared" si="27"/>
        <v>0</v>
      </c>
      <c r="J208" s="93">
        <f t="shared" si="28"/>
        <v>1</v>
      </c>
      <c r="K208" s="93" t="str">
        <f t="shared" si="29"/>
        <v>Fail</v>
      </c>
      <c r="L208" s="93" t="str">
        <f t="shared" si="30"/>
        <v>No</v>
      </c>
      <c r="M208" s="93" t="str">
        <f t="shared" si="31"/>
        <v>Does not meet at least two material-opportunity thresholds</v>
      </c>
      <c r="O208" s="35"/>
      <c r="P208" s="35"/>
    </row>
    <row r="209" spans="1:16" ht="20" customHeight="1">
      <c r="A209" s="70" t="s">
        <v>426</v>
      </c>
      <c r="B209" s="70" t="s">
        <v>427</v>
      </c>
      <c r="C209" s="93">
        <f>IF($B209="","",_xlfn.LET(_xlpm.x,IFERROR(_xlfn.XLOOKUP($B209,[1]comp_GEM_coal!$B$2:$B$110,[1]comp_GEM_coal!$C$2:$C$110,0,0),0),IF(ISNUMBER(_xlpm.x),_xlpm.x,0)))</f>
        <v>0</v>
      </c>
      <c r="D209" s="93" t="str">
        <f t="shared" si="24"/>
        <v>Fail</v>
      </c>
      <c r="E209" s="93" t="str">
        <f>IF($B209="","",_xlfn.LET(_xlpm.src,IFERROR(_xlfn.XLOOKUP($B209,[1]clean_EMBER_2024!$D$5:$D$201,[1]clean_EMBER_2024!$J$5:$J$201,"",0),""),IF(ISNUMBER(_xlpm.src),_xlpm.src,"Missing")))</f>
        <v>Missing</v>
      </c>
      <c r="F209" s="93" t="str">
        <f>IF($B209="","",_xlfn.LET(_xlpm.x,IFERROR(_xlfn.XLOOKUP($B209,[1]comp_GEM_coal!$B$2:$B$110,[1]comp_GEM_coal!$F$2:$F$110,"",0),""),IF(ISNUMBER(_xlpm.x),_xlpm.x,"Missing")))</f>
        <v>Missing</v>
      </c>
      <c r="G209" s="93" t="str">
        <f t="shared" si="25"/>
        <v/>
      </c>
      <c r="H209" s="93" t="str">
        <f t="shared" si="26"/>
        <v/>
      </c>
      <c r="I209" s="93" t="str">
        <f t="shared" si="27"/>
        <v/>
      </c>
      <c r="J209" s="93" t="str">
        <f t="shared" si="28"/>
        <v/>
      </c>
      <c r="K209" s="93" t="str">
        <f t="shared" si="29"/>
        <v>Not screened</v>
      </c>
      <c r="L209" s="93" t="str">
        <f t="shared" si="30"/>
        <v>No</v>
      </c>
      <c r="M209" s="93" t="str">
        <f t="shared" si="31"/>
        <v>No operating coal capacity recorded in GEM</v>
      </c>
      <c r="O209" s="35"/>
      <c r="P209" s="35"/>
    </row>
    <row r="210" spans="1:16" ht="20" customHeight="1">
      <c r="A210" s="70" t="s">
        <v>421</v>
      </c>
      <c r="B210" s="70" t="s">
        <v>422</v>
      </c>
      <c r="C210" s="93">
        <f>IF($B210="","",_xlfn.LET(_xlpm.x,IFERROR(_xlfn.XLOOKUP($B210,[1]comp_GEM_coal!$B$2:$B$110,[1]comp_GEM_coal!$C$2:$C$110,0,0),0),IF(ISNUMBER(_xlpm.x),_xlpm.x,0)))</f>
        <v>0</v>
      </c>
      <c r="D210" s="93" t="str">
        <f t="shared" si="24"/>
        <v>Fail</v>
      </c>
      <c r="E210" s="93">
        <f>IF($B210="","",_xlfn.LET(_xlpm.src,IFERROR(_xlfn.XLOOKUP($B210,[1]clean_EMBER_2024!$D$5:$D$201,[1]clean_EMBER_2024!$J$5:$J$201,"",0),""),IF(ISNUMBER(_xlpm.src),_xlpm.src,"Missing")))</f>
        <v>0</v>
      </c>
      <c r="F210" s="93">
        <f>IF($B210="","",_xlfn.LET(_xlpm.x,IFERROR(_xlfn.XLOOKUP($B210,[1]comp_GEM_coal!$B$2:$B$110,[1]comp_GEM_coal!$F$2:$F$110,"",0),""),IF(ISNUMBER(_xlpm.x),_xlpm.x,"Missing")))</f>
        <v>0</v>
      </c>
      <c r="G210" s="93" t="str">
        <f t="shared" si="25"/>
        <v/>
      </c>
      <c r="H210" s="93" t="str">
        <f t="shared" si="26"/>
        <v/>
      </c>
      <c r="I210" s="93" t="str">
        <f t="shared" si="27"/>
        <v/>
      </c>
      <c r="J210" s="93" t="str">
        <f t="shared" si="28"/>
        <v/>
      </c>
      <c r="K210" s="93" t="str">
        <f t="shared" si="29"/>
        <v>Not screened</v>
      </c>
      <c r="L210" s="93" t="str">
        <f t="shared" si="30"/>
        <v>No</v>
      </c>
      <c r="M210" s="93" t="str">
        <f t="shared" si="31"/>
        <v>No operating coal capacity recorded in GEM</v>
      </c>
      <c r="O210" s="35"/>
      <c r="P210" s="35"/>
    </row>
    <row r="211" spans="1:16" ht="20" customHeight="1">
      <c r="A211" s="35" t="s">
        <v>482</v>
      </c>
      <c r="B211" s="70" t="s">
        <v>425</v>
      </c>
      <c r="C211" s="93">
        <f>IF($B211="","",_xlfn.LET(_xlpm.x,IFERROR(_xlfn.XLOOKUP($B211,[1]comp_GEM_coal!$B$2:$B$110,[1]comp_GEM_coal!$C$2:$C$110,0,0),0),IF(ISNUMBER(_xlpm.x),_xlpm.x,0)))</f>
        <v>27718</v>
      </c>
      <c r="D211" s="93" t="str">
        <f t="shared" si="24"/>
        <v>Pass</v>
      </c>
      <c r="E211" s="93">
        <f>IF($B211="","",_xlfn.LET(_xlpm.src,IFERROR(_xlfn.XLOOKUP($B211,[1]clean_EMBER_2024!$D$5:$D$201,[1]clean_EMBER_2024!$J$5:$J$201,"",0),""),IF(ISNUMBER(_xlpm.src),_xlpm.src,"Missing")))</f>
        <v>50.32</v>
      </c>
      <c r="F211" s="93">
        <f>IF($B211="","",_xlfn.LET(_xlpm.x,IFERROR(_xlfn.XLOOKUP($B211,[1]comp_GEM_coal!$B$2:$B$110,[1]comp_GEM_coal!$F$2:$F$110,"",0),""),IF(ISNUMBER(_xlpm.x),_xlpm.x,"Missing")))</f>
        <v>3837.4328833279992</v>
      </c>
      <c r="G211" s="93">
        <f t="shared" si="25"/>
        <v>1</v>
      </c>
      <c r="H211" s="93">
        <f t="shared" si="26"/>
        <v>1</v>
      </c>
      <c r="I211" s="93">
        <f t="shared" si="27"/>
        <v>1</v>
      </c>
      <c r="J211" s="93">
        <f t="shared" si="28"/>
        <v>3</v>
      </c>
      <c r="K211" s="93" t="str">
        <f t="shared" si="29"/>
        <v>Pass</v>
      </c>
      <c r="L211" s="93" t="str">
        <f t="shared" si="30"/>
        <v>Yes</v>
      </c>
      <c r="M211" s="93" t="str">
        <f t="shared" si="31"/>
        <v/>
      </c>
      <c r="O211" s="35"/>
      <c r="P211" s="35"/>
    </row>
    <row r="212" spans="1:16" ht="20" customHeight="1">
      <c r="A212" s="70" t="s">
        <v>423</v>
      </c>
      <c r="B212" s="70" t="s">
        <v>424</v>
      </c>
      <c r="C212" s="93">
        <f>IF($B212="","",_xlfn.LET(_xlpm.x,IFERROR(_xlfn.XLOOKUP($B212,[1]comp_GEM_coal!$B$2:$B$110,[1]comp_GEM_coal!$C$2:$C$110,0,0),0),IF(ISNUMBER(_xlpm.x),_xlpm.x,0)))</f>
        <v>0</v>
      </c>
      <c r="D212" s="93" t="str">
        <f t="shared" si="24"/>
        <v>Fail</v>
      </c>
      <c r="E212" s="93" t="str">
        <f>IF($B212="","",_xlfn.LET(_xlpm.src,IFERROR(_xlfn.XLOOKUP($B212,[1]clean_EMBER_2024!$D$5:$D$201,[1]clean_EMBER_2024!$J$5:$J$201,"",0),""),IF(ISNUMBER(_xlpm.src),_xlpm.src,"Missing")))</f>
        <v>Missing</v>
      </c>
      <c r="F212" s="93" t="str">
        <f>IF($B212="","",_xlfn.LET(_xlpm.x,IFERROR(_xlfn.XLOOKUP($B212,[1]comp_GEM_coal!$B$2:$B$110,[1]comp_GEM_coal!$F$2:$F$110,"",0),""),IF(ISNUMBER(_xlpm.x),_xlpm.x,"Missing")))</f>
        <v>Missing</v>
      </c>
      <c r="G212" s="93" t="str">
        <f t="shared" si="25"/>
        <v/>
      </c>
      <c r="H212" s="93" t="str">
        <f t="shared" si="26"/>
        <v/>
      </c>
      <c r="I212" s="93" t="str">
        <f t="shared" si="27"/>
        <v/>
      </c>
      <c r="J212" s="93" t="str">
        <f t="shared" si="28"/>
        <v/>
      </c>
      <c r="K212" s="93" t="str">
        <f t="shared" si="29"/>
        <v>Not screened</v>
      </c>
      <c r="L212" s="93" t="str">
        <f t="shared" si="30"/>
        <v>No</v>
      </c>
      <c r="M212" s="93" t="str">
        <f t="shared" si="31"/>
        <v>No operating coal capacity recorded in GEM</v>
      </c>
      <c r="O212" s="35"/>
      <c r="P212" s="35"/>
    </row>
    <row r="213" spans="1:16" ht="20" customHeight="1">
      <c r="A213" s="70" t="s">
        <v>333</v>
      </c>
      <c r="B213" s="70" t="s">
        <v>334</v>
      </c>
      <c r="C213" s="93">
        <f>IF($B213="","",_xlfn.LET(_xlpm.x,IFERROR(_xlfn.XLOOKUP($B213,[1]comp_GEM_coal!$B$2:$B$110,[1]comp_GEM_coal!$C$2:$C$110,0,0),0),IF(ISNUMBER(_xlpm.x),_xlpm.x,0)))</f>
        <v>0</v>
      </c>
      <c r="D213" s="93" t="str">
        <f t="shared" si="24"/>
        <v>Fail</v>
      </c>
      <c r="E213" s="93">
        <f>IF($B213="","",_xlfn.LET(_xlpm.src,IFERROR(_xlfn.XLOOKUP($B213,[1]clean_EMBER_2024!$D$5:$D$201,[1]clean_EMBER_2024!$J$5:$J$201,"",0),""),IF(ISNUMBER(_xlpm.src),_xlpm.src,"Missing")))</f>
        <v>0</v>
      </c>
      <c r="F213" s="93" t="str">
        <f>IF($B213="","",_xlfn.LET(_xlpm.x,IFERROR(_xlfn.XLOOKUP($B213,[1]comp_GEM_coal!$B$2:$B$110,[1]comp_GEM_coal!$F$2:$F$110,"",0),""),IF(ISNUMBER(_xlpm.x),_xlpm.x,"Missing")))</f>
        <v>Missing</v>
      </c>
      <c r="G213" s="93" t="str">
        <f t="shared" si="25"/>
        <v/>
      </c>
      <c r="H213" s="93" t="str">
        <f t="shared" si="26"/>
        <v/>
      </c>
      <c r="I213" s="93" t="str">
        <f t="shared" si="27"/>
        <v/>
      </c>
      <c r="J213" s="93" t="str">
        <f t="shared" si="28"/>
        <v/>
      </c>
      <c r="K213" s="93" t="str">
        <f t="shared" si="29"/>
        <v>Not screened</v>
      </c>
      <c r="L213" s="93" t="str">
        <f t="shared" si="30"/>
        <v>No</v>
      </c>
      <c r="M213" s="93" t="str">
        <f t="shared" si="31"/>
        <v>No operating coal capacity recorded in GEM</v>
      </c>
      <c r="O213" s="35"/>
      <c r="P213" s="35"/>
    </row>
    <row r="214" spans="1:16" ht="20" customHeight="1">
      <c r="A214" s="70" t="s">
        <v>432</v>
      </c>
      <c r="B214" s="70" t="s">
        <v>433</v>
      </c>
      <c r="C214" s="93">
        <f>IF($B214="","",_xlfn.LET(_xlpm.x,IFERROR(_xlfn.XLOOKUP($B214,[1]comp_GEM_coal!$B$2:$B$110,[1]comp_GEM_coal!$C$2:$C$110,0,0),0),IF(ISNUMBER(_xlpm.x),_xlpm.x,0)))</f>
        <v>0</v>
      </c>
      <c r="D214" s="93" t="str">
        <f t="shared" si="24"/>
        <v>Fail</v>
      </c>
      <c r="E214" s="93">
        <f>IF($B214="","",_xlfn.LET(_xlpm.src,IFERROR(_xlfn.XLOOKUP($B214,[1]clean_EMBER_2024!$D$5:$D$201,[1]clean_EMBER_2024!$J$5:$J$201,"",0),""),IF(ISNUMBER(_xlpm.src),_xlpm.src,"Missing")))</f>
        <v>0</v>
      </c>
      <c r="F214" s="93" t="str">
        <f>IF($B214="","",_xlfn.LET(_xlpm.x,IFERROR(_xlfn.XLOOKUP($B214,[1]comp_GEM_coal!$B$2:$B$110,[1]comp_GEM_coal!$F$2:$F$110,"",0),""),IF(ISNUMBER(_xlpm.x),_xlpm.x,"Missing")))</f>
        <v>Missing</v>
      </c>
      <c r="G214" s="93" t="str">
        <f t="shared" si="25"/>
        <v/>
      </c>
      <c r="H214" s="93" t="str">
        <f t="shared" si="26"/>
        <v/>
      </c>
      <c r="I214" s="93" t="str">
        <f t="shared" si="27"/>
        <v/>
      </c>
      <c r="J214" s="93" t="str">
        <f t="shared" si="28"/>
        <v/>
      </c>
      <c r="K214" s="93" t="str">
        <f t="shared" si="29"/>
        <v>Not screened</v>
      </c>
      <c r="L214" s="93" t="str">
        <f t="shared" si="30"/>
        <v>No</v>
      </c>
      <c r="M214" s="93" t="str">
        <f t="shared" si="31"/>
        <v>No operating coal capacity recorded in GEM</v>
      </c>
      <c r="O214" s="35"/>
      <c r="P214" s="35"/>
    </row>
    <row r="215" spans="1:16" ht="20" customHeight="1">
      <c r="A215" s="70" t="s">
        <v>436</v>
      </c>
      <c r="B215" s="70" t="s">
        <v>437</v>
      </c>
      <c r="C215" s="93">
        <f>IF($B215="","",_xlfn.LET(_xlpm.x,IFERROR(_xlfn.XLOOKUP($B215,[1]comp_GEM_coal!$B$2:$B$110,[1]comp_GEM_coal!$C$2:$C$110,0,0),0),IF(ISNUMBER(_xlpm.x),_xlpm.x,0)))</f>
        <v>330</v>
      </c>
      <c r="D215" s="93" t="str">
        <f t="shared" si="24"/>
        <v>Pass</v>
      </c>
      <c r="E215" s="93">
        <f>IF($B215="","",_xlfn.LET(_xlpm.src,IFERROR(_xlfn.XLOOKUP($B215,[1]clean_EMBER_2024!$D$5:$D$201,[1]clean_EMBER_2024!$J$5:$J$201,"",0),""),IF(ISNUMBER(_xlpm.src),_xlpm.src,"Missing")))</f>
        <v>10.8</v>
      </c>
      <c r="F215" s="93">
        <f>IF($B215="","",_xlfn.LET(_xlpm.x,IFERROR(_xlfn.XLOOKUP($B215,[1]comp_GEM_coal!$B$2:$B$110,[1]comp_GEM_coal!$F$2:$F$110,"",0),""),IF(ISNUMBER(_xlpm.x),_xlpm.x,"Missing")))</f>
        <v>43.935390830999999</v>
      </c>
      <c r="G215" s="93">
        <f t="shared" si="25"/>
        <v>0</v>
      </c>
      <c r="H215" s="93">
        <f t="shared" si="26"/>
        <v>0</v>
      </c>
      <c r="I215" s="93">
        <f t="shared" si="27"/>
        <v>0</v>
      </c>
      <c r="J215" s="93">
        <f t="shared" si="28"/>
        <v>0</v>
      </c>
      <c r="K215" s="93" t="str">
        <f t="shared" si="29"/>
        <v>Fail</v>
      </c>
      <c r="L215" s="93" t="str">
        <f t="shared" si="30"/>
        <v>No</v>
      </c>
      <c r="M215" s="93" t="str">
        <f t="shared" si="31"/>
        <v>Does not meet at least two material-opportunity thresholds</v>
      </c>
      <c r="O215" s="35"/>
      <c r="P215" s="35"/>
    </row>
    <row r="216" spans="1:16" ht="20" customHeight="1">
      <c r="A216" s="70" t="s">
        <v>438</v>
      </c>
      <c r="B216" s="70" t="s">
        <v>439</v>
      </c>
      <c r="C216" s="93">
        <f>IF($B216="","",_xlfn.LET(_xlpm.x,IFERROR(_xlfn.XLOOKUP($B216,[1]comp_GEM_coal!$B$2:$B$110,[1]comp_GEM_coal!$C$2:$C$110,0,0),0),IF(ISNUMBER(_xlpm.x),_xlpm.x,0)))</f>
        <v>1770</v>
      </c>
      <c r="D216" s="93" t="str">
        <f t="shared" si="24"/>
        <v>Pass</v>
      </c>
      <c r="E216" s="93">
        <f>IF($B216="","",_xlfn.LET(_xlpm.src,IFERROR(_xlfn.XLOOKUP($B216,[1]clean_EMBER_2024!$D$5:$D$201,[1]clean_EMBER_2024!$J$5:$J$201,"",0),""),IF(ISNUMBER(_xlpm.src),_xlpm.src,"Missing")))</f>
        <v>42.88</v>
      </c>
      <c r="F216" s="93">
        <f>IF($B216="","",_xlfn.LET(_xlpm.x,IFERROR(_xlfn.XLOOKUP($B216,[1]comp_GEM_coal!$B$2:$B$110,[1]comp_GEM_coal!$F$2:$F$110,"",0),""),IF(ISNUMBER(_xlpm.x),_xlpm.x,"Missing")))</f>
        <v>48.800463389999997</v>
      </c>
      <c r="G216" s="93">
        <f t="shared" si="25"/>
        <v>0</v>
      </c>
      <c r="H216" s="93">
        <f t="shared" si="26"/>
        <v>1</v>
      </c>
      <c r="I216" s="93">
        <f t="shared" si="27"/>
        <v>0</v>
      </c>
      <c r="J216" s="93">
        <f t="shared" si="28"/>
        <v>1</v>
      </c>
      <c r="K216" s="93" t="str">
        <f t="shared" si="29"/>
        <v>Fail</v>
      </c>
      <c r="L216" s="93" t="str">
        <f t="shared" si="30"/>
        <v>No</v>
      </c>
      <c r="M216" s="93" t="str">
        <f t="shared" si="31"/>
        <v>Does not meet at least two material-opportunity thresholds</v>
      </c>
      <c r="O216" s="35"/>
      <c r="P216" s="35"/>
    </row>
    <row r="217" spans="1:16" s="149" customFormat="1" ht="20" customHeight="1">
      <c r="D217" s="150"/>
    </row>
    <row r="218" spans="1:16" ht="20" customHeight="1"/>
    <row r="219" spans="1:16" ht="20" customHeight="1">
      <c r="A219" s="78" t="s">
        <v>706</v>
      </c>
      <c r="B219" s="78"/>
    </row>
    <row r="220" spans="1:16" ht="20" customHeight="1"/>
    <row r="221" spans="1:16" ht="20" customHeight="1"/>
    <row r="222" spans="1:16" ht="20" customHeight="1"/>
    <row r="223" spans="1:16" ht="20" customHeight="1"/>
    <row r="224" spans="1:16" ht="20" customHeight="1"/>
    <row r="225" ht="20" customHeight="1"/>
  </sheetData>
  <autoFilter ref="A1:M216" xr:uid="{529BFF84-B061-3144-9C99-8C78B02F549B}"/>
  <mergeCells count="1">
    <mergeCell ref="P1:R1"/>
  </mergeCells>
  <conditionalFormatting sqref="A2:B52 B53 A54:B58 B59 A60:B86 B87 A88:B105 B106 A107:B145 A147:B162 B163 A164:B173 B174 A175:B178 B179 A180:B210 B211 A212:B216">
    <cfRule type="containsText" dxfId="2" priority="12" stopIfTrue="1" operator="containsText" text="Missing">
      <formula>NOT(ISERROR(SEARCH("Missing",A2)))</formula>
    </cfRule>
    <cfRule type="containsBlanks" dxfId="1" priority="13" stopIfTrue="1">
      <formula>LEN(TRIM(A2))=0</formula>
    </cfRule>
    <cfRule type="containsErrors" dxfId="0" priority="14" stopIfTrue="1">
      <formula>ISERROR(A2)</formula>
    </cfRule>
  </conditionalFormatting>
  <dataValidations count="2">
    <dataValidation type="list" allowBlank="1" showInputMessage="1" showErrorMessage="1" sqref="B147:B218 B220:B450 B2:B145" xr:uid="{4811E627-1BCA-E749-9191-1341389B8F09}">
      <formula1>"Yes, No, Maybe"</formula1>
    </dataValidation>
    <dataValidation type="list" allowBlank="1" showInputMessage="1" showErrorMessage="1" sqref="C217:D1048576" xr:uid="{86213FFF-1F41-A646-816A-9B13AA20AA9B}">
      <formula1>"Yes, No"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1" stopIfTrue="1" operator="beginsWith" id="{ACEDA39F-FB44-B347-9651-9DD04856E7CC}">
            <xm:f>LEFT(A2,LEN("-"))="-"</xm:f>
            <xm:f>"-"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A2:B52 B53 A54:B58 B59 A60:B86 B87 A88:B105 B106 A107:B145 A147:B162 B163 A164:B173 B174 A175:B178 B179 A180:B210 B211 A212:B216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 overview</vt:lpstr>
      <vt:lpstr>INDEX</vt:lpstr>
      <vt:lpstr>INDEX ranked</vt:lpstr>
      <vt:lpstr>OVERLAY</vt:lpstr>
      <vt:lpstr>Streamlit</vt:lpstr>
      <vt:lpstr>Pillar-1</vt:lpstr>
      <vt:lpstr>Pillar-2</vt:lpstr>
      <vt:lpstr>Pillar-3</vt:lpstr>
      <vt:lpstr>Pillar-4</vt:lpstr>
      <vt:lpstr>Pillar-5</vt:lpstr>
      <vt:lpstr>Pillar-6</vt:lpstr>
      <vt:lpstr>Params</vt:lpstr>
      <vt:lpstr>Screening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</dc:creator>
  <cp:lastModifiedBy>gt</cp:lastModifiedBy>
  <dcterms:created xsi:type="dcterms:W3CDTF">2026-06-22T15:19:17Z</dcterms:created>
  <dcterms:modified xsi:type="dcterms:W3CDTF">2026-07-24T03:10:24Z</dcterms:modified>
</cp:coreProperties>
</file>